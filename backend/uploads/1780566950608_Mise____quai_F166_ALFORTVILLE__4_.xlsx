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mise à quai Alfortville" sheetId="1" r:id="rId5"/>
    <sheet state="visible" name="POINT NPS F166" sheetId="2" r:id="rId6"/>
    <sheet state="visible" name="Copie de Jour de repos Prestata" sheetId="3" r:id="rId7"/>
    <sheet state="visible" name=" Jours Fériés Dimanche" sheetId="4" r:id="rId8"/>
    <sheet state="visible" name="Tableau suspension" sheetId="5" r:id="rId9"/>
    <sheet state="hidden" name="Jour de repos Prestataires" sheetId="6" r:id="rId10"/>
    <sheet state="hidden" name="Formule NPS" sheetId="7" r:id="rId11"/>
    <sheet state="hidden" name="Classement GV" sheetId="8" r:id="rId12"/>
    <sheet state="hidden" name="Copie de Classement GV" sheetId="9" r:id="rId13"/>
    <sheet state="hidden" name="Classement Mono" sheetId="10" r:id="rId14"/>
    <sheet state="hidden" name="Classement Instal" sheetId="11" r:id="rId15"/>
    <sheet state="hidden" name="Calcul_mensuel" sheetId="12" r:id="rId16"/>
    <sheet state="hidden" name="Classement standard" sheetId="13" r:id="rId17"/>
    <sheet state="visible" name="test" sheetId="14" r:id="rId18"/>
  </sheets>
  <definedNames>
    <definedName localSheetId="13" name="PlageNommée1">test!$30:$66</definedName>
    <definedName name="PlageNommée1">#REF!</definedName>
    <definedName localSheetId="0" name="PlageNommée1">'Plan de mise à quai Alfortville'!$30:$69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tc={07838916-39ea-4513-a095-a56d5f1c0e39}</author>
    <author>tc={08938527-bef4-45b4-bffc-b7f966b96f8d}</author>
    <author>tc={0ec4dc07-5a88-48b5-9ace-5ad8257eb255}</author>
    <author>tc={10df724b-dfff-4d4d-8446-b1e5744f48ab}</author>
    <author>tc={1ad53af9-e1e9-4d85-aee4-354747bd740c}</author>
    <author>tc={1fd67497-1385-4156-8c1b-9bc1c8cb773a}</author>
    <author>tc={24914792-6476-4426-b902-3fb69c23ea10}</author>
    <author>tc={347871e7-d4a9-4df3-99f3-7866f5b8f638}</author>
    <author>tc={507fb98f-1316-414b-b761-2d553ac41b5a}</author>
    <author>tc={55603062-c64f-418b-aa6b-d4299a6b4a25}</author>
    <author>tc={5a0471f3-4432-464d-9f13-25a1f00d9cf9}</author>
    <author>tc={67c27686-47e6-45c8-83a8-f7551d85c88b}</author>
    <author>tc={6d8ce097-ecc2-41bb-81c2-5e7dfd30d87c}</author>
    <author>tc={6f8364fd-af08-4e70-8d29-7ba4fa14a5ad}</author>
    <author>tc={740ff74c-b90a-47e3-baaa-53fa720a7210}</author>
    <author>tc={7dceef42-3831-4f7a-9355-a574b6894438}</author>
    <author>tc={80f00e51-5dfe-4452-b2bd-713bef024b49}</author>
    <author>tc={81e88e8b-dd42-431f-9880-164bb97fcc74}</author>
    <author>tc={8338edc4-0c02-4ddd-92e4-ab6b72e6fc3b}</author>
    <author>tc={8f7613c3-d53e-4eae-b579-2f7cc1a4c35f}</author>
    <author>tc={9ca96c09-5795-4ec6-b720-a939c8f8c3ce}</author>
    <author>tc={9db5324c-8e0b-4fd0-9e71-21bff33d2836}</author>
    <author>tc={a2068f0f-ba08-4f8c-87d0-3af389e81f6d}</author>
    <author>tc={a2e3b230-5f78-41b8-af8d-bca02c9dfc5e}</author>
    <author>tc={ac63d7fc-9a9c-41a4-96e6-b064a9139be7}</author>
    <author>tc={b6837243-1968-471f-a679-9d793072f810}</author>
    <author>tc={b8e12409-1719-49ce-998c-7eb910e34f4a}</author>
    <author>tc={c2c921bc-fd2c-41d0-896c-3560cf7a818d}</author>
    <author>tc={ce334cce-f814-43ea-833f-774ba1b3384e}</author>
    <author>tc={d1f4e72c-fb89-4bff-8853-73ae699770bc}</author>
    <author>tc={db46aa6a-a966-417a-a4d8-ec7982aad6a3}</author>
    <author>tc={dd476797-89c3-45fa-a430-9406a296fab7}</author>
    <author>tc={e04f1f22-107b-4223-b1d1-1224675c41c4}</author>
    <author>tc={e351b6aa-deea-4e6b-a3ff-89b94a6599d4}</author>
    <author>tc={e6d835b5-8fd8-4cb5-ac8b-73aa3613f74a}</author>
    <author>tc={f020e5c0-78b5-4324-ab2e-16fb8c4d382b}</author>
    <author>tc={f3135446-7901-4679-8c7b-6971dc95cd40}</author>
    <author>tc={f886426e-f0ce-4edb-a0bd-2b1a1f3a0bc8}</author>
    <author>tc={fae769b4-cc65-4b4d-a29f-4734e8f04fde}</author>
    <author>tc={fe0a5ef5-00fd-4049-ae87-cb0fce6b9441}</author>
  </authors>
  <commentList>
    <comment authorId="0" xr:uid="{07838916-39ea-4513-a095-a56d5f1c0e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Tenue
</t>
      </text>
    </comment>
    <comment authorId="1" xr:uid="{08938527-bef4-45b4-bffc-b7f966b96f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possibilité de mettre 1GV en normale si pas besoin de 2
</t>
      </text>
    </comment>
    <comment authorId="2" xr:uid="{0ec4dc07-5a88-48b5-9ace-5ad8257eb255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
</t>
      </text>
    </comment>
    <comment authorId="3" xr:uid="{10df724b-dfff-4d4d-8446-b1e5744f48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4" xr:uid="{1ad53af9-e1e9-4d85-aee4-354747bd740c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casquette
</t>
      </text>
    </comment>
    <comment authorId="5" xr:uid="{1fd67497-1385-4156-8c1b-9bc1c8cb773a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6" xr:uid="{24914792-6476-4426-b902-3fb69c23ea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" xr:uid="{347871e7-d4a9-4df3-99f3-7866f5b8f6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Amar s'est planté - pensais 11h30 - arrivée équipe 10:30
Reply:
	Marquée comme fermée
Reply:
	Rouverte
</t>
      </text>
    </comment>
    <comment authorId="8" xr:uid="{507fb98f-1316-414b-b761-2d553ac41b5a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de tournée vu Nelson
</t>
      </text>
    </comment>
    <comment authorId="9" xr:uid="{55603062-c64f-418b-aa6b-d4299a6b4a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camion sur les 4 jours car RH le mercredi
</t>
      </text>
    </comment>
    <comment authorId="10" xr:uid="{5a0471f3-4432-464d-9f13-25a1f00d9cf9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
</t>
      </text>
    </comment>
    <comment authorId="11" xr:uid="{67c27686-47e6-45c8-83a8-f7551d85c8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2" xr:uid="{6d8ce097-ecc2-41bb-81c2-5e7dfd30d87c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3" xr:uid="{6f8364fd-af08-4e70-8d29-7ba4fa14a5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4" xr:uid="{740ff74c-b90a-47e3-baaa-53fa720a72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Départ 08h35 suite erreur de chargement autre tournée ref SMEG
</t>
      </text>
    </comment>
    <comment authorId="15" xr:uid="{7dceef42-3831-4f7a-9355-a574b6894438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
</t>
      </text>
    </comment>
    <comment authorId="16" xr:uid="{80f00e51-5dfe-4452-b2bd-713bef024b49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17" xr:uid="{81e88e8b-dd42-431f-9880-164bb97fcc74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retard
</t>
      </text>
    </comment>
    <comment authorId="18" xr:uid="{8338edc4-0c02-4ddd-92e4-ab6b72e6fc3b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19" xr:uid="{8f7613c3-d53e-4eae-b579-2f7cc1a4c3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0" xr:uid="{9ca96c09-5795-4ec6-b720-a939c8f8c3ce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 car problème pas de sms
</t>
      </text>
    </comment>
    <comment authorId="21" xr:uid="{9db5324c-8e0b-4fd0-9e71-21bff33d28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22" xr:uid="{a2068f0f-ba08-4f8c-87d0-3af389e81f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TDS devient B9 Transport à partir du 01 mars 2024
</t>
      </text>
    </comment>
    <comment authorId="23" xr:uid="{a2e3b230-5f78-41b8-af8d-bca02c9dfc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retard validé par Charles cause F159 2015418
Reply:
	Marquée comme fermée
Reply:
	Rouverte
Reply:
	Marquée comme fermée
Reply:
	Rouverte
</t>
      </text>
    </comment>
    <comment authorId="24" xr:uid="{ac63d7fc-9a9c-41a4-96e6-b064a9139be7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25" xr:uid="{b6837243-1968-471f-a679-9d793072f810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26" xr:uid="{b8e12409-1719-49ce-998c-7eb910e34f4a}" ref="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27" xr:uid="{c2c921bc-fd2c-41d0-896c-3560cf7a81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ABDEL
</t>
      </text>
    </comment>
    <comment authorId="28" xr:uid="{ce334cce-f814-43ea-833f-774ba1b338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Ff774rx
</t>
      </text>
    </comment>
    <comment authorId="29" xr:uid="{d1f4e72c-fb89-4bff-8853-73ae699770bc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Suspendu jusqu'au Lundi 27/10 vol trottinette
</t>
      </text>
    </comment>
    <comment authorId="30" xr:uid="{db46aa6a-a966-417a-a4d8-ec7982aad6a3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manquante erreur F166
</t>
      </text>
    </comment>
    <comment authorId="31" xr:uid="{dd476797-89c3-45fa-a430-9406a296fa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tournée pour non respect des règles au retour le 10/02/2025
</t>
      </text>
    </comment>
    <comment authorId="32" xr:uid="{e04f1f22-107b-4223-b1d1-1224675c41c4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carton  le 16/04/26
</t>
      </text>
    </comment>
    <comment authorId="33" xr:uid="{e351b6aa-deea-4e6b-a3ff-89b94a6599d4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34" xr:uid="{e6d835b5-8fd8-4cb5-ac8b-73aa3613f74a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35" xr:uid="{f020e5c0-78b5-4324-ab2e-16fb8c4d38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. In good en.......d cf fed ex cffrff de tr fwd tr fwd 'tn' de soucis je
</t>
      </text>
    </comment>
    <comment authorId="36" xr:uid="{f3135446-7901-4679-8c7b-6971dc95cd40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seul camion vu Nelson
</t>
      </text>
    </comment>
    <comment authorId="37" xr:uid="{f886426e-f0ce-4edb-a0bd-2b1a1f3a0b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Reply:
	Marquée comme fermée
Reply:
	Rouverte
</t>
      </text>
    </comment>
    <comment authorId="38" xr:uid="{fae769b4-cc65-4b4d-a29f-4734e8f04f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Reply:
	Marquée comme fermée
Reply:
	Rouverte
</t>
      </text>
    </comment>
    <comment authorId="39" xr:uid="{fe0a5ef5-00fd-4049-ae87-cb0fce6b94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9h00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9">
      <text>
        <t xml:space="preserve">Aurélie    06.59.64.50.82 
Hind        06.61.28.54.90 
Jordy       07 64 25 04 97 
Karim       07.64.26.44.78
Nelson    06.99.38.69.39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tc={080083c5-6133-414d-9dbb-02b51537be6f}</author>
    <author>tc={1176190d-c211-4abb-87ed-e7beb677f21c}</author>
    <author>tc={3ebb9d71-9eda-4d16-87ae-de26da45b5fc}</author>
    <author>tc={4fcc3b33-d681-495d-bb2d-df9ee425a60d}</author>
    <author>tc={6507ce3e-30da-49ed-ad2a-170034fcbed4}</author>
    <author>tc={6586df38-8a79-4a48-92bf-0b58afd7317f}</author>
    <author>tc={718772fc-de3d-4f18-8a54-a128b0653bda}</author>
    <author>tc={95b87674-d7ea-4b5a-9779-9a1c2a8ce6e8}</author>
    <author>tc={9af154ed-6390-49a3-b021-cc8294e7a77d}</author>
    <author>tc={ac0e95f0-7a7b-42e8-9702-e580a6e914f6}</author>
    <author>tc={acd61c71-87f1-47bc-87fb-b8841128d153}</author>
    <author>tc={b2d43ed9-f8da-49e7-b668-298594d07167}</author>
    <author>tc={c713be42-c09d-415b-8342-88d972fa02fd}</author>
    <author>tc={cb4027c9-076a-4ef2-af30-080736869a21}</author>
    <author>tc={d2f375db-3791-468a-827d-ddf4d92a187b}</author>
    <author>tc={dce6fda7-0332-46bb-a8d8-0cf04175a5a1}</author>
    <author>tc={e9f90087-60a4-4bb1-a9ea-e30412ac712f}</author>
  </authors>
  <commentList>
    <comment authorId="0" xr:uid="{080083c5-6133-414d-9dbb-02b51537be6f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tournée mono
</t>
      </text>
    </comment>
    <comment authorId="1" xr:uid="{1176190d-c211-4abb-87ed-e7beb677f21c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tournée // suspension non port des chaussures DREAMTEAM
</t>
      </text>
    </comment>
    <comment authorId="2" xr:uid="{3ebb9d71-9eda-4d16-87ae-de26da45b5fc}" ref="M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Une tournée en moins le 12/03/2025 Dépôt sauvage des emballages
</t>
      </text>
    </comment>
    <comment authorId="3" xr:uid="{4fcc3b33-d681-495d-bb2d-df9ee425a60d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823 / TRIGGER -&gt; dépôts sauvage DEEE
1 tournée de moins le Jeudi 06/03/2025
</t>
      </text>
    </comment>
    <comment authorId="4" xr:uid="{6507ce3e-30da-49ed-ad2a-170034fcbed4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5" xr:uid="{6586df38-8a79-4a48-92bf-0b58afd7317f}" ref="F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Express Polytrans du 03/03/2025 -&gt; dépôts sauvage DEEE
1 tournée de moins le MERCREDI 05/03/2025
</t>
      </text>
    </comment>
    <comment authorId="6" xr:uid="{718772fc-de3d-4f18-8a54-a128b0653bda}" ref="F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818 / ELIT -&gt; dépôts sauvage DEEE
1 tournée de moins le MERCREDI 05/03/2025
</t>
      </text>
    </comment>
    <comment authorId="7" xr:uid="{95b87674-d7ea-4b5a-9779-9a1c2a8ce6e8}" ref="W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FC Tournées 835 du 17/01/2025 -&gt; Une équipe ne tournera pas le MERCREDI 22/01/2025
</t>
      </text>
    </comment>
    <comment authorId="8" xr:uid="{9af154ed-6390-49a3-b021-cc8294e7a77d}" ref="G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502 / CLS -&gt; pas de chaussures ni au départ de tournée, ni au retour de tournée et pas de gants au retour.
1 tournée de moins le Jeudi 06/03/2025
</t>
      </text>
    </comment>
    <comment authorId="9" xr:uid="{ac0e95f0-7a7b-42e8-9702-e580a6e914f6}" ref="A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suspension tournée 840 du 26/04/2025 Omar
</t>
      </text>
    </comment>
    <comment authorId="10" xr:uid="{acd61c71-87f1-47bc-87fb-b8841128d153}" ref="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DOUBS (2 équipes) Tournées 806 et 807 du 17/01/2025 -&gt; Pas de tournée le Mercredi 22/01/2025
</t>
      </text>
    </comment>
    <comment authorId="11" xr:uid="{b2d43ed9-f8da-49e7-b668-298594d07167}" ref="X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HK Tournée 827 du 17/01/2025 -&gt; Une équipe ne tournera pas le JEUDI 23/01/2025
</t>
      </text>
    </comment>
    <comment authorId="12" xr:uid="{c713be42-c09d-415b-8342-88d972fa02fd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Kim SAMY DEEE non jeter dans la benne
</t>
      </text>
    </comment>
    <comment authorId="13" xr:uid="{cb4027c9-076a-4ef2-af30-080736869a21}" ref="A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camion suite tournées non rendues 201 du 25/01 et 205 du 27/01
</t>
      </text>
    </comment>
    <comment authorId="14" xr:uid="{d2f375db-3791-468a-827d-ddf4d92a187b}" ref="G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843 / MNS -&gt; dépôts sauvage DEEE
1 tournée de moins le Jeudi 06/03/2025
</t>
      </text>
    </comment>
    <comment authorId="15" xr:uid="{dce6fda7-0332-46bb-a8d8-0cf04175a5a1}" ref="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AGS Tournée du 14/01/2025 -&gt; Une équipe ne tournera pas le VENDREDI 24/01/2025
</t>
      </text>
    </comment>
    <comment authorId="16" xr:uid="{e9f90087-60a4-4bb1-a9ea-e30412ac712f}" ref="Y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</commentList>
</comments>
</file>

<file path=xl/sharedStrings.xml><?xml version="1.0" encoding="utf-8"?>
<sst xmlns="http://schemas.openxmlformats.org/spreadsheetml/2006/main" count="2128" uniqueCount="563">
  <si>
    <t>7H00</t>
  </si>
  <si>
    <t>7H30</t>
  </si>
  <si>
    <t>8H00</t>
  </si>
  <si>
    <t>08h30</t>
  </si>
  <si>
    <t>Quai</t>
  </si>
  <si>
    <t>TRN</t>
  </si>
  <si>
    <t>Société</t>
  </si>
  <si>
    <t>Immat</t>
  </si>
  <si>
    <t>Contact Equipage</t>
  </si>
  <si>
    <t xml:space="preserve">Tél Équipe </t>
  </si>
  <si>
    <t>DEEE</t>
  </si>
  <si>
    <t>ID</t>
  </si>
  <si>
    <t>EPI</t>
  </si>
  <si>
    <t>qté</t>
  </si>
  <si>
    <t>Tél Equipage</t>
  </si>
  <si>
    <t>1</t>
  </si>
  <si>
    <t>46</t>
  </si>
  <si>
    <t>701</t>
  </si>
  <si>
    <t>BCT-GV</t>
  </si>
  <si>
    <t xml:space="preserve">GF 356 CS </t>
  </si>
  <si>
    <t xml:space="preserve">TAREK </t>
  </si>
  <si>
    <t>0615862837</t>
  </si>
  <si>
    <t>-</t>
  </si>
  <si>
    <t>rw</t>
  </si>
  <si>
    <t>ok</t>
  </si>
  <si>
    <t>12</t>
  </si>
  <si>
    <t>704</t>
  </si>
  <si>
    <t>AGS-GV</t>
  </si>
  <si>
    <t>EK769DY</t>
  </si>
  <si>
    <t>Adel</t>
  </si>
  <si>
    <t>0698035793</t>
  </si>
  <si>
    <t>4</t>
  </si>
  <si>
    <t>707</t>
  </si>
  <si>
    <t>609</t>
  </si>
  <si>
    <t>2</t>
  </si>
  <si>
    <t>47</t>
  </si>
  <si>
    <t>702</t>
  </si>
  <si>
    <t>STP-GV</t>
  </si>
  <si>
    <t>EF-021-TG</t>
  </si>
  <si>
    <t>yassine</t>
  </si>
  <si>
    <t>0753764432</t>
  </si>
  <si>
    <t>ZK</t>
  </si>
  <si>
    <t>705</t>
  </si>
  <si>
    <t>PROCOM-GV</t>
  </si>
  <si>
    <t xml:space="preserve">DF481CR </t>
  </si>
  <si>
    <t>relass</t>
  </si>
  <si>
    <t>0618844029</t>
  </si>
  <si>
    <t>13</t>
  </si>
  <si>
    <t>708</t>
  </si>
  <si>
    <t>608</t>
  </si>
  <si>
    <t>3</t>
  </si>
  <si>
    <t>48</t>
  </si>
  <si>
    <t>703</t>
  </si>
  <si>
    <t>GHM-GV</t>
  </si>
  <si>
    <t xml:space="preserve">DS666KV </t>
  </si>
  <si>
    <t xml:space="preserve">Hassen </t>
  </si>
  <si>
    <t>0612221320</t>
  </si>
  <si>
    <t>5</t>
  </si>
  <si>
    <t>14</t>
  </si>
  <si>
    <t>706</t>
  </si>
  <si>
    <t>709</t>
  </si>
  <si>
    <t>607</t>
  </si>
  <si>
    <t>49</t>
  </si>
  <si>
    <t>601</t>
  </si>
  <si>
    <t>NAGA-MONO</t>
  </si>
  <si>
    <t xml:space="preserve">eg192by </t>
  </si>
  <si>
    <t xml:space="preserve">marvine </t>
  </si>
  <si>
    <t>0767019656</t>
  </si>
  <si>
    <t>8</t>
  </si>
  <si>
    <t>20</t>
  </si>
  <si>
    <t>603</t>
  </si>
  <si>
    <t>605</t>
  </si>
  <si>
    <t>854</t>
  </si>
  <si>
    <t>50</t>
  </si>
  <si>
    <t>602</t>
  </si>
  <si>
    <t>MNS-MONO</t>
  </si>
  <si>
    <t>EV586QS</t>
  </si>
  <si>
    <t>FARID DJ</t>
  </si>
  <si>
    <t>0659852083</t>
  </si>
  <si>
    <t>24</t>
  </si>
  <si>
    <t>604</t>
  </si>
  <si>
    <t>606</t>
  </si>
  <si>
    <t>855</t>
  </si>
  <si>
    <t>6</t>
  </si>
  <si>
    <t>51</t>
  </si>
  <si>
    <t>801</t>
  </si>
  <si>
    <t>quai HS</t>
  </si>
  <si>
    <t>819</t>
  </si>
  <si>
    <t>837</t>
  </si>
  <si>
    <t>856</t>
  </si>
  <si>
    <t>7</t>
  </si>
  <si>
    <t>52</t>
  </si>
  <si>
    <t>802</t>
  </si>
  <si>
    <t>LTDGP</t>
  </si>
  <si>
    <t>Em-542-fw</t>
  </si>
  <si>
    <t>Riad</t>
  </si>
  <si>
    <t>0753317028</t>
  </si>
  <si>
    <t>15</t>
  </si>
  <si>
    <t>820</t>
  </si>
  <si>
    <t>TMS</t>
  </si>
  <si>
    <t>cv-527-hj</t>
  </si>
  <si>
    <t xml:space="preserve">rayane </t>
  </si>
  <si>
    <t>0765231344</t>
  </si>
  <si>
    <t>17</t>
  </si>
  <si>
    <t>838</t>
  </si>
  <si>
    <t>857</t>
  </si>
  <si>
    <t>53</t>
  </si>
  <si>
    <t>803</t>
  </si>
  <si>
    <t>Gb-783-xv</t>
  </si>
  <si>
    <t>Benjamin</t>
  </si>
  <si>
    <t>0751303393</t>
  </si>
  <si>
    <t>18</t>
  </si>
  <si>
    <t>821</t>
  </si>
  <si>
    <t>hz-418-nk</t>
  </si>
  <si>
    <t xml:space="preserve">achour </t>
  </si>
  <si>
    <t>0744258931</t>
  </si>
  <si>
    <t>839</t>
  </si>
  <si>
    <t>858</t>
  </si>
  <si>
    <t>9</t>
  </si>
  <si>
    <t>54</t>
  </si>
  <si>
    <t>804</t>
  </si>
  <si>
    <t>YAS</t>
  </si>
  <si>
    <t>DE-827-HD</t>
  </si>
  <si>
    <t>Nizar</t>
  </si>
  <si>
    <t>0758334649</t>
  </si>
  <si>
    <t>822</t>
  </si>
  <si>
    <t>STP</t>
  </si>
  <si>
    <t>EA-592-KN</t>
  </si>
  <si>
    <t>khaled</t>
  </si>
  <si>
    <t>0766890594</t>
  </si>
  <si>
    <t>840</t>
  </si>
  <si>
    <t>859</t>
  </si>
  <si>
    <t>10</t>
  </si>
  <si>
    <t>55</t>
  </si>
  <si>
    <t>805</t>
  </si>
  <si>
    <t>GT-992-HY</t>
  </si>
  <si>
    <t xml:space="preserve">Sofiane </t>
  </si>
  <si>
    <t>0753716722</t>
  </si>
  <si>
    <t>823</t>
  </si>
  <si>
    <t>BQ-909-LD</t>
  </si>
  <si>
    <t>adem</t>
  </si>
  <si>
    <t>0744575095</t>
  </si>
  <si>
    <t>841</t>
  </si>
  <si>
    <t>860</t>
  </si>
  <si>
    <t>11</t>
  </si>
  <si>
    <t>56</t>
  </si>
  <si>
    <t>806</t>
  </si>
  <si>
    <t>BSSD</t>
  </si>
  <si>
    <t>Dy 283 bn</t>
  </si>
  <si>
    <t>Nidhal</t>
  </si>
  <si>
    <t>0605534026</t>
  </si>
  <si>
    <t>824</t>
  </si>
  <si>
    <t>ABL</t>
  </si>
  <si>
    <t>Fn100ge</t>
  </si>
  <si>
    <t xml:space="preserve">Ouissem </t>
  </si>
  <si>
    <t>0671060977</t>
  </si>
  <si>
    <t>842</t>
  </si>
  <si>
    <t>861</t>
  </si>
  <si>
    <t>57</t>
  </si>
  <si>
    <t>807</t>
  </si>
  <si>
    <t>NAGA</t>
  </si>
  <si>
    <t xml:space="preserve">ek907dl </t>
  </si>
  <si>
    <t>toon</t>
  </si>
  <si>
    <t>0744961272</t>
  </si>
  <si>
    <t>825</t>
  </si>
  <si>
    <t>Fg740ge</t>
  </si>
  <si>
    <t xml:space="preserve">Hocine </t>
  </si>
  <si>
    <t>0635568236</t>
  </si>
  <si>
    <t>ob</t>
  </si>
  <si>
    <t>843</t>
  </si>
  <si>
    <t>862</t>
  </si>
  <si>
    <t>63</t>
  </si>
  <si>
    <t>808</t>
  </si>
  <si>
    <t>BCT</t>
  </si>
  <si>
    <t>EJ 232 RV</t>
  </si>
  <si>
    <t xml:space="preserve">AMINE </t>
  </si>
  <si>
    <t>0753648610</t>
  </si>
  <si>
    <t>826</t>
  </si>
  <si>
    <t>POLYTRANS</t>
  </si>
  <si>
    <t>DJ031WJ</t>
  </si>
  <si>
    <t>Yazid</t>
  </si>
  <si>
    <t>0656717047</t>
  </si>
  <si>
    <t>64</t>
  </si>
  <si>
    <t>809</t>
  </si>
  <si>
    <t>827</t>
  </si>
  <si>
    <t>FR940PG</t>
  </si>
  <si>
    <t>Kamel</t>
  </si>
  <si>
    <t>0768713627</t>
  </si>
  <si>
    <t>844</t>
  </si>
  <si>
    <t>65</t>
  </si>
  <si>
    <t>810</t>
  </si>
  <si>
    <t>GHM</t>
  </si>
  <si>
    <t xml:space="preserve">FS755GS </t>
  </si>
  <si>
    <t xml:space="preserve">souhail </t>
  </si>
  <si>
    <t>0643864082</t>
  </si>
  <si>
    <t>828</t>
  </si>
  <si>
    <t>Cs 625 tw</t>
  </si>
  <si>
    <t xml:space="preserve">Karim </t>
  </si>
  <si>
    <t>0651011467</t>
  </si>
  <si>
    <t>LDS</t>
  </si>
  <si>
    <t>845</t>
  </si>
  <si>
    <t>863</t>
  </si>
  <si>
    <t>16</t>
  </si>
  <si>
    <t>66</t>
  </si>
  <si>
    <t>811</t>
  </si>
  <si>
    <t>TRIGGER</t>
  </si>
  <si>
    <t xml:space="preserve">DZ315PJ </t>
  </si>
  <si>
    <t xml:space="preserve">belkacem </t>
  </si>
  <si>
    <t>0745973642</t>
  </si>
  <si>
    <t>829</t>
  </si>
  <si>
    <t>MNS</t>
  </si>
  <si>
    <t>EL210LR</t>
  </si>
  <si>
    <t>FOUAD</t>
  </si>
  <si>
    <t>0745733909</t>
  </si>
  <si>
    <t>846</t>
  </si>
  <si>
    <t>864</t>
  </si>
  <si>
    <t>67</t>
  </si>
  <si>
    <t>812</t>
  </si>
  <si>
    <t>DA743ML</t>
  </si>
  <si>
    <t xml:space="preserve">amine </t>
  </si>
  <si>
    <t>0667455188</t>
  </si>
  <si>
    <t>830</t>
  </si>
  <si>
    <t>HK</t>
  </si>
  <si>
    <t>QR185KH</t>
  </si>
  <si>
    <t xml:space="preserve">BADIS </t>
  </si>
  <si>
    <t>0753790714</t>
  </si>
  <si>
    <t>847</t>
  </si>
  <si>
    <t>865</t>
  </si>
  <si>
    <t>813</t>
  </si>
  <si>
    <t>SID</t>
  </si>
  <si>
    <t>Ey507GQ</t>
  </si>
  <si>
    <t xml:space="preserve">Mourad </t>
  </si>
  <si>
    <t>0751836680</t>
  </si>
  <si>
    <t>68</t>
  </si>
  <si>
    <t>831</t>
  </si>
  <si>
    <t>SERVICE2.0</t>
  </si>
  <si>
    <t>Cb698lf</t>
  </si>
  <si>
    <t>Malik</t>
  </si>
  <si>
    <t>0695423127</t>
  </si>
  <si>
    <t>848</t>
  </si>
  <si>
    <t>866</t>
  </si>
  <si>
    <t>19</t>
  </si>
  <si>
    <t>69</t>
  </si>
  <si>
    <t>814</t>
  </si>
  <si>
    <t>Bd679NG</t>
  </si>
  <si>
    <t xml:space="preserve">Bessem </t>
  </si>
  <si>
    <t>0636108647</t>
  </si>
  <si>
    <t>832</t>
  </si>
  <si>
    <t>CLS</t>
  </si>
  <si>
    <t>FW-175-TC</t>
  </si>
  <si>
    <t>Ali</t>
  </si>
  <si>
    <t>0612827550</t>
  </si>
  <si>
    <t>849</t>
  </si>
  <si>
    <t>867</t>
  </si>
  <si>
    <t>70</t>
  </si>
  <si>
    <t>815</t>
  </si>
  <si>
    <t>PROCOM</t>
  </si>
  <si>
    <t xml:space="preserve">DT707DG </t>
  </si>
  <si>
    <t xml:space="preserve">aymen </t>
  </si>
  <si>
    <t>0656726103</t>
  </si>
  <si>
    <t>833</t>
  </si>
  <si>
    <t>850</t>
  </si>
  <si>
    <t>868</t>
  </si>
  <si>
    <t>21</t>
  </si>
  <si>
    <t>71</t>
  </si>
  <si>
    <t>816</t>
  </si>
  <si>
    <t xml:space="preserve">dr211hb </t>
  </si>
  <si>
    <t xml:space="preserve">farid </t>
  </si>
  <si>
    <t>0666073348</t>
  </si>
  <si>
    <t>834</t>
  </si>
  <si>
    <t>851</t>
  </si>
  <si>
    <t>869</t>
  </si>
  <si>
    <t>22</t>
  </si>
  <si>
    <t>72</t>
  </si>
  <si>
    <t>817</t>
  </si>
  <si>
    <t>TRANS75</t>
  </si>
  <si>
    <t>Gp888xr</t>
  </si>
  <si>
    <t>Kais</t>
  </si>
  <si>
    <t>0652050293</t>
  </si>
  <si>
    <t>zk</t>
  </si>
  <si>
    <t>835</t>
  </si>
  <si>
    <t>852</t>
  </si>
  <si>
    <t>²</t>
  </si>
  <si>
    <t>870</t>
  </si>
  <si>
    <t>23</t>
  </si>
  <si>
    <t>73</t>
  </si>
  <si>
    <t>818</t>
  </si>
  <si>
    <t>Fe679qz</t>
  </si>
  <si>
    <t>Youcef</t>
  </si>
  <si>
    <t>0755091973</t>
  </si>
  <si>
    <t>836</t>
  </si>
  <si>
    <t>853</t>
  </si>
  <si>
    <t>871</t>
  </si>
  <si>
    <t>74</t>
  </si>
  <si>
    <t>501</t>
  </si>
  <si>
    <t>GHM-INSTALL</t>
  </si>
  <si>
    <t xml:space="preserve">FA811EX </t>
  </si>
  <si>
    <t xml:space="preserve">Slimane </t>
  </si>
  <si>
    <t>0745996814</t>
  </si>
  <si>
    <t>503</t>
  </si>
  <si>
    <t>MNS-INSTALL</t>
  </si>
  <si>
    <t>FN014VL</t>
  </si>
  <si>
    <t xml:space="preserve">NASSIM </t>
  </si>
  <si>
    <t>0609873016</t>
  </si>
  <si>
    <t>505</t>
  </si>
  <si>
    <t>872</t>
  </si>
  <si>
    <t>25</t>
  </si>
  <si>
    <t>75</t>
  </si>
  <si>
    <t>502</t>
  </si>
  <si>
    <t>STP-INSTALL</t>
  </si>
  <si>
    <t>FG-483-XA</t>
  </si>
  <si>
    <t>karim</t>
  </si>
  <si>
    <t>0749563351</t>
  </si>
  <si>
    <t>504</t>
  </si>
  <si>
    <t>PROCOM-INSTALL</t>
  </si>
  <si>
    <t xml:space="preserve">EL713EV </t>
  </si>
  <si>
    <t xml:space="preserve">sami </t>
  </si>
  <si>
    <t>0626408791</t>
  </si>
  <si>
    <t>506</t>
  </si>
  <si>
    <t>873</t>
  </si>
  <si>
    <t xml:space="preserve">             </t>
  </si>
  <si>
    <r>
      <rPr>
        <rFont val="Comic Sans MS"/>
        <b/>
        <color rgb="FF000000"/>
        <sz val="24.0"/>
        <u/>
      </rPr>
      <t xml:space="preserve">Mise à quai du 04/06/2026
</t>
    </r>
    <r>
      <rPr>
        <rFont val="Comic Sans MS"/>
        <b/>
        <color rgb="FF0000FF"/>
        <sz val="24.0"/>
        <u/>
      </rPr>
      <t xml:space="preserve">Mise à Jour à 22h40 </t>
    </r>
    <r>
      <rPr>
        <rFont val="Comic Sans MS"/>
        <b/>
        <color rgb="FF1F1F1F"/>
        <sz val="24.0"/>
        <u/>
      </rPr>
      <t>par Jordy</t>
    </r>
    <r>
      <rPr>
        <rFont val="Comic Sans MS"/>
        <b/>
        <color rgb="FFFF0000"/>
        <sz val="24.0"/>
        <u/>
      </rPr>
      <t xml:space="preserve">
 MERCI DE REMPLIR LES NUMEROS AVANT 18h00
05 MAI 2026 NPS F166</t>
    </r>
    <r>
      <rPr>
        <rFont val="Comic Sans MS"/>
        <b/>
        <color rgb="FF000000"/>
        <sz val="24.0"/>
        <u/>
      </rPr>
      <t xml:space="preserve"> ( Mise à jour le 02/06/26.)</t>
    </r>
  </si>
  <si>
    <t>Chargement
11h20</t>
  </si>
  <si>
    <t>Réservation CAMIONS STANDARD</t>
  </si>
  <si>
    <t>à remplir tous les jours à 14h</t>
  </si>
  <si>
    <t>Capacité régulière</t>
  </si>
  <si>
    <t>SOCIETES</t>
  </si>
  <si>
    <t>DREAMTEAM-GV</t>
  </si>
  <si>
    <t xml:space="preserve">DW257WT </t>
  </si>
  <si>
    <t>Lounis</t>
  </si>
  <si>
    <t>0669906499</t>
  </si>
  <si>
    <t>ELITT-INSTALL</t>
  </si>
  <si>
    <t>711</t>
  </si>
  <si>
    <t>ELITT</t>
  </si>
  <si>
    <t>1mtn+1midi</t>
  </si>
  <si>
    <t>712</t>
  </si>
  <si>
    <t>PRISMA2.0-GV</t>
  </si>
  <si>
    <t>201</t>
  </si>
  <si>
    <t>QR614MV</t>
  </si>
  <si>
    <t xml:space="preserve">ABDALLAH </t>
  </si>
  <si>
    <t>0652059439</t>
  </si>
  <si>
    <t>1mtin autre midi</t>
  </si>
  <si>
    <t>202</t>
  </si>
  <si>
    <t xml:space="preserve">Cq161cv </t>
  </si>
  <si>
    <t xml:space="preserve">Mohamed </t>
  </si>
  <si>
    <t>0751098839</t>
  </si>
  <si>
    <t>TOTAL</t>
  </si>
  <si>
    <t>203</t>
  </si>
  <si>
    <t>reda</t>
  </si>
  <si>
    <t>0629342735</t>
  </si>
  <si>
    <t xml:space="preserve">lds </t>
  </si>
  <si>
    <t>TRANS75-GV</t>
  </si>
  <si>
    <t>204</t>
  </si>
  <si>
    <t>AGS</t>
  </si>
  <si>
    <t>EE805EL</t>
  </si>
  <si>
    <t>Melek</t>
  </si>
  <si>
    <t>0666227998</t>
  </si>
  <si>
    <t>lds</t>
  </si>
  <si>
    <t>MNS-GV</t>
  </si>
  <si>
    <t>205</t>
  </si>
  <si>
    <t>AK</t>
  </si>
  <si>
    <t>206</t>
  </si>
  <si>
    <t>1aprem+1matin</t>
  </si>
  <si>
    <t>RESERVATION MONO EQUIPAGE</t>
  </si>
  <si>
    <t>207</t>
  </si>
  <si>
    <t>208</t>
  </si>
  <si>
    <t>PRISMA2.0</t>
  </si>
  <si>
    <t xml:space="preserve"> </t>
  </si>
  <si>
    <t>209</t>
  </si>
  <si>
    <t>210</t>
  </si>
  <si>
    <t>ANAA</t>
  </si>
  <si>
    <t>211</t>
  </si>
  <si>
    <t>GHM-MONO</t>
  </si>
  <si>
    <t>212</t>
  </si>
  <si>
    <t xml:space="preserve">  </t>
  </si>
  <si>
    <t>STP-MONO</t>
  </si>
  <si>
    <t>213</t>
  </si>
  <si>
    <t>KIM</t>
  </si>
  <si>
    <t>AGS-MONO</t>
  </si>
  <si>
    <t>214</t>
  </si>
  <si>
    <t>TRANSMAY</t>
  </si>
  <si>
    <t>DREAMTEAM-MONO</t>
  </si>
  <si>
    <t>215</t>
  </si>
  <si>
    <t>TOTAL Tournées F166</t>
  </si>
  <si>
    <t>TRANSTAM</t>
  </si>
  <si>
    <t>DREAMTEAM</t>
  </si>
  <si>
    <t>Classement livraison F166</t>
  </si>
  <si>
    <t>05 MAI 2026 NPS F166 ( MAJ le 02/06/26.)</t>
  </si>
  <si>
    <t>Classement tournées classique</t>
  </si>
  <si>
    <t>Classement tournées gros volumes</t>
  </si>
  <si>
    <t>Prestataires</t>
  </si>
  <si>
    <t>Note NPS</t>
  </si>
  <si>
    <t>%détracteurs</t>
  </si>
  <si>
    <t>%Neutres</t>
  </si>
  <si>
    <t>%Promoteurs</t>
  </si>
  <si>
    <t>Classement</t>
  </si>
  <si>
    <t>Classement tournées installation</t>
  </si>
  <si>
    <t>TRANSTAM-INSTALL</t>
  </si>
  <si>
    <t>Classement tournées mono équipage</t>
  </si>
  <si>
    <t>NPS ALFORTVILLE MAI 2026</t>
  </si>
  <si>
    <t>NPS ALFORTVILLE AVRIL 2026</t>
  </si>
  <si>
    <t>Nombre de réponses</t>
  </si>
  <si>
    <t>NPS</t>
  </si>
  <si>
    <t>Prog</t>
  </si>
  <si>
    <t>Plateforme Lyon</t>
  </si>
  <si>
    <t>+3,2</t>
  </si>
  <si>
    <t>+2,8</t>
  </si>
  <si>
    <t>Plateforme Nice</t>
  </si>
  <si>
    <t>Plateforme Lille</t>
  </si>
  <si>
    <t>+5,2</t>
  </si>
  <si>
    <t>+2,9</t>
  </si>
  <si>
    <t>Plateforme Toulouse</t>
  </si>
  <si>
    <t>+0,1</t>
  </si>
  <si>
    <t>Plateforme Bordeaux</t>
  </si>
  <si>
    <t>Plateforme Garonor</t>
  </si>
  <si>
    <t>+3,7</t>
  </si>
  <si>
    <t>Plateforme Toulon</t>
  </si>
  <si>
    <t>Plateforme Nantes</t>
  </si>
  <si>
    <t>+3,9</t>
  </si>
  <si>
    <t>+7,3</t>
  </si>
  <si>
    <t>Plateforme Marseille</t>
  </si>
  <si>
    <t>+8,2</t>
  </si>
  <si>
    <t>+0,4</t>
  </si>
  <si>
    <t>Magasin Boulanger</t>
  </si>
  <si>
    <t>Plateforme Alfortville</t>
  </si>
  <si>
    <t>+1,3</t>
  </si>
  <si>
    <t>Warning</t>
  </si>
  <si>
    <t>5*</t>
  </si>
  <si>
    <t>6*</t>
  </si>
  <si>
    <t>Plateforme ROCCA Bastia</t>
  </si>
  <si>
    <t>1*</t>
  </si>
  <si>
    <t>Point de contact</t>
  </si>
  <si>
    <t>Livraison domicile avec RDV</t>
  </si>
  <si>
    <t>+1</t>
  </si>
  <si>
    <t>NPS ALFORTVILLE ANNUEL 2025 en cours du 01/01/26 au 30/04/2026</t>
  </si>
  <si>
    <t>NPS ALFORTVILLE ANNUEL 2025 en cours du 01/01/25 au 31/12/2025</t>
  </si>
  <si>
    <t>Plateforme ROCCA Porto Vecchio</t>
  </si>
  <si>
    <t>+3,4</t>
  </si>
  <si>
    <t>+2,2</t>
  </si>
  <si>
    <t>+7,2</t>
  </si>
  <si>
    <t>+2</t>
  </si>
  <si>
    <t>+4,8</t>
  </si>
  <si>
    <t>+0,8</t>
  </si>
  <si>
    <t>+5,5</t>
  </si>
  <si>
    <t>+3,1</t>
  </si>
  <si>
    <t>12*</t>
  </si>
  <si>
    <t>+41,7</t>
  </si>
  <si>
    <t>+14,1</t>
  </si>
  <si>
    <t>+1,8</t>
  </si>
  <si>
    <t>+2,3</t>
  </si>
  <si>
    <t>Tournées Standard</t>
  </si>
  <si>
    <t>PRESTA</t>
  </si>
  <si>
    <t>LUNDI</t>
  </si>
  <si>
    <t>MARDI</t>
  </si>
  <si>
    <t>MERCREDI</t>
  </si>
  <si>
    <t>JEUDI</t>
  </si>
  <si>
    <t>VENDREDI</t>
  </si>
  <si>
    <t>SAMEDI</t>
  </si>
  <si>
    <t>PRISMA</t>
  </si>
  <si>
    <t>ELIT</t>
  </si>
  <si>
    <t>Tournées installations</t>
  </si>
  <si>
    <t>DOUBS-INSTALL</t>
  </si>
  <si>
    <t>Tournées GROS VOLUMES</t>
  </si>
  <si>
    <t>VIVA-GV</t>
  </si>
  <si>
    <t>BEST-GV</t>
  </si>
  <si>
    <t>PRISMA-GV</t>
  </si>
  <si>
    <t>DOUBS-GV</t>
  </si>
  <si>
    <t>Tournées MONO</t>
  </si>
  <si>
    <t>PRISMA-MONO</t>
  </si>
  <si>
    <t>710</t>
  </si>
  <si>
    <t>Wissem</t>
  </si>
  <si>
    <t>0689022265</t>
  </si>
  <si>
    <t>251</t>
  </si>
  <si>
    <t>FE-234-XK</t>
  </si>
  <si>
    <t>BA</t>
  </si>
  <si>
    <t>OK</t>
  </si>
  <si>
    <t>269</t>
  </si>
  <si>
    <t>252</t>
  </si>
  <si>
    <t>‏FN-100-GE</t>
  </si>
  <si>
    <t xml:space="preserve">OUISSEM </t>
  </si>
  <si>
    <t>270</t>
  </si>
  <si>
    <t>253</t>
  </si>
  <si>
    <t>DJ 031 WJ</t>
  </si>
  <si>
    <t>YAZID</t>
  </si>
  <si>
    <t>271</t>
  </si>
  <si>
    <t>254</t>
  </si>
  <si>
    <t>DF-100-YW</t>
  </si>
  <si>
    <t>AMIR</t>
  </si>
  <si>
    <t>0666311543</t>
  </si>
  <si>
    <t>LC</t>
  </si>
  <si>
    <t>272</t>
  </si>
  <si>
    <t>255</t>
  </si>
  <si>
    <t>273</t>
  </si>
  <si>
    <t>256</t>
  </si>
  <si>
    <t xml:space="preserve">Chérif </t>
  </si>
  <si>
    <t>0758077282</t>
  </si>
  <si>
    <t>274</t>
  </si>
  <si>
    <t>257</t>
  </si>
  <si>
    <t>275</t>
  </si>
  <si>
    <t>258</t>
  </si>
  <si>
    <t>276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</si>
  <si>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</si>
  <si>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</si>
  <si>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</si>
  <si>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</si>
  <si>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</si>
  <si>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</si>
  <si>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</si>
  <si>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</si>
  <si>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</si>
  <si>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</si>
  <si>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507</t>
  </si>
  <si>
    <t>AF811EX</t>
  </si>
  <si>
    <t>0641878246</t>
  </si>
  <si>
    <t>ASTREINTE du Dimanche 31 Mai
Karim de 8h à 14h Hind de 14h à 19h</t>
  </si>
  <si>
    <t>reservation</t>
  </si>
  <si>
    <t>Capacité
à remplir</t>
  </si>
  <si>
    <t>Tournées Dimanche GROS VOLUMES</t>
  </si>
  <si>
    <t>Tournées Dimanche INSTALLATIONS</t>
  </si>
  <si>
    <t>´</t>
  </si>
  <si>
    <t>Tournées Dimanche MONO</t>
  </si>
  <si>
    <t>ME</t>
  </si>
  <si>
    <t>JE</t>
  </si>
  <si>
    <t>VE</t>
  </si>
  <si>
    <t>SA</t>
  </si>
  <si>
    <t>DI</t>
  </si>
  <si>
    <t>LU</t>
  </si>
  <si>
    <t>MA</t>
  </si>
  <si>
    <t>DOUBS</t>
  </si>
  <si>
    <t>BEST</t>
  </si>
  <si>
    <t>ALPHA</t>
  </si>
  <si>
    <t>DELTA</t>
  </si>
  <si>
    <t>FC</t>
  </si>
  <si>
    <t>TPE</t>
  </si>
  <si>
    <t>MOOVAM</t>
  </si>
  <si>
    <t>TMSDEM</t>
  </si>
  <si>
    <t>VIVA</t>
  </si>
  <si>
    <t>YST</t>
  </si>
  <si>
    <t>B9</t>
  </si>
  <si>
    <t>TRUSK</t>
  </si>
  <si>
    <t>DREAMTEAM-INSTALL</t>
  </si>
  <si>
    <t>CLS-INSTALL</t>
  </si>
  <si>
    <t>CITY</t>
  </si>
  <si>
    <t>H2B</t>
  </si>
  <si>
    <t>TDS</t>
  </si>
  <si>
    <t>TOURNEE GV</t>
  </si>
  <si>
    <t>TOURNEE STANDARD</t>
  </si>
  <si>
    <t>TOURNEE INSTALL</t>
  </si>
  <si>
    <t>TOURNEE MONO</t>
  </si>
  <si>
    <t>Bringg</t>
  </si>
  <si>
    <t>Satisfaction</t>
  </si>
  <si>
    <t>Moyenne</t>
  </si>
  <si>
    <t>Nbre réponses</t>
  </si>
  <si>
    <t>%Détracteurs</t>
  </si>
  <si>
    <t>RANG Bring</t>
  </si>
  <si>
    <t>RANG NPS</t>
  </si>
  <si>
    <t>RANG Moyenne</t>
  </si>
  <si>
    <t>Bringg%</t>
  </si>
  <si>
    <t>Moyenne satis/ bringg</t>
  </si>
  <si>
    <t>8h00</t>
  </si>
  <si>
    <t>08h15</t>
  </si>
  <si>
    <t xml:space="preserve">Mise à quai du 21/11/2025
Fin des rajouts 19h Nelson
11 NOVEMBRE 2025 NPS F166 ( MAJ le 19/11.) </t>
  </si>
  <si>
    <t>11h30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</si>
</sst>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#,##0.00\ [$€-1]"/>
    <numFmt numFmtId="167" formatCode="dd/mm/yyyy"/>
    <numFmt numFmtId="168" formatCode="dddd dd/mm"/>
    <numFmt numFmtId="169" formatCode="mmmm yyyy"/>
  </numFmts>
  <fonts count="77">
    <font>
      <sz val="10.0"/>
      <color rgb="FF000000"/>
      <name val="Calibri"/>
      <scheme val="minor"/>
    </font>
    <font>
      <b/>
      <sz val="11.0"/>
      <color theme="1"/>
      <name val="Comic Sans MS"/>
    </font>
    <font>
      <b/>
      <sz val="32.0"/>
      <color theme="1"/>
      <name val="Comic Sans MS"/>
    </font>
    <font/>
    <font>
      <b/>
      <color theme="1"/>
      <name val="Calibri"/>
    </font>
    <font>
      <b/>
      <sz val="24.0"/>
      <color theme="1"/>
      <name val="Comic Sans MS"/>
    </font>
    <font>
      <b/>
      <color theme="1"/>
      <name val="Comic Sans MS"/>
    </font>
    <font>
      <b/>
      <sz val="9.0"/>
      <color theme="1"/>
      <name val="Comic Sans MS"/>
    </font>
    <font>
      <b/>
      <sz val="11.0"/>
      <color rgb="FF1D1C1D"/>
      <name val="Comic Sans MS"/>
    </font>
    <font>
      <sz val="11.0"/>
      <color theme="1"/>
      <name val="Comic Sans MS"/>
    </font>
    <font>
      <color theme="1"/>
      <name val="Calibri"/>
    </font>
    <font>
      <b/>
      <u/>
      <sz val="24.0"/>
      <color rgb="FF0000FF"/>
      <name val="Comic Sans MS"/>
    </font>
    <font>
      <b/>
      <sz val="40.0"/>
      <color theme="1"/>
      <name val="Comic Sans MS"/>
    </font>
    <font>
      <b/>
      <color rgb="FFFFFFFF"/>
      <name val="Calibri"/>
    </font>
    <font>
      <b/>
      <sz val="28.0"/>
      <color theme="1"/>
      <name val="Comic Sans MS"/>
    </font>
    <font>
      <b/>
      <sz val="11.0"/>
      <color rgb="FF000000"/>
      <name val="Comic Sans MS"/>
    </font>
    <font>
      <b/>
      <color rgb="FFFF9900"/>
      <name val="Calibri"/>
    </font>
    <font>
      <b/>
      <sz val="14.0"/>
      <color theme="1"/>
      <name val="Comic Sans MS"/>
    </font>
    <font>
      <b/>
      <color rgb="FF000000"/>
      <name val="Calibri"/>
    </font>
    <font>
      <b/>
      <u/>
      <color theme="1"/>
      <name val="Calibri"/>
    </font>
    <font>
      <b/>
      <strike/>
      <color theme="1"/>
      <name val="Calibri"/>
    </font>
    <font>
      <b/>
      <color theme="1"/>
      <name val="Comic sans ms"/>
    </font>
    <font>
      <sz val="18.0"/>
      <color theme="1"/>
      <name val="Arial"/>
    </font>
    <font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rgb="FF37415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color theme="1"/>
      <name val="Calibri"/>
      <scheme val="minor"/>
    </font>
    <font>
      <sz val="8.0"/>
      <color theme="1"/>
      <name val="&quot;Trebuchet MS&quot;"/>
    </font>
    <font>
      <b/>
      <sz val="12.0"/>
      <color rgb="FF000000"/>
      <name val="&quot;Trebuchet MS&quot;"/>
    </font>
    <font>
      <b/>
      <sz val="8.0"/>
      <color rgb="FF000000"/>
      <name val="&quot;Trebuchet MS&quot;"/>
    </font>
    <font>
      <b/>
      <sz val="12.0"/>
      <color theme="1"/>
      <name val="&quot;Trebuchet MS&quot;"/>
    </font>
    <font>
      <sz val="12.0"/>
      <color theme="1"/>
      <name val="Calibri"/>
      <scheme val="minor"/>
    </font>
    <font>
      <b/>
      <sz val="20.0"/>
      <color theme="1"/>
      <name val="Calibri"/>
      <scheme val="minor"/>
    </font>
    <font>
      <b/>
      <sz val="36.0"/>
      <color rgb="FF000000"/>
      <name val="Comic Sans MS"/>
    </font>
    <font>
      <b/>
      <sz val="10.0"/>
      <color theme="1"/>
      <name val="Comic Sans MS"/>
    </font>
    <font>
      <b/>
      <sz val="10.0"/>
      <color rgb="FF000000"/>
      <name val="Comic Sans MS"/>
    </font>
    <font>
      <b/>
      <u/>
      <sz val="21.0"/>
      <color theme="1"/>
      <name val="Comic Sans MS"/>
    </font>
    <font>
      <b/>
      <sz val="42.0"/>
      <color theme="1"/>
      <name val="Calibri"/>
      <scheme val="minor"/>
    </font>
    <font>
      <b/>
      <sz val="36.0"/>
      <color theme="1"/>
      <name val="Arial"/>
    </font>
    <font>
      <b/>
      <sz val="18.0"/>
      <color rgb="FF000000"/>
      <name val="Roboto"/>
    </font>
    <font>
      <b/>
      <sz val="18.0"/>
      <color theme="1"/>
      <name val="Comic Sans MS"/>
    </font>
    <font>
      <b/>
      <sz val="24.0"/>
      <color rgb="FF000000"/>
      <name val="Roboto"/>
    </font>
    <font>
      <b/>
      <color theme="1"/>
      <name val="Calibri"/>
      <scheme val="minor"/>
    </font>
    <font>
      <b/>
      <sz val="11.0"/>
      <color theme="1"/>
      <name val="&quot;comic sans ms&quot;"/>
    </font>
    <font>
      <sz val="14.0"/>
      <color theme="1"/>
      <name val="Comic Sans MS"/>
    </font>
    <font>
      <b/>
      <sz val="10.0"/>
      <color theme="1"/>
      <name val="Arial"/>
    </font>
    <font>
      <sz val="10.0"/>
      <color theme="1"/>
      <name val="Arial"/>
    </font>
    <font>
      <b/>
      <strike/>
      <sz val="36.0"/>
      <color theme="1"/>
      <name val="Arial"/>
    </font>
    <font>
      <sz val="10.0"/>
      <color theme="1"/>
      <name val="Comic Sans MS"/>
    </font>
    <font>
      <b/>
      <color theme="1"/>
      <name val="&quot;comic sans ms&quot;"/>
    </font>
    <font>
      <b/>
      <sz val="11.0"/>
      <color rgb="FF000000"/>
      <name val="&quot;comic sans ms&quot;"/>
    </font>
    <font>
      <sz val="20.0"/>
      <color theme="1"/>
      <name val="Arial"/>
    </font>
    <font>
      <sz val="9.0"/>
      <color rgb="FF000000"/>
      <name val="&quot;Google Sans Mono&quot;"/>
    </font>
    <font>
      <b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sz val="32.0"/>
      <color rgb="FF000000"/>
      <name val="Comic Sans MS"/>
    </font>
    <font>
      <b/>
      <sz val="24.0"/>
      <color rgb="FF000000"/>
      <name val="Comic Sans MS"/>
    </font>
    <font>
      <b/>
      <sz val="18.0"/>
      <color rgb="FF000000"/>
      <name val="Comic Sans MS"/>
    </font>
    <font>
      <b/>
      <sz val="11.0"/>
      <color rgb="FF2F3941"/>
      <name val="Comic Sans MS"/>
    </font>
    <font>
      <b/>
      <i/>
      <sz val="11.0"/>
      <color theme="1"/>
      <name val="Comic Sans MS"/>
    </font>
    <font>
      <b/>
      <sz val="11.0"/>
      <color rgb="FF000000"/>
      <name val="&quot;Comic Sans MS&quot;"/>
    </font>
    <font>
      <b/>
      <sz val="11.0"/>
      <color rgb="FF222222"/>
      <name val="Comic Sans MS"/>
    </font>
    <font>
      <b/>
      <u/>
      <sz val="24.0"/>
      <color theme="1"/>
      <name val="Comic Sans MS"/>
    </font>
    <font>
      <color rgb="FFFFFFFF"/>
      <name val="Calibri"/>
    </font>
    <font>
      <sz val="11.0"/>
      <color rgb="FF000000"/>
      <name val="Comic Sans MS"/>
    </font>
    <font>
      <color rgb="FFFF9900"/>
      <name val="Calibri"/>
    </font>
    <font>
      <color rgb="FF000000"/>
      <name val="Calibri"/>
    </font>
    <font>
      <b/>
      <i/>
      <sz val="36.0"/>
      <color theme="1"/>
      <name val="Arial"/>
    </font>
    <font>
      <sz val="36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B7B7B7"/>
        <bgColor rgb="FFB7B7B7"/>
      </patternFill>
    </fill>
    <fill>
      <patternFill patternType="solid">
        <fgColor rgb="FFAFD7FF"/>
        <bgColor rgb="FFAFD7FF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F8F2EB"/>
        <bgColor rgb="FFF8F2EB"/>
      </patternFill>
    </fill>
    <fill>
      <patternFill patternType="solid">
        <fgColor rgb="FFE0F7FA"/>
        <bgColor rgb="FFE0F7FA"/>
      </patternFill>
    </fill>
    <fill>
      <patternFill patternType="solid">
        <fgColor rgb="FFFFFFC8"/>
        <bgColor rgb="FFFFFFC8"/>
      </patternFill>
    </fill>
    <fill>
      <patternFill patternType="solid">
        <fgColor rgb="FFFFE4E4"/>
        <bgColor rgb="FFFFE4E4"/>
      </patternFill>
    </fill>
    <fill>
      <patternFill patternType="solid">
        <fgColor rgb="FFFEF8E3"/>
        <bgColor rgb="FFFEF8E3"/>
      </patternFill>
    </fill>
    <fill>
      <patternFill patternType="solid">
        <fgColor rgb="FFE7F9EF"/>
        <bgColor rgb="FFE7F9EF"/>
      </patternFill>
    </fill>
    <fill>
      <patternFill patternType="solid">
        <fgColor rgb="FF0096B1"/>
        <bgColor rgb="FF0096B1"/>
      </patternFill>
    </fill>
    <fill>
      <patternFill patternType="solid">
        <fgColor rgb="FF999999"/>
        <bgColor rgb="FF999999"/>
      </patternFill>
    </fill>
    <fill>
      <patternFill patternType="solid">
        <fgColor rgb="FF4DD0E1"/>
        <bgColor rgb="FF4DD0E1"/>
      </patternFill>
    </fill>
    <fill>
      <patternFill patternType="solid">
        <fgColor rgb="FFF7CB4D"/>
        <bgColor rgb="FFF7CB4D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</fills>
  <borders count="10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FFFFFF"/>
      </right>
    </border>
    <border>
      <left style="thick">
        <color rgb="FF00FF00"/>
      </left>
      <right style="thick">
        <color rgb="FF000000"/>
      </right>
      <top style="thick">
        <color rgb="FF000000"/>
      </top>
    </border>
    <border>
      <left style="thick">
        <color rgb="FF00FF00"/>
      </left>
      <right style="thick">
        <color rgb="FF00FF00"/>
      </right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right style="thin">
        <color rgb="FF505050"/>
      </right>
      <bottom style="thin">
        <color rgb="FF505050"/>
      </bottom>
    </border>
    <border>
      <bottom style="thin">
        <color rgb="FF505050"/>
      </bottom>
    </border>
    <border>
      <right style="thin">
        <color rgb="FF50505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 vertical="bottom"/>
    </xf>
    <xf borderId="2" fillId="0" fontId="3" numFmtId="0" xfId="0" applyBorder="1" applyFont="1"/>
    <xf borderId="2" fillId="3" fontId="4" numFmtId="0" xfId="0" applyAlignment="1" applyBorder="1" applyFont="1">
      <alignment vertical="bottom"/>
    </xf>
    <xf borderId="2" fillId="3" fontId="4" numFmtId="0" xfId="0" applyAlignment="1" applyBorder="1" applyFont="1">
      <alignment horizontal="right" shrinkToFit="0" vertical="bottom" wrapText="1"/>
    </xf>
    <xf borderId="2" fillId="3" fontId="4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3" fillId="4" fontId="5" numFmtId="49" xfId="0" applyAlignment="1" applyBorder="1" applyFill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3" fillId="5" fontId="4" numFmtId="49" xfId="0" applyBorder="1" applyFill="1" applyFont="1" applyNumberFormat="1"/>
    <xf borderId="5" fillId="3" fontId="5" numFmtId="49" xfId="0" applyAlignment="1" applyBorder="1" applyFont="1" applyNumberFormat="1">
      <alignment horizontal="center" readingOrder="0"/>
    </xf>
    <xf borderId="6" fillId="5" fontId="4" numFmtId="165" xfId="0" applyAlignment="1" applyBorder="1" applyFont="1" applyNumberFormat="1">
      <alignment vertical="bottom"/>
    </xf>
    <xf borderId="3" fillId="3" fontId="5" numFmtId="49" xfId="0" applyAlignment="1" applyBorder="1" applyFont="1" applyNumberFormat="1">
      <alignment horizontal="center" vertical="bottom"/>
    </xf>
    <xf borderId="0" fillId="3" fontId="5" numFmtId="49" xfId="0" applyAlignment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/>
    </xf>
    <xf borderId="1" fillId="4" fontId="6" numFmtId="49" xfId="0" applyAlignment="1" applyBorder="1" applyFont="1" applyNumberFormat="1">
      <alignment horizontal="center"/>
    </xf>
    <xf borderId="8" fillId="4" fontId="7" numFmtId="49" xfId="0" applyAlignment="1" applyBorder="1" applyFont="1" applyNumberFormat="1">
      <alignment horizontal="center"/>
    </xf>
    <xf borderId="9" fillId="4" fontId="7" numFmtId="49" xfId="0" applyAlignment="1" applyBorder="1" applyFont="1" applyNumberFormat="1">
      <alignment horizontal="center"/>
    </xf>
    <xf borderId="10" fillId="5" fontId="4" numFmtId="49" xfId="0" applyBorder="1" applyFont="1" applyNumberFormat="1"/>
    <xf borderId="11" fillId="3" fontId="6" numFmtId="49" xfId="0" applyAlignment="1" applyBorder="1" applyFont="1" applyNumberFormat="1">
      <alignment horizontal="center"/>
    </xf>
    <xf borderId="1" fillId="3" fontId="6" numFmtId="49" xfId="0" applyAlignment="1" applyBorder="1" applyFont="1" applyNumberFormat="1">
      <alignment horizontal="center"/>
    </xf>
    <xf borderId="12" fillId="3" fontId="6" numFmtId="49" xfId="0" applyAlignment="1" applyBorder="1" applyFont="1" applyNumberFormat="1">
      <alignment horizontal="center" vertical="bottom"/>
    </xf>
    <xf borderId="13" fillId="3" fontId="6" numFmtId="49" xfId="0" applyAlignment="1" applyBorder="1" applyFont="1" applyNumberFormat="1">
      <alignment horizontal="center" vertical="bottom"/>
    </xf>
    <xf borderId="14" fillId="3" fontId="7" numFmtId="49" xfId="0" applyAlignment="1" applyBorder="1" applyFont="1" applyNumberFormat="1">
      <alignment horizontal="center" readingOrder="0"/>
    </xf>
    <xf borderId="8" fillId="3" fontId="7" numFmtId="49" xfId="0" applyAlignment="1" applyBorder="1" applyFont="1" applyNumberFormat="1">
      <alignment horizontal="center" readingOrder="0"/>
    </xf>
    <xf borderId="15" fillId="3" fontId="7" numFmtId="49" xfId="0" applyAlignment="1" applyBorder="1" applyFont="1" applyNumberFormat="1">
      <alignment horizontal="center" readingOrder="0"/>
    </xf>
    <xf borderId="16" fillId="3" fontId="7" numFmtId="49" xfId="0" applyAlignment="1" applyBorder="1" applyFont="1" applyNumberFormat="1">
      <alignment horizontal="center" readingOrder="0"/>
    </xf>
    <xf borderId="7" fillId="5" fontId="4" numFmtId="165" xfId="0" applyBorder="1" applyFont="1" applyNumberFormat="1"/>
    <xf borderId="14" fillId="3" fontId="7" numFmtId="49" xfId="0" applyAlignment="1" applyBorder="1" applyFont="1" applyNumberFormat="1">
      <alignment horizontal="center"/>
    </xf>
    <xf borderId="8" fillId="3" fontId="7" numFmtId="49" xfId="0" applyAlignment="1" applyBorder="1" applyFont="1" applyNumberFormat="1">
      <alignment horizontal="center"/>
    </xf>
    <xf borderId="17" fillId="3" fontId="7" numFmtId="49" xfId="0" applyAlignment="1" applyBorder="1" applyFont="1" applyNumberFormat="1">
      <alignment horizontal="center"/>
    </xf>
    <xf borderId="0" fillId="3" fontId="7" numFmtId="49" xfId="0" applyAlignment="1" applyFont="1" applyNumberFormat="1">
      <alignment horizontal="center"/>
    </xf>
    <xf borderId="1" fillId="2" fontId="1" numFmtId="49" xfId="0" applyAlignment="1" applyBorder="1" applyFont="1" applyNumberFormat="1">
      <alignment horizontal="center" readingOrder="0" vertical="center"/>
    </xf>
    <xf borderId="7" fillId="6" fontId="1" numFmtId="49" xfId="0" applyAlignment="1" applyBorder="1" applyFill="1" applyFont="1" applyNumberFormat="1">
      <alignment horizontal="center"/>
    </xf>
    <xf borderId="1" fillId="6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vertical="bottom"/>
    </xf>
    <xf borderId="19" fillId="7" fontId="1" numFmtId="49" xfId="0" applyAlignment="1" applyBorder="1" applyFill="1" applyFont="1" applyNumberFormat="1">
      <alignment horizontal="center" readingOrder="0"/>
    </xf>
    <xf borderId="20" fillId="7" fontId="1" numFmtId="49" xfId="0" applyAlignment="1" applyBorder="1" applyFont="1" applyNumberFormat="1">
      <alignment horizontal="center" readingOrder="0"/>
    </xf>
    <xf borderId="21" fillId="7" fontId="1" numFmtId="49" xfId="0" applyAlignment="1" applyBorder="1" applyFont="1" applyNumberFormat="1">
      <alignment horizontal="center" readingOrder="0"/>
    </xf>
    <xf borderId="11" fillId="6" fontId="1" numFmtId="49" xfId="0" applyAlignment="1" applyBorder="1" applyFont="1" applyNumberFormat="1">
      <alignment horizontal="center" readingOrder="0" vertical="bottom"/>
    </xf>
    <xf borderId="1" fillId="6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readingOrder="0"/>
    </xf>
    <xf borderId="18" fillId="2" fontId="1" numFmtId="49" xfId="0" applyAlignment="1" applyBorder="1" applyFont="1" applyNumberFormat="1">
      <alignment horizontal="center" readingOrder="0"/>
    </xf>
    <xf borderId="19" fillId="8" fontId="1" numFmtId="49" xfId="0" applyAlignment="1" applyBorder="1" applyFill="1" applyFont="1" applyNumberFormat="1">
      <alignment horizontal="center" readingOrder="0"/>
    </xf>
    <xf borderId="20" fillId="8" fontId="1" numFmtId="49" xfId="0" applyAlignment="1" applyBorder="1" applyFont="1" applyNumberFormat="1">
      <alignment horizontal="center" readingOrder="0"/>
    </xf>
    <xf borderId="22" fillId="8" fontId="1" numFmtId="49" xfId="0" applyAlignment="1" applyBorder="1" applyFont="1" applyNumberFormat="1">
      <alignment horizontal="center" readingOrder="0"/>
    </xf>
    <xf borderId="7" fillId="5" fontId="4" numFmtId="165" xfId="0" applyAlignment="1" applyBorder="1" applyFont="1" applyNumberFormat="1">
      <alignment vertical="bottom"/>
    </xf>
    <xf borderId="23" fillId="2" fontId="1" numFmtId="0" xfId="0" applyAlignment="1" applyBorder="1" applyFont="1">
      <alignment horizontal="center" vertical="bottom"/>
    </xf>
    <xf borderId="23" fillId="2" fontId="1" numFmtId="49" xfId="0" applyAlignment="1" applyBorder="1" applyFont="1" applyNumberFormat="1">
      <alignment horizontal="center" readingOrder="0" vertical="bottom"/>
    </xf>
    <xf borderId="21" fillId="2" fontId="8" numFmtId="49" xfId="0" applyAlignment="1" applyBorder="1" applyFont="1" applyNumberFormat="1">
      <alignment horizontal="center" readingOrder="0" vertical="bottom"/>
    </xf>
    <xf borderId="6" fillId="8" fontId="1" numFmtId="49" xfId="0" applyAlignment="1" applyBorder="1" applyFont="1" applyNumberFormat="1">
      <alignment horizontal="right" readingOrder="0" shrinkToFit="0" wrapText="1"/>
    </xf>
    <xf borderId="7" fillId="5" fontId="4" numFmtId="0" xfId="0" applyAlignment="1" applyBorder="1" applyFont="1">
      <alignment vertical="bottom"/>
    </xf>
    <xf borderId="1" fillId="9" fontId="1" numFmtId="49" xfId="0" applyAlignment="1" applyBorder="1" applyFill="1" applyFont="1" applyNumberFormat="1">
      <alignment horizontal="center" vertical="bottom"/>
    </xf>
    <xf borderId="12" fillId="9" fontId="1" numFmtId="49" xfId="0" applyAlignment="1" applyBorder="1" applyFont="1" applyNumberFormat="1">
      <alignment horizontal="center" vertical="bottom"/>
    </xf>
    <xf borderId="24" fillId="9" fontId="4" numFmtId="0" xfId="0" applyAlignment="1" applyBorder="1" applyFont="1">
      <alignment vertical="bottom"/>
    </xf>
    <xf borderId="1" fillId="9" fontId="4" numFmtId="49" xfId="0" applyAlignment="1" applyBorder="1" applyFont="1" applyNumberFormat="1">
      <alignment vertical="top"/>
    </xf>
    <xf borderId="1" fillId="9" fontId="4" numFmtId="49" xfId="0" applyAlignment="1" applyBorder="1" applyFont="1" applyNumberFormat="1">
      <alignment vertical="bottom"/>
    </xf>
    <xf borderId="25" fillId="9" fontId="4" numFmtId="49" xfId="0" applyBorder="1" applyFont="1" applyNumberFormat="1"/>
    <xf borderId="6" fillId="8" fontId="4" numFmtId="49" xfId="0" applyBorder="1" applyFont="1" applyNumberFormat="1"/>
    <xf borderId="3" fillId="8" fontId="4" numFmtId="49" xfId="0" applyBorder="1" applyFont="1" applyNumberFormat="1"/>
    <xf borderId="20" fillId="8" fontId="4" numFmtId="49" xfId="0" applyBorder="1" applyFont="1" applyNumberFormat="1"/>
    <xf borderId="22" fillId="8" fontId="4" numFmtId="49" xfId="0" applyBorder="1" applyFont="1" applyNumberFormat="1"/>
    <xf borderId="0" fillId="8" fontId="4" numFmtId="49" xfId="0" applyFont="1" applyNumberFormat="1"/>
    <xf borderId="11" fillId="7" fontId="1" numFmtId="49" xfId="0" applyAlignment="1" applyBorder="1" applyFont="1" applyNumberFormat="1">
      <alignment horizontal="center" readingOrder="0"/>
    </xf>
    <xf borderId="1" fillId="7" fontId="1" numFmtId="49" xfId="0" applyAlignment="1" applyBorder="1" applyFont="1" applyNumberFormat="1">
      <alignment horizontal="center" readingOrder="0"/>
    </xf>
    <xf borderId="12" fillId="2" fontId="1" numFmtId="49" xfId="0" applyAlignment="1" applyBorder="1" applyFont="1" applyNumberFormat="1">
      <alignment horizontal="center" readingOrder="0"/>
    </xf>
    <xf borderId="11" fillId="8" fontId="1" numFmtId="49" xfId="0" applyAlignment="1" applyBorder="1" applyFont="1" applyNumberFormat="1">
      <alignment horizontal="center" readingOrder="0"/>
    </xf>
    <xf borderId="1" fillId="8" fontId="1" numFmtId="49" xfId="0" applyAlignment="1" applyBorder="1" applyFont="1" applyNumberFormat="1">
      <alignment horizontal="center" readingOrder="0"/>
    </xf>
    <xf borderId="25" fillId="8" fontId="1" numFmtId="49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left" readingOrder="0" vertical="bottom"/>
    </xf>
    <xf borderId="21" fillId="0" fontId="8" numFmtId="49" xfId="0" applyAlignment="1" applyBorder="1" applyFont="1" applyNumberFormat="1">
      <alignment horizontal="center" readingOrder="0" vertical="bottom"/>
    </xf>
    <xf borderId="7" fillId="8" fontId="1" numFmtId="49" xfId="0" applyAlignment="1" applyBorder="1" applyFont="1" applyNumberFormat="1">
      <alignment horizontal="right" readingOrder="0" shrinkToFit="0" wrapText="1"/>
    </xf>
    <xf borderId="23" fillId="9" fontId="4" numFmtId="4" xfId="0" applyAlignment="1" applyBorder="1" applyFont="1" applyNumberFormat="1">
      <alignment vertical="bottom"/>
    </xf>
    <xf borderId="7" fillId="8" fontId="4" numFmtId="49" xfId="0" applyBorder="1" applyFont="1" applyNumberFormat="1"/>
    <xf borderId="10" fillId="8" fontId="4" numFmtId="49" xfId="0" applyBorder="1" applyFont="1" applyNumberFormat="1"/>
    <xf borderId="1" fillId="8" fontId="4" numFmtId="49" xfId="0" applyBorder="1" applyFont="1" applyNumberFormat="1"/>
    <xf borderId="25" fillId="8" fontId="4" numFmtId="49" xfId="0" applyBorder="1" applyFont="1" applyNumberFormat="1"/>
    <xf borderId="25" fillId="7" fontId="1" numFmtId="49" xfId="0" applyAlignment="1" applyBorder="1" applyFont="1" applyNumberFormat="1">
      <alignment horizontal="center" readingOrder="0"/>
    </xf>
    <xf borderId="12" fillId="6" fontId="1" numFmtId="49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top"/>
    </xf>
    <xf borderId="25" fillId="2" fontId="1" numFmtId="49" xfId="0" applyAlignment="1" applyBorder="1" applyFont="1" applyNumberFormat="1">
      <alignment horizontal="center" readingOrder="0"/>
    </xf>
    <xf borderId="25" fillId="5" fontId="4" numFmtId="49" xfId="0" applyAlignment="1" applyBorder="1" applyFont="1" applyNumberFormat="1">
      <alignment vertical="bottom"/>
    </xf>
    <xf borderId="1" fillId="9" fontId="4" numFmtId="0" xfId="0" applyAlignment="1" applyBorder="1" applyFont="1">
      <alignment vertical="bottom"/>
    </xf>
    <xf borderId="1" fillId="9" fontId="4" numFmtId="0" xfId="0" applyAlignment="1" applyBorder="1" applyFont="1">
      <alignment vertical="top"/>
    </xf>
    <xf borderId="7" fillId="9" fontId="1" numFmtId="49" xfId="0" applyAlignment="1" applyBorder="1" applyFont="1" applyNumberFormat="1">
      <alignment horizontal="center"/>
    </xf>
    <xf borderId="23" fillId="9" fontId="1" numFmtId="0" xfId="0" applyAlignment="1" applyBorder="1" applyFont="1">
      <alignment horizontal="center" readingOrder="0" vertical="bottom"/>
    </xf>
    <xf borderId="1" fillId="9" fontId="1" numFmtId="49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horizontal="center" readingOrder="0" vertical="bottom"/>
    </xf>
    <xf borderId="18" fillId="9" fontId="1" numFmtId="49" xfId="0" applyAlignment="1" applyBorder="1" applyFont="1" applyNumberFormat="1">
      <alignment horizontal="center" readingOrder="0" vertical="bottom"/>
    </xf>
    <xf borderId="11" fillId="9" fontId="1" numFmtId="49" xfId="0" applyAlignment="1" applyBorder="1" applyFont="1" applyNumberFormat="1">
      <alignment horizontal="center" readingOrder="0" vertical="bottom"/>
    </xf>
    <xf borderId="26" fillId="9" fontId="1" numFmtId="49" xfId="0" applyAlignment="1" applyBorder="1" applyFont="1" applyNumberFormat="1">
      <alignment horizontal="center" readingOrder="0" vertical="bottom"/>
    </xf>
    <xf borderId="1" fillId="9" fontId="1" numFmtId="49" xfId="0" applyAlignment="1" applyBorder="1" applyFont="1" applyNumberFormat="1">
      <alignment horizontal="center" readingOrder="0"/>
    </xf>
    <xf borderId="18" fillId="9" fontId="1" numFmtId="49" xfId="0" applyAlignment="1" applyBorder="1" applyFont="1" applyNumberFormat="1">
      <alignment horizontal="center" readingOrder="0"/>
    </xf>
    <xf borderId="7" fillId="5" fontId="4" numFmtId="0" xfId="0" applyAlignment="1" applyBorder="1" applyFont="1">
      <alignment vertical="bottom"/>
    </xf>
    <xf borderId="1" fillId="9" fontId="1" numFmtId="49" xfId="0" applyAlignment="1" applyBorder="1" applyFont="1" applyNumberFormat="1">
      <alignment horizontal="center" readingOrder="0" shrinkToFit="0" vertical="bottom" wrapText="1"/>
    </xf>
    <xf borderId="1" fillId="9" fontId="1" numFmtId="0" xfId="0" applyAlignment="1" applyBorder="1" applyFont="1">
      <alignment horizontal="center" readingOrder="0" shrinkToFit="0" vertical="bottom" wrapText="1"/>
    </xf>
    <xf borderId="25" fillId="9" fontId="1" numFmtId="49" xfId="0" applyAlignment="1" applyBorder="1" applyFont="1" applyNumberFormat="1">
      <alignment horizontal="center" readingOrder="0" shrinkToFit="0" vertical="bottom" wrapText="1"/>
    </xf>
    <xf borderId="12" fillId="3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2" fillId="2" fontId="4" numFmtId="49" xfId="0" applyAlignment="1" applyBorder="1" applyFont="1" applyNumberFormat="1">
      <alignment readingOrder="0" vertical="bottom"/>
    </xf>
    <xf borderId="27" fillId="2" fontId="4" numFmtId="49" xfId="0" applyAlignment="1" applyBorder="1" applyFont="1" applyNumberFormat="1">
      <alignment readingOrder="0" vertical="bottom"/>
    </xf>
    <xf borderId="7" fillId="8" fontId="4" numFmtId="49" xfId="0" applyAlignment="1" applyBorder="1" applyFont="1" applyNumberFormat="1">
      <alignment readingOrder="0"/>
    </xf>
    <xf borderId="10" fillId="8" fontId="4" numFmtId="49" xfId="0" applyAlignment="1" applyBorder="1" applyFont="1" applyNumberFormat="1">
      <alignment readingOrder="0"/>
    </xf>
    <xf borderId="1" fillId="8" fontId="4" numFmtId="49" xfId="0" applyAlignment="1" applyBorder="1" applyFont="1" applyNumberFormat="1">
      <alignment readingOrder="0"/>
    </xf>
    <xf borderId="25" fillId="8" fontId="4" numFmtId="49" xfId="0" applyAlignment="1" applyBorder="1" applyFont="1" applyNumberFormat="1">
      <alignment readingOrder="0"/>
    </xf>
    <xf borderId="0" fillId="8" fontId="4" numFmtId="49" xfId="0" applyAlignment="1" applyFont="1" applyNumberFormat="1">
      <alignment readingOrder="0"/>
    </xf>
    <xf borderId="26" fillId="9" fontId="1" numFmtId="49" xfId="0" applyAlignment="1" applyBorder="1" applyFont="1" applyNumberFormat="1">
      <alignment horizontal="center" vertical="bottom"/>
    </xf>
    <xf borderId="1" fillId="9" fontId="1" numFmtId="4" xfId="0" applyAlignment="1" applyBorder="1" applyFont="1" applyNumberFormat="1">
      <alignment horizontal="center" readingOrder="0" vertical="bottom"/>
    </xf>
    <xf borderId="21" fillId="8" fontId="1" numFmtId="49" xfId="0" applyAlignment="1" applyBorder="1" applyFont="1" applyNumberFormat="1">
      <alignment horizontal="center" readingOrder="0"/>
    </xf>
    <xf borderId="1" fillId="9" fontId="1" numFmtId="49" xfId="0" applyAlignment="1" applyBorder="1" applyFont="1" applyNumberFormat="1">
      <alignment horizontal="center" readingOrder="0" shrinkToFit="0" wrapText="1"/>
    </xf>
    <xf borderId="18" fillId="9" fontId="1" numFmtId="49" xfId="0" applyAlignment="1" applyBorder="1" applyFont="1" applyNumberFormat="1">
      <alignment horizontal="center" readingOrder="0" shrinkToFit="0" wrapText="1"/>
    </xf>
    <xf borderId="18" fillId="9" fontId="4" numFmtId="0" xfId="0" applyAlignment="1" applyBorder="1" applyFont="1">
      <alignment vertical="bottom"/>
    </xf>
    <xf borderId="25" fillId="9" fontId="4" numFmtId="49" xfId="0" applyAlignment="1" applyBorder="1" applyFont="1" applyNumberFormat="1">
      <alignment vertical="bottom"/>
    </xf>
    <xf borderId="7" fillId="2" fontId="4" numFmtId="0" xfId="0" applyAlignment="1" applyBorder="1" applyFont="1">
      <alignment readingOrder="0" vertical="bottom"/>
    </xf>
    <xf borderId="21" fillId="2" fontId="4" numFmtId="49" xfId="0" applyAlignment="1" applyBorder="1" applyFont="1" applyNumberFormat="1">
      <alignment readingOrder="0" vertical="bottom"/>
    </xf>
    <xf borderId="1" fillId="4" fontId="1" numFmtId="49" xfId="0" applyAlignment="1" applyBorder="1" applyFont="1" applyNumberFormat="1">
      <alignment horizontal="center" vertical="bottom"/>
    </xf>
    <xf borderId="1" fillId="10" fontId="1" numFmtId="0" xfId="0" applyAlignment="1" applyBorder="1" applyFill="1" applyFont="1">
      <alignment horizontal="center" readingOrder="0" vertical="bottom"/>
    </xf>
    <xf borderId="12" fillId="10" fontId="1" numFmtId="0" xfId="0" applyAlignment="1" applyBorder="1" applyFont="1">
      <alignment horizontal="center" readingOrder="0" vertical="bottom"/>
    </xf>
    <xf borderId="18" fillId="10" fontId="1" numFmtId="49" xfId="0" applyAlignment="1" applyBorder="1" applyFont="1" applyNumberFormat="1">
      <alignment horizontal="center" readingOrder="0" vertical="bottom"/>
    </xf>
    <xf borderId="11" fillId="3" fontId="1" numFmtId="49" xfId="0" applyAlignment="1" applyBorder="1" applyFont="1" applyNumberFormat="1">
      <alignment horizontal="center" readingOrder="0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10" fontId="1" numFmtId="49" xfId="0" applyAlignment="1" applyFont="1" applyNumberFormat="1">
      <alignment horizontal="center" readingOrder="0"/>
    </xf>
    <xf borderId="18" fillId="10" fontId="1" numFmtId="49" xfId="0" applyAlignment="1" applyBorder="1" applyFont="1" applyNumberFormat="1">
      <alignment horizontal="center" readingOrder="0"/>
    </xf>
    <xf borderId="11" fillId="8" fontId="1" numFmtId="49" xfId="0" applyAlignment="1" applyBorder="1" applyFont="1" applyNumberFormat="1">
      <alignment horizontal="right" readingOrder="0" shrinkToFit="0" wrapText="1"/>
    </xf>
    <xf borderId="1" fillId="10" fontId="1" numFmtId="0" xfId="0" applyAlignment="1" applyBorder="1" applyFont="1">
      <alignment horizontal="center" readingOrder="0" shrinkToFit="0" vertical="bottom" wrapText="1"/>
    </xf>
    <xf borderId="1" fillId="10" fontId="4" numFmtId="49" xfId="0" applyAlignment="1" applyBorder="1" applyFont="1" applyNumberFormat="1">
      <alignment readingOrder="0"/>
    </xf>
    <xf borderId="12" fillId="10" fontId="4" numFmtId="49" xfId="0" applyAlignment="1" applyBorder="1" applyFont="1" applyNumberFormat="1">
      <alignment readingOrder="0"/>
    </xf>
    <xf borderId="25" fillId="10" fontId="4" numFmtId="49" xfId="0" applyAlignment="1" applyBorder="1" applyFont="1" applyNumberFormat="1">
      <alignment readingOrder="0"/>
    </xf>
    <xf borderId="13" fillId="2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 shrinkToFit="0" vertical="bottom" wrapText="1"/>
    </xf>
    <xf borderId="1" fillId="4" fontId="1" numFmtId="49" xfId="0" applyAlignment="1" applyBorder="1" applyFont="1" applyNumberFormat="1">
      <alignment horizontal="center"/>
    </xf>
    <xf borderId="12" fillId="3" fontId="1" numFmtId="49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readingOrder="0"/>
    </xf>
    <xf borderId="12" fillId="2" fontId="4" numFmtId="49" xfId="0" applyAlignment="1" applyBorder="1" applyFont="1" applyNumberFormat="1">
      <alignment readingOrder="0"/>
    </xf>
    <xf borderId="25" fillId="2" fontId="4" numFmtId="49" xfId="0" applyAlignment="1" applyBorder="1" applyFont="1" applyNumberFormat="1">
      <alignment readingOrder="0"/>
    </xf>
    <xf borderId="10" fillId="2" fontId="1" numFmtId="49" xfId="0" applyAlignment="1" applyBorder="1" applyFont="1" applyNumberFormat="1">
      <alignment horizontal="center" readingOrder="0" vertical="bottom"/>
    </xf>
    <xf borderId="23" fillId="3" fontId="1" numFmtId="49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center" readingOrder="0"/>
    </xf>
    <xf borderId="0" fillId="5" fontId="4" numFmtId="49" xfId="0" applyAlignment="1" applyFont="1" applyNumberFormat="1">
      <alignment vertical="bottom"/>
    </xf>
    <xf borderId="1" fillId="3" fontId="1" numFmtId="49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vertical="top"/>
    </xf>
    <xf borderId="12" fillId="2" fontId="4" numFmtId="49" xfId="0" applyAlignment="1" applyBorder="1" applyFont="1" applyNumberFormat="1">
      <alignment vertical="bottom"/>
    </xf>
    <xf borderId="25" fillId="2" fontId="4" numFmtId="49" xfId="0" applyBorder="1" applyFont="1" applyNumberFormat="1"/>
    <xf borderId="0" fillId="2" fontId="1" numFmtId="49" xfId="0" applyAlignment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/>
    </xf>
    <xf borderId="1" fillId="3" fontId="1" numFmtId="49" xfId="0" applyAlignment="1" applyBorder="1" applyFont="1" applyNumberFormat="1">
      <alignment horizontal="center" readingOrder="0"/>
    </xf>
    <xf borderId="1" fillId="2" fontId="4" numFmtId="49" xfId="0" applyAlignment="1" applyBorder="1" applyFont="1" applyNumberFormat="1">
      <alignment readingOrder="0" vertical="top"/>
    </xf>
    <xf borderId="7" fillId="2" fontId="4" numFmtId="49" xfId="0" applyAlignment="1" applyBorder="1" applyFont="1" applyNumberFormat="1">
      <alignment readingOrder="0" vertical="bottom"/>
    </xf>
    <xf borderId="21" fillId="2" fontId="1" numFmtId="49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readingOrder="0"/>
    </xf>
    <xf borderId="25" fillId="8" fontId="9" numFmtId="49" xfId="0" applyAlignment="1" applyBorder="1" applyFont="1" applyNumberFormat="1">
      <alignment horizontal="center" readingOrder="0"/>
    </xf>
    <xf borderId="12" fillId="2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/>
    </xf>
    <xf borderId="7" fillId="2" fontId="4" numFmtId="49" xfId="0" applyAlignment="1" applyBorder="1" applyFont="1" applyNumberFormat="1">
      <alignment vertical="bottom"/>
    </xf>
    <xf borderId="21" fillId="2" fontId="4" numFmtId="49" xfId="0" applyAlignment="1" applyBorder="1" applyFont="1" applyNumberFormat="1">
      <alignment vertical="bottom"/>
    </xf>
    <xf borderId="25" fillId="2" fontId="1" numFmtId="49" xfId="0" applyAlignment="1" applyBorder="1" applyFont="1" applyNumberFormat="1">
      <alignment horizontal="center" readingOrder="0" vertical="bottom"/>
    </xf>
    <xf borderId="12" fillId="2" fontId="1" numFmtId="0" xfId="0" applyAlignment="1" applyBorder="1" applyFont="1">
      <alignment horizontal="center" readingOrder="0" vertical="bottom"/>
    </xf>
    <xf borderId="7" fillId="5" fontId="1" numFmtId="0" xfId="0" applyAlignment="1" applyBorder="1" applyFont="1">
      <alignment horizontal="center" vertical="bottom"/>
    </xf>
    <xf borderId="12" fillId="3" fontId="1" numFmtId="49" xfId="0" applyAlignment="1" applyBorder="1" applyFont="1" applyNumberFormat="1">
      <alignment horizontal="center" readingOrder="0" vertical="bottom"/>
    </xf>
    <xf borderId="25" fillId="2" fontId="4" numFmtId="49" xfId="0" applyAlignment="1" applyBorder="1" applyFont="1" applyNumberFormat="1">
      <alignment vertical="bottom"/>
    </xf>
    <xf borderId="10" fillId="5" fontId="4" numFmtId="0" xfId="0" applyAlignment="1" applyBorder="1" applyFont="1">
      <alignment readingOrder="0"/>
    </xf>
    <xf borderId="1" fillId="2" fontId="9" numFmtId="0" xfId="0" applyAlignment="1" applyBorder="1" applyFont="1">
      <alignment horizontal="center" readingOrder="0" shrinkToFit="0" vertical="bottom" wrapText="1"/>
    </xf>
    <xf borderId="7" fillId="2" fontId="1" numFmtId="49" xfId="0" applyAlignment="1" applyBorder="1" applyFont="1" applyNumberFormat="1">
      <alignment horizontal="center" readingOrder="0" vertical="bottom"/>
    </xf>
    <xf borderId="18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shrinkToFit="0" vertical="bottom" wrapText="1"/>
    </xf>
    <xf borderId="1" fillId="3" fontId="1" numFmtId="49" xfId="0" applyAlignment="1" applyBorder="1" applyFont="1" applyNumberFormat="1">
      <alignment horizontal="center" vertical="bottom"/>
    </xf>
    <xf borderId="1" fillId="2" fontId="4" numFmtId="49" xfId="0" applyAlignment="1" applyBorder="1" applyFont="1" applyNumberFormat="1">
      <alignment vertical="bottom"/>
    </xf>
    <xf borderId="7" fillId="8" fontId="4" numFmtId="0" xfId="0" applyBorder="1" applyFont="1"/>
    <xf borderId="10" fillId="8" fontId="4" numFmtId="0" xfId="0" applyBorder="1" applyFont="1"/>
    <xf borderId="1" fillId="8" fontId="4" numFmtId="0" xfId="0" applyBorder="1" applyFont="1"/>
    <xf borderId="25" fillId="8" fontId="4" numFmtId="0" xfId="0" applyBorder="1" applyFont="1"/>
    <xf borderId="0" fillId="8" fontId="4" numFmtId="0" xfId="0" applyFont="1"/>
    <xf borderId="1" fillId="0" fontId="1" numFmtId="0" xfId="0" applyAlignment="1" applyBorder="1" applyFont="1">
      <alignment horizontal="center" readingOrder="0" shrinkToFit="0" vertical="bottom" wrapText="1"/>
    </xf>
    <xf borderId="10" fillId="5" fontId="4" numFmtId="165" xfId="0" applyBorder="1" applyFont="1" applyNumberFormat="1"/>
    <xf borderId="18" fillId="2" fontId="1" numFmtId="0" xfId="0" applyAlignment="1" applyBorder="1" applyFont="1">
      <alignment horizontal="center" readingOrder="0"/>
    </xf>
    <xf borderId="1" fillId="10" fontId="4" numFmtId="49" xfId="0" applyAlignment="1" applyBorder="1" applyFont="1" applyNumberFormat="1">
      <alignment vertical="bottom"/>
    </xf>
    <xf borderId="1" fillId="10" fontId="4" numFmtId="0" xfId="0" applyAlignment="1" applyBorder="1" applyFont="1">
      <alignment vertical="bottom"/>
    </xf>
    <xf borderId="23" fillId="10" fontId="4" numFmtId="49" xfId="0" applyAlignment="1" applyBorder="1" applyFont="1" applyNumberFormat="1">
      <alignment vertical="bottom"/>
    </xf>
    <xf borderId="25" fillId="10" fontId="4" numFmtId="49" xfId="0" applyBorder="1" applyFont="1" applyNumberFormat="1"/>
    <xf borderId="1" fillId="10" fontId="4" numFmtId="49" xfId="0" applyAlignment="1" applyBorder="1" applyFont="1" applyNumberFormat="1">
      <alignment horizontal="center" vertical="bottom"/>
    </xf>
    <xf borderId="1" fillId="10" fontId="4" numFmtId="0" xfId="0" applyAlignment="1" applyBorder="1" applyFont="1">
      <alignment vertical="bottom"/>
    </xf>
    <xf borderId="12" fillId="10" fontId="4" numFmtId="49" xfId="0" applyAlignment="1" applyBorder="1" applyFont="1" applyNumberFormat="1">
      <alignment vertical="bottom"/>
    </xf>
    <xf borderId="27" fillId="10" fontId="4" numFmtId="49" xfId="0" applyAlignment="1" applyBorder="1" applyFont="1" applyNumberFormat="1">
      <alignment vertical="bottom"/>
    </xf>
    <xf borderId="1" fillId="4" fontId="1" numFmtId="49" xfId="0" applyAlignment="1" applyBorder="1" applyFont="1" applyNumberFormat="1">
      <alignment horizontal="center" readingOrder="0"/>
    </xf>
    <xf borderId="1" fillId="10" fontId="1" numFmtId="49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 shrinkToFit="0" vertical="bottom" wrapText="1"/>
    </xf>
    <xf borderId="25" fillId="2" fontId="1" numFmtId="49" xfId="0" applyAlignment="1" applyBorder="1" applyFont="1" applyNumberFormat="1">
      <alignment horizontal="center" readingOrder="0" shrinkToFit="0" wrapText="1"/>
    </xf>
    <xf borderId="1" fillId="10" fontId="4" numFmtId="49" xfId="0" applyAlignment="1" applyBorder="1" applyFont="1" applyNumberFormat="1">
      <alignment horizontal="center"/>
    </xf>
    <xf borderId="12" fillId="2" fontId="1" numFmtId="49" xfId="0" applyAlignment="1" applyBorder="1" applyFont="1" applyNumberFormat="1">
      <alignment horizontal="center" readingOrder="0" vertical="bottom"/>
    </xf>
    <xf borderId="7" fillId="5" fontId="4" numFmtId="0" xfId="0" applyBorder="1" applyFont="1"/>
    <xf borderId="1" fillId="11" fontId="1" numFmtId="49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0" fillId="2" fontId="1" numFmtId="49" xfId="0" applyAlignment="1" applyFont="1" applyNumberFormat="1">
      <alignment horizontal="center" readingOrder="0"/>
    </xf>
    <xf borderId="1" fillId="2" fontId="1" numFmtId="49" xfId="0" applyAlignment="1" applyBorder="1" applyFont="1" applyNumberFormat="1">
      <alignment horizontal="center" vertical="bottom"/>
    </xf>
    <xf borderId="25" fillId="2" fontId="1" numFmtId="49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shrinkToFit="0" wrapText="1"/>
    </xf>
    <xf borderId="7" fillId="2" fontId="1" numFmtId="0" xfId="0" applyAlignment="1" applyBorder="1" applyFont="1">
      <alignment horizontal="center" readingOrder="0" shrinkToFit="0" vertical="bottom" wrapText="1"/>
    </xf>
    <xf borderId="21" fillId="2" fontId="4" numFmtId="49" xfId="0" applyBorder="1" applyFont="1" applyNumberFormat="1"/>
    <xf borderId="0" fillId="4" fontId="1" numFmtId="0" xfId="0" applyAlignment="1" applyFont="1">
      <alignment horizontal="center" readingOrder="0"/>
    </xf>
    <xf borderId="12" fillId="4" fontId="1" numFmtId="49" xfId="0" applyAlignment="1" applyBorder="1" applyFont="1" applyNumberFormat="1">
      <alignment horizontal="center" vertical="bottom"/>
    </xf>
    <xf borderId="7" fillId="2" fontId="1" numFmtId="49" xfId="0" applyAlignment="1" applyBorder="1" applyFont="1" applyNumberFormat="1">
      <alignment horizontal="center" readingOrder="0" shrinkToFit="0" vertical="bottom" wrapText="1"/>
    </xf>
    <xf borderId="28" fillId="3" fontId="1" numFmtId="49" xfId="0" applyAlignment="1" applyBorder="1" applyFont="1" applyNumberFormat="1">
      <alignment horizontal="center" readingOrder="0" vertical="bottom"/>
    </xf>
    <xf borderId="7" fillId="5" fontId="4" numFmtId="0" xfId="0" applyAlignment="1" applyBorder="1" applyFont="1">
      <alignment readingOrder="0" vertical="bottom"/>
    </xf>
    <xf borderId="23" fillId="4" fontId="1" numFmtId="49" xfId="0" applyAlignment="1" applyBorder="1" applyFont="1" applyNumberFormat="1">
      <alignment horizontal="center" vertical="bottom"/>
    </xf>
    <xf borderId="12" fillId="2" fontId="1" numFmtId="49" xfId="0" applyAlignment="1" applyBorder="1" applyFont="1" applyNumberFormat="1">
      <alignment horizontal="center" readingOrder="0" shrinkToFit="0" vertical="bottom" wrapText="1"/>
    </xf>
    <xf borderId="29" fillId="4" fontId="1" numFmtId="49" xfId="0" applyAlignment="1" applyBorder="1" applyFont="1" applyNumberFormat="1">
      <alignment horizontal="center"/>
    </xf>
    <xf borderId="7" fillId="2" fontId="1" numFmtId="0" xfId="0" applyAlignment="1" applyBorder="1" applyFont="1">
      <alignment horizontal="center" readingOrder="0" vertical="bottom"/>
    </xf>
    <xf borderId="8" fillId="5" fontId="4" numFmtId="49" xfId="0" applyBorder="1" applyFont="1" applyNumberFormat="1"/>
    <xf borderId="21" fillId="5" fontId="4" numFmtId="49" xfId="0" applyAlignment="1" applyBorder="1" applyFont="1" applyNumberFormat="1">
      <alignment vertical="bottom"/>
    </xf>
    <xf borderId="29" fillId="5" fontId="4" numFmtId="0" xfId="0" applyAlignment="1" applyBorder="1" applyFont="1">
      <alignment vertical="bottom"/>
    </xf>
    <xf borderId="23" fillId="2" fontId="4" numFmtId="0" xfId="0" applyAlignment="1" applyBorder="1" applyFont="1">
      <alignment vertical="bottom"/>
    </xf>
    <xf borderId="1" fillId="2" fontId="4" numFmtId="49" xfId="0" applyBorder="1" applyFont="1" applyNumberFormat="1"/>
    <xf borderId="25" fillId="12" fontId="4" numFmtId="49" xfId="0" applyAlignment="1" applyBorder="1" applyFill="1" applyFont="1" applyNumberFormat="1">
      <alignment vertical="bottom"/>
    </xf>
    <xf borderId="23" fillId="3" fontId="1" numFmtId="49" xfId="0" applyAlignment="1" applyBorder="1" applyFont="1" applyNumberFormat="1">
      <alignment horizontal="center" readingOrder="0"/>
    </xf>
    <xf borderId="29" fillId="5" fontId="4" numFmtId="165" xfId="0" applyAlignment="1" applyBorder="1" applyFont="1" applyNumberFormat="1">
      <alignment vertical="bottom"/>
    </xf>
    <xf borderId="23" fillId="2" fontId="4" numFmtId="0" xfId="0" applyAlignment="1" applyBorder="1" applyFont="1">
      <alignment vertical="bottom"/>
    </xf>
    <xf borderId="29" fillId="7" fontId="1" numFmtId="49" xfId="0" applyAlignment="1" applyBorder="1" applyFont="1" applyNumberFormat="1">
      <alignment horizontal="center"/>
    </xf>
    <xf borderId="14" fillId="7" fontId="1" numFmtId="49" xfId="0" applyAlignment="1" applyBorder="1" applyFont="1" applyNumberFormat="1">
      <alignment horizontal="center"/>
    </xf>
    <xf borderId="23" fillId="7" fontId="1" numFmtId="0" xfId="0" applyAlignment="1" applyBorder="1" applyFont="1">
      <alignment horizontal="center" readingOrder="0" vertical="bottom"/>
    </xf>
    <xf borderId="1" fillId="7" fontId="1" numFmtId="49" xfId="0" applyAlignment="1" applyBorder="1" applyFont="1" applyNumberFormat="1">
      <alignment horizontal="center" readingOrder="0" vertical="bottom"/>
    </xf>
    <xf borderId="24" fillId="7" fontId="1" numFmtId="49" xfId="0" applyAlignment="1" applyBorder="1" applyFont="1" applyNumberFormat="1">
      <alignment horizontal="center" readingOrder="0" vertical="bottom"/>
    </xf>
    <xf borderId="28" fillId="7" fontId="1" numFmtId="49" xfId="0" applyAlignment="1" applyBorder="1" applyFont="1" applyNumberFormat="1">
      <alignment horizontal="center" readingOrder="0" vertical="bottom"/>
    </xf>
    <xf borderId="23" fillId="7" fontId="1" numFmtId="49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horizontal="center" readingOrder="0" shrinkToFit="0" vertical="bottom" wrapText="1"/>
    </xf>
    <xf borderId="12" fillId="7" fontId="1" numFmtId="49" xfId="0" applyAlignment="1" applyBorder="1" applyFont="1" applyNumberFormat="1">
      <alignment horizontal="center" readingOrder="0"/>
    </xf>
    <xf borderId="13" fillId="7" fontId="1" numFmtId="49" xfId="0" applyAlignment="1" applyBorder="1" applyFont="1" applyNumberFormat="1">
      <alignment horizontal="center" readingOrder="0"/>
    </xf>
    <xf borderId="29" fillId="5" fontId="4" numFmtId="165" xfId="0" applyBorder="1" applyFont="1" applyNumberFormat="1"/>
    <xf borderId="23" fillId="7" fontId="1" numFmtId="49" xfId="0" applyAlignment="1" applyBorder="1" applyFont="1" applyNumberFormat="1">
      <alignment horizontal="center"/>
    </xf>
    <xf borderId="12" fillId="7" fontId="1" numFmtId="49" xfId="0" applyAlignment="1" applyBorder="1" applyFont="1" applyNumberFormat="1">
      <alignment horizontal="center" vertical="bottom"/>
    </xf>
    <xf borderId="1" fillId="7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readingOrder="0" shrinkToFit="0" wrapText="1"/>
    </xf>
    <xf borderId="1" fillId="7" fontId="1" numFmtId="0" xfId="0" applyAlignment="1" applyBorder="1" applyFont="1">
      <alignment horizontal="center" readingOrder="0"/>
    </xf>
    <xf borderId="18" fillId="7" fontId="1" numFmtId="49" xfId="0" applyAlignment="1" applyBorder="1" applyFont="1" applyNumberFormat="1">
      <alignment horizontal="center" readingOrder="0"/>
    </xf>
    <xf borderId="23" fillId="3" fontId="1" numFmtId="49" xfId="0" applyAlignment="1" applyBorder="1" applyFont="1" applyNumberFormat="1">
      <alignment horizontal="center"/>
    </xf>
    <xf borderId="1" fillId="2" fontId="4" numFmtId="0" xfId="0" applyBorder="1" applyFont="1"/>
    <xf borderId="18" fillId="2" fontId="4" numFmtId="0" xfId="0" applyBorder="1" applyFont="1"/>
    <xf borderId="30" fillId="7" fontId="1" numFmtId="49" xfId="0" applyAlignment="1" applyBorder="1" applyFont="1" applyNumberFormat="1">
      <alignment horizontal="center"/>
    </xf>
    <xf borderId="31" fillId="7" fontId="1" numFmtId="49" xfId="0" applyAlignment="1" applyBorder="1" applyFont="1" applyNumberFormat="1">
      <alignment horizontal="center" vertical="bottom"/>
    </xf>
    <xf borderId="32" fillId="7" fontId="1" numFmtId="0" xfId="0" applyAlignment="1" applyBorder="1" applyFont="1">
      <alignment horizontal="center" readingOrder="0" vertical="bottom"/>
    </xf>
    <xf borderId="31" fillId="7" fontId="1" numFmtId="49" xfId="0" applyAlignment="1" applyBorder="1" applyFont="1" applyNumberFormat="1">
      <alignment horizontal="center" readingOrder="0" vertical="bottom"/>
    </xf>
    <xf borderId="29" fillId="7" fontId="1" numFmtId="0" xfId="0" applyAlignment="1" applyBorder="1" applyFont="1">
      <alignment horizontal="center" readingOrder="0" shrinkToFit="0" wrapText="1"/>
    </xf>
    <xf borderId="33" fillId="7" fontId="1" numFmtId="49" xfId="0" applyAlignment="1" applyBorder="1" applyFont="1" applyNumberFormat="1">
      <alignment horizontal="center" readingOrder="0" vertical="bottom"/>
    </xf>
    <xf borderId="34" fillId="8" fontId="1" numFmtId="49" xfId="0" applyAlignment="1" applyBorder="1" applyFont="1" applyNumberFormat="1">
      <alignment horizontal="center" readingOrder="0"/>
    </xf>
    <xf borderId="26" fillId="8" fontId="1" numFmtId="49" xfId="0" applyAlignment="1" applyBorder="1" applyFont="1" applyNumberFormat="1">
      <alignment horizontal="center" readingOrder="0"/>
    </xf>
    <xf borderId="35" fillId="8" fontId="1" numFmtId="49" xfId="0" applyAlignment="1" applyBorder="1" applyFont="1" applyNumberFormat="1">
      <alignment horizontal="center" readingOrder="0"/>
    </xf>
    <xf borderId="15" fillId="5" fontId="4" numFmtId="49" xfId="0" applyBorder="1" applyFont="1" applyNumberFormat="1"/>
    <xf borderId="36" fillId="7" fontId="1" numFmtId="49" xfId="0" applyAlignment="1" applyBorder="1" applyFont="1" applyNumberFormat="1">
      <alignment horizontal="center" readingOrder="0" vertical="bottom"/>
    </xf>
    <xf borderId="32" fillId="7" fontId="1" numFmtId="49" xfId="0" applyAlignment="1" applyBorder="1" applyFont="1" applyNumberFormat="1">
      <alignment horizontal="center" readingOrder="0" vertical="bottom"/>
    </xf>
    <xf borderId="26" fillId="7" fontId="1" numFmtId="0" xfId="0" applyAlignment="1" applyBorder="1" applyFont="1">
      <alignment horizontal="center" readingOrder="0" vertical="bottom"/>
    </xf>
    <xf borderId="31" fillId="7" fontId="1" numFmtId="0" xfId="0" applyAlignment="1" applyBorder="1" applyFont="1">
      <alignment horizontal="center" readingOrder="0"/>
    </xf>
    <xf borderId="37" fillId="7" fontId="1" numFmtId="49" xfId="0" applyAlignment="1" applyBorder="1" applyFont="1" applyNumberFormat="1">
      <alignment horizontal="center" readingOrder="0"/>
    </xf>
    <xf borderId="38" fillId="7" fontId="1" numFmtId="49" xfId="0" applyAlignment="1" applyBorder="1" applyFont="1" applyNumberFormat="1">
      <alignment horizontal="center" readingOrder="0"/>
    </xf>
    <xf borderId="16" fillId="8" fontId="1" numFmtId="49" xfId="0" applyAlignment="1" applyBorder="1" applyFont="1" applyNumberFormat="1">
      <alignment horizontal="center" readingOrder="0"/>
    </xf>
    <xf borderId="30" fillId="5" fontId="4" numFmtId="165" xfId="0" applyAlignment="1" applyBorder="1" applyFont="1" applyNumberFormat="1">
      <alignment vertical="bottom"/>
    </xf>
    <xf borderId="32" fillId="7" fontId="1" numFmtId="49" xfId="0" applyAlignment="1" applyBorder="1" applyFont="1" applyNumberFormat="1">
      <alignment horizontal="center" vertical="bottom"/>
    </xf>
    <xf borderId="37" fillId="7" fontId="1" numFmtId="49" xfId="0" applyAlignment="1" applyBorder="1" applyFont="1" applyNumberFormat="1">
      <alignment horizontal="center" vertical="bottom"/>
    </xf>
    <xf borderId="0" fillId="7" fontId="1" numFmtId="0" xfId="0" applyAlignment="1" applyFont="1">
      <alignment horizontal="center" readingOrder="0" vertical="bottom"/>
    </xf>
    <xf borderId="37" fillId="7" fontId="1" numFmtId="0" xfId="0" applyAlignment="1" applyBorder="1" applyFont="1">
      <alignment horizontal="center" readingOrder="0"/>
    </xf>
    <xf borderId="39" fillId="7" fontId="1" numFmtId="49" xfId="0" applyAlignment="1" applyBorder="1" applyFont="1" applyNumberFormat="1">
      <alignment horizontal="center" readingOrder="0"/>
    </xf>
    <xf borderId="30" fillId="8" fontId="1" numFmtId="49" xfId="0" applyAlignment="1" applyBorder="1" applyFont="1" applyNumberFormat="1">
      <alignment horizontal="right" readingOrder="0" shrinkToFit="0" wrapText="1"/>
    </xf>
    <xf borderId="31" fillId="8" fontId="1" numFmtId="49" xfId="0" applyAlignment="1" applyBorder="1" applyFont="1" applyNumberFormat="1">
      <alignment horizontal="center" readingOrder="0"/>
    </xf>
    <xf borderId="9" fillId="8" fontId="1" numFmtId="49" xfId="0" applyAlignment="1" applyBorder="1" applyFont="1" applyNumberFormat="1">
      <alignment horizontal="center" readingOrder="0"/>
    </xf>
    <xf borderId="31" fillId="3" fontId="1" numFmtId="49" xfId="0" applyAlignment="1" applyBorder="1" applyFont="1" applyNumberFormat="1">
      <alignment horizontal="center" vertical="bottom"/>
    </xf>
    <xf borderId="37" fillId="2" fontId="4" numFmtId="0" xfId="0" applyAlignment="1" applyBorder="1" applyFont="1">
      <alignment vertical="bottom"/>
    </xf>
    <xf borderId="37" fillId="2" fontId="4" numFmtId="49" xfId="0" applyAlignment="1" applyBorder="1" applyFont="1" applyNumberFormat="1">
      <alignment vertical="bottom"/>
    </xf>
    <xf borderId="39" fillId="2" fontId="4" numFmtId="49" xfId="0" applyAlignment="1" applyBorder="1" applyFont="1" applyNumberFormat="1">
      <alignment vertical="bottom"/>
    </xf>
    <xf borderId="30" fillId="8" fontId="4" numFmtId="49" xfId="0" applyBorder="1" applyFont="1" applyNumberFormat="1"/>
    <xf borderId="15" fillId="8" fontId="4" numFmtId="49" xfId="0" applyBorder="1" applyFont="1" applyNumberFormat="1"/>
    <xf borderId="31" fillId="8" fontId="4" numFmtId="49" xfId="0" applyBorder="1" applyFont="1" applyNumberFormat="1"/>
    <xf borderId="9" fillId="8" fontId="4" numFmtId="49" xfId="0" applyBorder="1" applyFont="1" applyNumberFormat="1"/>
    <xf borderId="1" fillId="2" fontId="10" numFmtId="49" xfId="0" applyAlignment="1" applyBorder="1" applyFont="1" applyNumberFormat="1">
      <alignment vertical="bottom"/>
    </xf>
    <xf borderId="0" fillId="0" fontId="10" numFmtId="49" xfId="0" applyAlignment="1" applyFont="1" applyNumberFormat="1">
      <alignment vertical="bottom"/>
    </xf>
    <xf borderId="0" fillId="0" fontId="10" numFmtId="0" xfId="0" applyAlignment="1" applyFont="1">
      <alignment vertical="bottom"/>
    </xf>
    <xf borderId="40" fillId="2" fontId="10" numFmtId="166" xfId="0" applyAlignment="1" applyBorder="1" applyFont="1" applyNumberFormat="1">
      <alignment vertical="bottom"/>
    </xf>
    <xf borderId="40" fillId="0" fontId="3" numFmtId="0" xfId="0" applyBorder="1" applyFont="1"/>
    <xf borderId="41" fillId="0" fontId="3" numFmtId="0" xfId="0" applyBorder="1" applyFont="1"/>
    <xf borderId="0" fillId="2" fontId="10" numFmtId="49" xfId="0" applyAlignment="1" applyFont="1" applyNumberFormat="1">
      <alignment vertical="bottom"/>
    </xf>
    <xf borderId="0" fillId="2" fontId="10" numFmtId="165" xfId="0" applyAlignment="1" applyFont="1" applyNumberFormat="1">
      <alignment vertical="bottom"/>
    </xf>
    <xf borderId="0" fillId="5" fontId="10" numFmtId="165" xfId="0" applyAlignment="1" applyFont="1" applyNumberFormat="1">
      <alignment vertical="bottom"/>
    </xf>
    <xf borderId="0" fillId="5" fontId="10" numFmtId="49" xfId="0" applyAlignment="1" applyFont="1" applyNumberFormat="1">
      <alignment vertical="bottom"/>
    </xf>
    <xf borderId="0" fillId="5" fontId="10" numFmtId="0" xfId="0" applyAlignment="1" applyFont="1">
      <alignment vertical="bottom"/>
    </xf>
    <xf borderId="42" fillId="5" fontId="1" numFmtId="0" xfId="0" applyAlignment="1" applyBorder="1" applyFont="1">
      <alignment horizontal="center" vertical="bottom"/>
    </xf>
    <xf borderId="7" fillId="2" fontId="10" numFmtId="49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0" fillId="2" fontId="10" numFmtId="0" xfId="0" applyAlignment="1" applyFont="1">
      <alignment vertical="bottom"/>
    </xf>
    <xf borderId="43" fillId="2" fontId="11" numFmtId="166" xfId="0" applyAlignment="1" applyBorder="1" applyFont="1" applyNumberFormat="1">
      <alignment horizontal="center" readingOrder="0" vertical="bottom"/>
    </xf>
    <xf borderId="7" fillId="2" fontId="10" numFmtId="166" xfId="0" applyAlignment="1" applyBorder="1" applyFont="1" applyNumberFormat="1">
      <alignment vertical="bottom"/>
    </xf>
    <xf borderId="0" fillId="2" fontId="10" numFmtId="166" xfId="0" applyAlignment="1" applyFont="1" applyNumberFormat="1">
      <alignment vertical="bottom"/>
    </xf>
    <xf borderId="0" fillId="5" fontId="10" numFmtId="166" xfId="0" applyAlignment="1" applyFont="1" applyNumberFormat="1">
      <alignment vertical="bottom"/>
    </xf>
    <xf borderId="2" fillId="4" fontId="12" numFmtId="49" xfId="0" applyAlignment="1" applyBorder="1" applyFont="1" applyNumberFormat="1">
      <alignment horizontal="center" readingOrder="0" vertical="center"/>
    </xf>
    <xf borderId="44" fillId="0" fontId="3" numFmtId="0" xfId="0" applyBorder="1" applyFont="1"/>
    <xf borderId="0" fillId="4" fontId="10" numFmtId="49" xfId="0" applyAlignment="1" applyFont="1" applyNumberFormat="1">
      <alignment vertical="bottom"/>
    </xf>
    <xf borderId="18" fillId="2" fontId="10" numFmtId="0" xfId="0" applyAlignment="1" applyBorder="1" applyFont="1">
      <alignment vertical="bottom"/>
    </xf>
    <xf borderId="45" fillId="2" fontId="1" numFmtId="0" xfId="0" applyAlignment="1" applyBorder="1" applyFont="1">
      <alignment horizontal="center" vertical="bottom"/>
    </xf>
    <xf borderId="46" fillId="0" fontId="3" numFmtId="0" xfId="0" applyBorder="1" applyFont="1"/>
    <xf borderId="47" fillId="0" fontId="3" numFmtId="0" xfId="0" applyBorder="1" applyFont="1"/>
    <xf borderId="48" fillId="2" fontId="1" numFmtId="0" xfId="0" applyAlignment="1" applyBorder="1" applyFont="1">
      <alignment horizontal="center" shrinkToFit="0" vertical="bottom" wrapText="1"/>
    </xf>
    <xf borderId="49" fillId="3" fontId="1" numFmtId="0" xfId="0" applyAlignment="1" applyBorder="1" applyFont="1">
      <alignment horizontal="center" shrinkToFit="0" vertical="bottom" wrapText="1"/>
    </xf>
    <xf borderId="0" fillId="2" fontId="10" numFmtId="0" xfId="0" applyAlignment="1" applyFont="1">
      <alignment vertical="bottom"/>
    </xf>
    <xf borderId="5" fillId="6" fontId="10" numFmtId="0" xfId="0" applyAlignment="1" applyBorder="1" applyFont="1">
      <alignment vertical="bottom"/>
    </xf>
    <xf borderId="6" fillId="0" fontId="3" numFmtId="0" xfId="0" applyBorder="1" applyFont="1"/>
    <xf borderId="20" fillId="6" fontId="1" numFmtId="0" xfId="0" applyAlignment="1" applyBorder="1" applyFont="1">
      <alignment horizontal="center" vertical="bottom"/>
    </xf>
    <xf borderId="22" fillId="6" fontId="10" numFmtId="0" xfId="0" applyAlignment="1" applyBorder="1" applyFont="1">
      <alignment vertical="bottom"/>
    </xf>
    <xf borderId="50" fillId="3" fontId="1" numFmtId="0" xfId="0" applyAlignment="1" applyBorder="1" applyFont="1">
      <alignment horizontal="center" shrinkToFit="0" vertical="bottom" wrapText="1"/>
    </xf>
    <xf borderId="5" fillId="7" fontId="10" numFmtId="0" xfId="0" applyAlignment="1" applyBorder="1" applyFont="1">
      <alignment vertical="bottom"/>
    </xf>
    <xf borderId="20" fillId="7" fontId="1" numFmtId="0" xfId="0" applyAlignment="1" applyBorder="1" applyFont="1">
      <alignment horizontal="center" vertical="bottom"/>
    </xf>
    <xf borderId="4" fillId="7" fontId="10" numFmtId="0" xfId="0" applyAlignment="1" applyBorder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51" fillId="3" fontId="1" numFmtId="0" xfId="0" applyAlignment="1" applyBorder="1" applyFont="1">
      <alignment horizontal="center" shrinkToFit="0" vertical="bottom" wrapText="1"/>
    </xf>
    <xf borderId="13" fillId="0" fontId="3" numFmtId="0" xfId="0" applyBorder="1" applyFont="1"/>
    <xf borderId="27" fillId="0" fontId="3" numFmtId="0" xfId="0" applyBorder="1" applyFont="1"/>
    <xf borderId="1" fillId="2" fontId="13" numFmtId="0" xfId="0" applyAlignment="1" applyBorder="1" applyFont="1">
      <alignment vertical="bottom"/>
    </xf>
    <xf borderId="13" fillId="11" fontId="1" numFmtId="0" xfId="0" applyAlignment="1" applyBorder="1" applyFont="1">
      <alignment horizontal="center" vertical="bottom"/>
    </xf>
    <xf borderId="12" fillId="0" fontId="3" numFmtId="0" xfId="0" applyBorder="1" applyFont="1"/>
    <xf borderId="23" fillId="11" fontId="1" numFmtId="0" xfId="0" applyAlignment="1" applyBorder="1" applyFont="1">
      <alignment horizontal="center" shrinkToFit="0" vertical="bottom" wrapText="1"/>
    </xf>
    <xf borderId="24" fillId="2" fontId="1" numFmtId="0" xfId="0" applyAlignment="1" applyBorder="1" applyFont="1">
      <alignment horizontal="center" readingOrder="0" vertical="bottom"/>
    </xf>
    <xf borderId="11" fillId="8" fontId="1" numFmtId="0" xfId="0" applyAlignment="1" applyBorder="1" applyFont="1">
      <alignment horizontal="center" readingOrder="0"/>
    </xf>
    <xf borderId="25" fillId="2" fontId="1" numFmtId="0" xfId="0" applyAlignment="1" applyBorder="1" applyFont="1">
      <alignment horizontal="center" readingOrder="0" vertical="bottom"/>
    </xf>
    <xf borderId="0" fillId="2" fontId="4" numFmtId="0" xfId="0" applyFont="1"/>
    <xf borderId="52" fillId="11" fontId="1" numFmtId="0" xfId="0" applyAlignment="1" applyBorder="1" applyFont="1">
      <alignment horizontal="center" vertical="bottom"/>
    </xf>
    <xf borderId="24" fillId="11" fontId="1" numFmtId="0" xfId="0" applyAlignment="1" applyBorder="1" applyFont="1">
      <alignment horizontal="center" vertical="bottom"/>
    </xf>
    <xf borderId="53" fillId="6" fontId="1" numFmtId="0" xfId="0" applyAlignment="1" applyBorder="1" applyFont="1">
      <alignment horizontal="center" readingOrder="0" vertical="bottom"/>
    </xf>
    <xf borderId="0" fillId="13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23" fillId="11" fontId="1" numFmtId="0" xfId="0" applyAlignment="1" applyBorder="1" applyFont="1">
      <alignment horizontal="center" readingOrder="0" vertical="bottom"/>
    </xf>
    <xf borderId="53" fillId="7" fontId="1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right" shrinkToFit="0" vertical="bottom" wrapText="1"/>
    </xf>
    <xf borderId="0" fillId="2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30" fillId="4" fontId="1" numFmtId="49" xfId="0" applyAlignment="1" applyBorder="1" applyFont="1" applyNumberFormat="1">
      <alignment horizontal="center"/>
    </xf>
    <xf borderId="31" fillId="4" fontId="6" numFmtId="49" xfId="0" applyAlignment="1" applyBorder="1" applyFont="1" applyNumberFormat="1">
      <alignment horizontal="center"/>
    </xf>
    <xf borderId="15" fillId="4" fontId="7" numFmtId="49" xfId="0" applyAlignment="1" applyBorder="1" applyFont="1" applyNumberFormat="1">
      <alignment horizontal="center"/>
    </xf>
    <xf borderId="44" fillId="4" fontId="14" numFmtId="49" xfId="0" applyAlignment="1" applyBorder="1" applyFont="1" applyNumberFormat="1">
      <alignment horizontal="center"/>
    </xf>
    <xf borderId="0" fillId="4" fontId="14" numFmtId="49" xfId="0" applyAlignment="1" applyFont="1" applyNumberFormat="1">
      <alignment horizontal="center"/>
    </xf>
    <xf borderId="1" fillId="4" fontId="13" numFmtId="0" xfId="0" applyAlignment="1" applyBorder="1" applyFont="1">
      <alignment vertical="bottom"/>
    </xf>
    <xf borderId="10" fillId="11" fontId="1" numFmtId="0" xfId="0" applyAlignment="1" applyBorder="1" applyFont="1">
      <alignment horizontal="center" vertical="bottom"/>
    </xf>
    <xf borderId="7" fillId="0" fontId="3" numFmtId="0" xfId="0" applyBorder="1" applyFont="1"/>
    <xf borderId="1" fillId="11" fontId="1" numFmtId="0" xfId="0" applyAlignment="1" applyBorder="1" applyFont="1">
      <alignment horizontal="center" shrinkToFit="0" vertical="bottom" wrapText="1"/>
    </xf>
    <xf borderId="54" fillId="11" fontId="1" numFmtId="0" xfId="0" applyAlignment="1" applyBorder="1" applyFont="1">
      <alignment horizontal="center" vertical="bottom"/>
    </xf>
    <xf borderId="24" fillId="11" fontId="1" numFmtId="0" xfId="0" applyAlignment="1" applyBorder="1" applyFont="1">
      <alignment horizontal="center"/>
    </xf>
    <xf borderId="53" fillId="10" fontId="1" numFmtId="0" xfId="0" applyAlignment="1" applyBorder="1" applyFont="1">
      <alignment horizontal="center" readingOrder="0" vertical="bottom"/>
    </xf>
    <xf borderId="0" fillId="2" fontId="4" numFmtId="49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28" fillId="7" fontId="1" numFmtId="49" xfId="0" applyAlignment="1" applyBorder="1" applyFont="1" applyNumberFormat="1">
      <alignment horizontal="center" vertical="bottom"/>
    </xf>
    <xf borderId="12" fillId="7" fontId="1" numFmtId="49" xfId="0" applyAlignment="1" applyBorder="1" applyFont="1" applyNumberFormat="1">
      <alignment horizontal="center" readingOrder="0" vertical="bottom"/>
    </xf>
    <xf borderId="28" fillId="8" fontId="14" numFmtId="49" xfId="0" applyAlignment="1" applyBorder="1" applyFont="1" applyNumberFormat="1">
      <alignment horizontal="center" readingOrder="0"/>
    </xf>
    <xf borderId="23" fillId="8" fontId="14" numFmtId="49" xfId="0" applyAlignment="1" applyBorder="1" applyFont="1" applyNumberFormat="1">
      <alignment horizontal="center"/>
    </xf>
    <xf borderId="53" fillId="8" fontId="14" numFmtId="49" xfId="0" applyAlignment="1" applyBorder="1" applyFont="1" applyNumberFormat="1">
      <alignment horizontal="center"/>
    </xf>
    <xf borderId="27" fillId="4" fontId="14" numFmtId="49" xfId="0" applyAlignment="1" applyBorder="1" applyFont="1" applyNumberFormat="1">
      <alignment horizontal="center"/>
    </xf>
    <xf borderId="1" fillId="0" fontId="1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4" fillId="4" fontId="1" numFmtId="0" xfId="0" applyAlignment="1" applyBorder="1" applyFont="1">
      <alignment horizontal="center" vertical="bottom"/>
    </xf>
    <xf borderId="23" fillId="4" fontId="1" numFmtId="0" xfId="0" applyAlignment="1" applyBorder="1" applyFont="1">
      <alignment horizontal="center" readingOrder="0" vertical="bottom"/>
    </xf>
    <xf borderId="28" fillId="6" fontId="1" numFmtId="49" xfId="0" applyAlignment="1" applyBorder="1" applyFont="1" applyNumberFormat="1">
      <alignment horizontal="center" vertical="bottom"/>
    </xf>
    <xf borderId="12" fillId="6" fontId="1" numFmtId="49" xfId="0" applyAlignment="1" applyBorder="1" applyFont="1" applyNumberFormat="1">
      <alignment horizontal="center" readingOrder="0" vertical="bottom"/>
    </xf>
    <xf borderId="7" fillId="8" fontId="1" numFmtId="49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 vertical="bottom"/>
    </xf>
    <xf borderId="25" fillId="8" fontId="1" numFmtId="49" xfId="0" applyAlignment="1" applyBorder="1" applyFont="1" applyNumberFormat="1">
      <alignment horizontal="center" readingOrder="0" vertical="bottom"/>
    </xf>
    <xf borderId="0" fillId="8" fontId="1" numFmtId="49" xfId="0" applyAlignment="1" applyFont="1" applyNumberFormat="1">
      <alignment horizontal="center" readingOrder="0" vertical="bottom"/>
    </xf>
    <xf borderId="10" fillId="11" fontId="1" numFmtId="0" xfId="0" applyAlignment="1" applyBorder="1" applyFont="1">
      <alignment horizontal="center" vertical="bottom"/>
    </xf>
    <xf borderId="24" fillId="10" fontId="15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0" fillId="0" fontId="4" numFmtId="0" xfId="0" applyFont="1"/>
    <xf borderId="0" fillId="2" fontId="4" numFmtId="0" xfId="0" applyAlignment="1" applyFont="1">
      <alignment horizontal="right" shrinkToFit="0" wrapText="1"/>
    </xf>
    <xf borderId="7" fillId="2" fontId="1" numFmtId="49" xfId="0" applyAlignment="1" applyBorder="1" applyFont="1" applyNumberFormat="1">
      <alignment horizontal="center" readingOrder="0"/>
    </xf>
    <xf borderId="7" fillId="8" fontId="1" numFmtId="49" xfId="0" applyAlignment="1" applyBorder="1" applyFont="1" applyNumberFormat="1">
      <alignment horizontal="center" readingOrder="0"/>
    </xf>
    <xf borderId="0" fillId="8" fontId="1" numFmtId="49" xfId="0" applyAlignment="1" applyFont="1" applyNumberFormat="1">
      <alignment horizontal="center" readingOrder="0"/>
    </xf>
    <xf borderId="24" fillId="2" fontId="15" numFmtId="0" xfId="0" applyAlignment="1" applyBorder="1" applyFont="1">
      <alignment horizontal="center" readingOrder="0" vertical="bottom"/>
    </xf>
    <xf borderId="0" fillId="2" fontId="4" numFmtId="0" xfId="0" applyAlignment="1" applyFont="1">
      <alignment vertical="bottom"/>
    </xf>
    <xf borderId="54" fillId="10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10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0" fillId="2" fontId="4" numFmtId="49" xfId="0" applyFont="1" applyNumberFormat="1"/>
    <xf borderId="54" fillId="4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/>
    </xf>
    <xf borderId="0" fillId="2" fontId="4" numFmtId="0" xfId="0" applyFont="1"/>
    <xf borderId="0" fillId="0" fontId="4" numFmtId="49" xfId="0" applyFont="1" applyNumberFormat="1"/>
    <xf borderId="0" fillId="2" fontId="4" numFmtId="49" xfId="0" applyAlignment="1" applyFont="1" applyNumberFormat="1">
      <alignment horizontal="right" shrinkToFit="0" wrapText="1"/>
    </xf>
    <xf borderId="0" fillId="5" fontId="4" numFmtId="49" xfId="0" applyFont="1" applyNumberFormat="1"/>
    <xf borderId="10" fillId="4" fontId="1" numFmtId="0" xfId="0" applyAlignment="1" applyBorder="1" applyFont="1">
      <alignment horizontal="center" vertical="bottom"/>
    </xf>
    <xf borderId="54" fillId="10" fontId="1" numFmtId="49" xfId="0" applyAlignment="1" applyBorder="1" applyFont="1" applyNumberFormat="1">
      <alignment horizontal="center" vertical="bottom"/>
    </xf>
    <xf borderId="1" fillId="10" fontId="1" numFmtId="0" xfId="0" applyAlignment="1" applyBorder="1" applyFont="1">
      <alignment horizontal="center" vertical="bottom"/>
    </xf>
    <xf borderId="55" fillId="8" fontId="1" numFmtId="165" xfId="0" applyAlignment="1" applyBorder="1" applyFont="1" applyNumberFormat="1">
      <alignment horizontal="center" vertical="bottom"/>
    </xf>
    <xf borderId="30" fillId="0" fontId="3" numFmtId="0" xfId="0" applyBorder="1" applyFont="1"/>
    <xf borderId="31" fillId="8" fontId="4" numFmtId="49" xfId="0" applyAlignment="1" applyBorder="1" applyFont="1" applyNumberFormat="1">
      <alignment vertical="bottom"/>
    </xf>
    <xf borderId="9" fillId="8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readingOrder="0" vertical="bottom"/>
    </xf>
    <xf borderId="0" fillId="2" fontId="4" numFmtId="165" xfId="0" applyFont="1" applyNumberFormat="1"/>
    <xf borderId="0" fillId="2" fontId="4" numFmtId="49" xfId="0" applyAlignment="1" applyFont="1" applyNumberFormat="1">
      <alignment horizontal="right" shrinkToFit="0" vertical="bottom" wrapText="1"/>
    </xf>
    <xf borderId="1" fillId="0" fontId="13" numFmtId="0" xfId="0" applyAlignment="1" applyBorder="1" applyFont="1">
      <alignment vertical="bottom"/>
    </xf>
    <xf borderId="0" fillId="2" fontId="4" numFmtId="166" xfId="0" applyFont="1" applyNumberFormat="1"/>
    <xf borderId="54" fillId="10" fontId="1" numFmtId="49" xfId="0" applyAlignment="1" applyBorder="1" applyFont="1" applyNumberFormat="1">
      <alignment horizontal="center" readingOrder="0" vertical="bottom"/>
    </xf>
    <xf borderId="53" fillId="6" fontId="1" numFmtId="0" xfId="0" applyAlignment="1" applyBorder="1" applyFont="1">
      <alignment horizontal="center" readingOrder="0" shrinkToFit="0" vertical="bottom" wrapText="1"/>
    </xf>
    <xf borderId="0" fillId="13" fontId="1" numFmtId="0" xfId="0" applyAlignment="1" applyFont="1">
      <alignment horizontal="center" readingOrder="0" shrinkToFit="0" wrapText="1"/>
    </xf>
    <xf borderId="0" fillId="0" fontId="4" numFmtId="166" xfId="0" applyFont="1" applyNumberFormat="1"/>
    <xf borderId="0" fillId="5" fontId="4" numFmtId="165" xfId="0" applyFont="1" applyNumberFormat="1"/>
    <xf borderId="7" fillId="8" fontId="1" numFmtId="49" xfId="0" applyAlignment="1" applyBorder="1" applyFont="1" applyNumberFormat="1">
      <alignment horizontal="center" readingOrder="0" shrinkToFit="0" wrapText="1"/>
    </xf>
    <xf borderId="10" fillId="8" fontId="1" numFmtId="49" xfId="0" applyAlignment="1" applyBorder="1" applyFont="1" applyNumberFormat="1">
      <alignment horizontal="center" readingOrder="0" shrinkToFit="0" wrapText="1"/>
    </xf>
    <xf borderId="1" fillId="8" fontId="1" numFmtId="49" xfId="0" applyAlignment="1" applyBorder="1" applyFont="1" applyNumberFormat="1">
      <alignment horizontal="center" readingOrder="0" shrinkToFit="0" wrapText="1"/>
    </xf>
    <xf borderId="25" fillId="8" fontId="6" numFmtId="49" xfId="0" applyAlignment="1" applyBorder="1" applyFont="1" applyNumberFormat="1">
      <alignment horizontal="center" readingOrder="0" shrinkToFit="0" wrapText="1"/>
    </xf>
    <xf borderId="0" fillId="8" fontId="6" numFmtId="49" xfId="0" applyAlignment="1" applyFont="1" applyNumberFormat="1">
      <alignment horizontal="center" readingOrder="0" shrinkToFit="0" wrapText="1"/>
    </xf>
    <xf borderId="1" fillId="0" fontId="16" numFmtId="0" xfId="0" applyAlignment="1" applyBorder="1" applyFont="1">
      <alignment vertical="bottom"/>
    </xf>
    <xf borderId="24" fillId="10" fontId="1" numFmtId="0" xfId="0" applyAlignment="1" applyBorder="1" applyFont="1">
      <alignment horizontal="center" readingOrder="0" vertical="bottom"/>
    </xf>
    <xf borderId="54" fillId="2" fontId="4" numFmtId="166" xfId="0" applyAlignment="1" applyBorder="1" applyFont="1" applyNumberFormat="1">
      <alignment vertical="bottom"/>
    </xf>
    <xf borderId="1" fillId="2" fontId="4" numFmtId="166" xfId="0" applyAlignment="1" applyBorder="1" applyFont="1" applyNumberFormat="1">
      <alignment vertical="bottom"/>
    </xf>
    <xf borderId="25" fillId="2" fontId="4" numFmtId="166" xfId="0" applyAlignment="1" applyBorder="1" applyFont="1" applyNumberFormat="1">
      <alignment vertical="bottom"/>
    </xf>
    <xf borderId="38" fillId="2" fontId="4" numFmtId="166" xfId="0" applyBorder="1" applyFont="1" applyNumberFormat="1"/>
    <xf borderId="0" fillId="5" fontId="4" numFmtId="0" xfId="0" applyFont="1"/>
    <xf borderId="25" fillId="8" fontId="1" numFmtId="49" xfId="0" applyAlignment="1" applyBorder="1" applyFont="1" applyNumberFormat="1">
      <alignment horizontal="center" readingOrder="0" shrinkToFit="0" wrapText="1"/>
    </xf>
    <xf borderId="0" fillId="8" fontId="1" numFmtId="49" xfId="0" applyAlignment="1" applyFont="1" applyNumberFormat="1">
      <alignment horizontal="center" readingOrder="0" shrinkToFit="0" wrapText="1"/>
    </xf>
    <xf borderId="1" fillId="4" fontId="13" numFmtId="0" xfId="0" applyAlignment="1" applyBorder="1" applyFont="1">
      <alignment readingOrder="0" vertical="bottom"/>
    </xf>
    <xf borderId="11" fillId="8" fontId="7" numFmtId="0" xfId="0" applyAlignment="1" applyBorder="1" applyFont="1">
      <alignment horizontal="center" readingOrder="0"/>
    </xf>
    <xf borderId="54" fillId="2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5" fillId="2" fontId="4" numFmtId="0" xfId="0" applyAlignment="1" applyBorder="1" applyFont="1">
      <alignment vertical="bottom"/>
    </xf>
    <xf borderId="0" fillId="0" fontId="4" numFmtId="0" xfId="0" applyFont="1"/>
    <xf borderId="56" fillId="9" fontId="1" numFmtId="0" xfId="0" applyAlignment="1" applyBorder="1" applyFont="1">
      <alignment horizontal="center"/>
    </xf>
    <xf borderId="42" fillId="0" fontId="3" numFmtId="0" xfId="0" applyBorder="1" applyFont="1"/>
    <xf borderId="0" fillId="2" fontId="1" numFmtId="0" xfId="0" applyAlignment="1" applyFont="1">
      <alignment horizontal="center" shrinkToFit="0" wrapText="1"/>
    </xf>
    <xf borderId="50" fillId="3" fontId="1" numFmtId="0" xfId="0" applyAlignment="1" applyBorder="1" applyFont="1">
      <alignment horizontal="center" shrinkToFit="0" wrapText="1"/>
    </xf>
    <xf borderId="7" fillId="2" fontId="1" numFmtId="49" xfId="0" applyAlignment="1" applyBorder="1" applyFont="1" applyNumberFormat="1">
      <alignment horizontal="center" readingOrder="0" shrinkToFit="0" wrapText="1"/>
    </xf>
    <xf borderId="56" fillId="0" fontId="3" numFmtId="0" xfId="0" applyBorder="1" applyFont="1"/>
    <xf borderId="50" fillId="0" fontId="3" numFmtId="0" xfId="0" applyBorder="1" applyFont="1"/>
    <xf borderId="0" fillId="2" fontId="4" numFmtId="0" xfId="0" applyAlignment="1" applyFont="1">
      <alignment horizontal="right" shrinkToFit="0" wrapText="1"/>
    </xf>
    <xf borderId="0" fillId="5" fontId="4" numFmtId="0" xfId="0" applyFont="1"/>
    <xf borderId="25" fillId="2" fontId="1" numFmtId="49" xfId="0" applyAlignment="1" applyBorder="1" applyFont="1" applyNumberFormat="1">
      <alignment horizontal="center" readingOrder="0" shrinkToFit="0" vertical="bottom" wrapText="1"/>
    </xf>
    <xf borderId="5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11" fillId="4" fontId="1" numFmtId="49" xfId="0" applyAlignment="1" applyBorder="1" applyFont="1" applyNumberFormat="1">
      <alignment horizontal="center" vertical="bottom"/>
    </xf>
    <xf borderId="25" fillId="0" fontId="1" numFmtId="49" xfId="0" applyAlignment="1" applyBorder="1" applyFont="1" applyNumberFormat="1">
      <alignment horizontal="center" readingOrder="0" shrinkToFit="0" vertical="bottom" wrapText="1"/>
    </xf>
    <xf borderId="10" fillId="8" fontId="4" numFmtId="165" xfId="0" applyBorder="1" applyFont="1" applyNumberFormat="1"/>
    <xf borderId="1" fillId="8" fontId="4" numFmtId="165" xfId="0" applyBorder="1" applyFont="1" applyNumberFormat="1"/>
    <xf borderId="55" fillId="8" fontId="1" numFmtId="0" xfId="0" applyAlignment="1" applyBorder="1" applyFont="1">
      <alignment horizontal="center" vertical="bottom"/>
    </xf>
    <xf borderId="38" fillId="8" fontId="4" numFmtId="0" xfId="0" applyAlignment="1" applyBorder="1" applyFont="1">
      <alignment vertical="bottom"/>
    </xf>
    <xf borderId="52" fillId="9" fontId="1" numFmtId="0" xfId="0" applyAlignment="1" applyBorder="1" applyFont="1">
      <alignment horizontal="center" vertical="bottom"/>
    </xf>
    <xf borderId="53" fillId="9" fontId="1" numFmtId="0" xfId="0" applyAlignment="1" applyBorder="1" applyFont="1">
      <alignment horizontal="center" readingOrder="0" vertical="bottom"/>
    </xf>
    <xf borderId="11" fillId="4" fontId="1" numFmtId="49" xfId="0" applyAlignment="1" applyBorder="1" applyFont="1" applyNumberFormat="1">
      <alignment horizontal="center"/>
    </xf>
    <xf borderId="25" fillId="0" fontId="4" numFmtId="49" xfId="0" applyAlignment="1" applyBorder="1" applyFont="1" applyNumberFormat="1">
      <alignment vertical="bottom"/>
    </xf>
    <xf borderId="1" fillId="0" fontId="13" numFmtId="0" xfId="0" applyAlignment="1" applyBorder="1" applyFont="1">
      <alignment readingOrder="0" vertical="bottom"/>
    </xf>
    <xf borderId="0" fillId="2" fontId="4" numFmtId="0" xfId="0" applyAlignment="1" applyFont="1">
      <alignment vertical="bottom"/>
    </xf>
    <xf borderId="54" fillId="9" fontId="1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7" fillId="8" fontId="4" numFmtId="165" xfId="0" applyBorder="1" applyFont="1" applyNumberFormat="1"/>
    <xf borderId="25" fillId="8" fontId="4" numFmtId="165" xfId="0" applyBorder="1" applyFont="1" applyNumberFormat="1"/>
    <xf borderId="0" fillId="8" fontId="4" numFmtId="165" xfId="0" applyFont="1" applyNumberFormat="1"/>
    <xf borderId="53" fillId="2" fontId="1" numFmtId="0" xfId="0" applyAlignment="1" applyBorder="1" applyFont="1">
      <alignment horizontal="center" readingOrder="0" vertical="bottom"/>
    </xf>
    <xf borderId="7" fillId="8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8" fillId="9" fontId="1" numFmtId="0" xfId="0" applyAlignment="1" applyBorder="1" applyFont="1">
      <alignment horizontal="center" readingOrder="0" vertical="bottom"/>
    </xf>
    <xf borderId="7" fillId="4" fontId="1" numFmtId="49" xfId="0" applyAlignment="1" applyBorder="1" applyFont="1" applyNumberFormat="1">
      <alignment horizontal="center" vertical="bottom"/>
    </xf>
    <xf borderId="25" fillId="2" fontId="4" numFmtId="0" xfId="0" applyAlignment="1" applyBorder="1" applyFont="1">
      <alignment vertical="bottom"/>
    </xf>
    <xf borderId="25" fillId="9" fontId="1" numFmtId="0" xfId="0" applyAlignment="1" applyBorder="1" applyFont="1">
      <alignment horizontal="center" readingOrder="0" shrinkToFit="0" vertical="bottom" wrapText="1"/>
    </xf>
    <xf borderId="25" fillId="10" fontId="1" numFmtId="0" xfId="0" applyAlignment="1" applyBorder="1" applyFont="1">
      <alignment horizontal="center" readingOrder="0" shrinkToFit="0" vertical="bottom" wrapText="1"/>
    </xf>
    <xf borderId="58" fillId="4" fontId="1" numFmtId="49" xfId="0" applyAlignment="1" applyBorder="1" applyFont="1" applyNumberFormat="1">
      <alignment horizontal="center" vertical="bottom"/>
    </xf>
    <xf borderId="59" fillId="4" fontId="1" numFmtId="49" xfId="0" applyAlignment="1" applyBorder="1" applyFont="1" applyNumberFormat="1">
      <alignment horizontal="center" vertical="bottom"/>
    </xf>
    <xf borderId="60" fillId="2" fontId="4" numFmtId="0" xfId="0" applyAlignment="1" applyBorder="1" applyFont="1">
      <alignment vertical="bottom"/>
    </xf>
    <xf borderId="61" fillId="2" fontId="4" numFmtId="0" xfId="0" applyAlignment="1" applyBorder="1" applyFont="1">
      <alignment vertical="bottom"/>
    </xf>
    <xf borderId="62" fillId="8" fontId="4" numFmtId="49" xfId="0" applyBorder="1" applyFont="1" applyNumberFormat="1"/>
    <xf borderId="63" fillId="8" fontId="4" numFmtId="49" xfId="0" applyBorder="1" applyFont="1" applyNumberFormat="1"/>
    <xf borderId="60" fillId="8" fontId="4" numFmtId="49" xfId="0" applyBorder="1" applyFont="1" applyNumberFormat="1"/>
    <xf borderId="61" fillId="8" fontId="4" numFmtId="49" xfId="0" applyBorder="1" applyFont="1" applyNumberFormat="1"/>
    <xf borderId="64" fillId="3" fontId="17" numFmtId="0" xfId="0" applyAlignment="1" applyBorder="1" applyFont="1">
      <alignment horizontal="center" shrinkToFit="0" vertical="center" wrapText="1"/>
    </xf>
    <xf borderId="65" fillId="3" fontId="17" numFmtId="0" xfId="0" applyAlignment="1" applyBorder="1" applyFont="1">
      <alignment horizontal="center" vertical="center"/>
    </xf>
    <xf borderId="54" fillId="9" fontId="4" numFmtId="0" xfId="0" applyAlignment="1" applyBorder="1" applyFont="1">
      <alignment vertical="bottom"/>
    </xf>
    <xf borderId="25" fillId="9" fontId="4" numFmtId="0" xfId="0" applyAlignment="1" applyBorder="1" applyFont="1">
      <alignment vertical="bottom"/>
    </xf>
    <xf borderId="0" fillId="0" fontId="4" numFmtId="0" xfId="0" applyAlignment="1" applyFont="1">
      <alignment horizontal="right" shrinkToFit="0" wrapText="1"/>
    </xf>
    <xf borderId="0" fillId="2" fontId="4" numFmtId="0" xfId="0" applyAlignment="1" applyFont="1">
      <alignment horizontal="center"/>
    </xf>
    <xf borderId="0" fillId="2" fontId="4" numFmtId="49" xfId="0" applyAlignment="1" applyFont="1" applyNumberFormat="1">
      <alignment horizontal="center" vertical="bottom"/>
    </xf>
    <xf borderId="66" fillId="0" fontId="3" numFmtId="0" xfId="0" applyBorder="1" applyFont="1"/>
    <xf borderId="31" fillId="8" fontId="4" numFmtId="0" xfId="0" applyAlignment="1" applyBorder="1" applyFont="1">
      <alignment vertical="bottom"/>
    </xf>
    <xf borderId="7" fillId="8" fontId="1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vertical="bottom"/>
    </xf>
    <xf borderId="1" fillId="2" fontId="13" numFmtId="0" xfId="0" applyAlignment="1" applyBorder="1" applyFont="1">
      <alignment readingOrder="0" vertical="bottom"/>
    </xf>
    <xf borderId="10" fillId="10" fontId="1" numFmtId="0" xfId="0" applyAlignment="1" applyBorder="1" applyFont="1">
      <alignment horizontal="center" vertical="bottom"/>
    </xf>
    <xf borderId="1" fillId="10" fontId="1" numFmtId="0" xfId="0" applyAlignment="1" applyBorder="1" applyFont="1">
      <alignment horizontal="center" shrinkToFit="0" vertical="bottom" wrapText="1"/>
    </xf>
    <xf borderId="0" fillId="2" fontId="19" numFmtId="0" xfId="0" applyFont="1"/>
    <xf borderId="0" fillId="0" fontId="20" numFmtId="0" xfId="0" applyFont="1"/>
    <xf borderId="0" fillId="0" fontId="4" numFmtId="0" xfId="0" applyAlignment="1" applyFont="1">
      <alignment vertical="bottom"/>
    </xf>
    <xf borderId="1" fillId="4" fontId="18" numFmtId="0" xfId="0" applyAlignment="1" applyBorder="1" applyFont="1">
      <alignment readingOrder="0" vertical="bottom"/>
    </xf>
    <xf borderId="1" fillId="2" fontId="18" numFmtId="0" xfId="0" applyAlignment="1" applyBorder="1" applyFont="1">
      <alignment readingOrder="0" vertical="bottom"/>
    </xf>
    <xf borderId="10" fillId="10" fontId="4" numFmtId="0" xfId="0" applyAlignment="1" applyBorder="1" applyFont="1">
      <alignment vertical="bottom"/>
    </xf>
    <xf borderId="53" fillId="2" fontId="4" numFmtId="0" xfId="0" applyAlignment="1" applyBorder="1" applyFont="1">
      <alignment readingOrder="0" vertical="bottom"/>
    </xf>
    <xf borderId="25" fillId="2" fontId="4" numFmtId="0" xfId="0" applyBorder="1" applyFont="1"/>
    <xf borderId="67" fillId="2" fontId="4" numFmtId="0" xfId="0" applyAlignment="1" applyBorder="1" applyFont="1">
      <alignment vertical="bottom"/>
    </xf>
    <xf borderId="67" fillId="2" fontId="4" numFmtId="0" xfId="0" applyBorder="1" applyFont="1"/>
    <xf borderId="67" fillId="2" fontId="4" numFmtId="0" xfId="0" applyAlignment="1" applyBorder="1" applyFont="1">
      <alignment vertical="bottom"/>
    </xf>
    <xf borderId="68" fillId="2" fontId="4" numFmtId="0" xfId="0" applyAlignment="1" applyBorder="1" applyFont="1">
      <alignment vertical="bottom"/>
    </xf>
    <xf borderId="53" fillId="2" fontId="4" numFmtId="0" xfId="0" applyAlignment="1" applyBorder="1" applyFont="1">
      <alignment vertical="bottom"/>
    </xf>
    <xf borderId="10" fillId="2" fontId="4" numFmtId="0" xfId="0" applyAlignment="1" applyBorder="1" applyFont="1">
      <alignment vertical="bottom"/>
    </xf>
    <xf borderId="67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vertical="bottom"/>
    </xf>
    <xf borderId="26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5" fillId="8" fontId="21" numFmtId="0" xfId="0" applyAlignment="1" applyBorder="1" applyFont="1">
      <alignment horizontal="center" vertical="bottom"/>
    </xf>
    <xf borderId="38" fillId="8" fontId="4" numFmtId="0" xfId="0" applyBorder="1" applyFont="1"/>
    <xf borderId="39" fillId="8" fontId="4" numFmtId="0" xfId="0" applyBorder="1" applyFont="1"/>
    <xf borderId="0" fillId="8" fontId="4" numFmtId="0" xfId="0" applyFont="1"/>
    <xf borderId="0" fillId="8" fontId="10" numFmtId="0" xfId="0" applyFont="1"/>
    <xf borderId="0" fillId="8" fontId="4" numFmtId="0" xfId="0" applyAlignment="1" applyFont="1">
      <alignment horizontal="right" shrinkToFit="0" wrapText="1"/>
    </xf>
    <xf borderId="0" fillId="8" fontId="4" numFmtId="0" xfId="0" applyAlignment="1" applyFont="1">
      <alignment vertical="bottom"/>
    </xf>
    <xf borderId="0" fillId="8" fontId="4" numFmtId="0" xfId="0" applyAlignment="1" applyFont="1">
      <alignment horizontal="center" vertical="bottom"/>
    </xf>
    <xf borderId="0" fillId="8" fontId="10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0" fillId="0" fontId="22" numFmtId="49" xfId="0" applyAlignment="1" applyFont="1" applyNumberFormat="1">
      <alignment horizontal="center" vertical="bottom"/>
    </xf>
    <xf borderId="69" fillId="2" fontId="10" numFmtId="0" xfId="0" applyAlignment="1" applyBorder="1" applyFont="1">
      <alignment vertical="bottom"/>
    </xf>
    <xf borderId="10" fillId="14" fontId="23" numFmtId="167" xfId="0" applyAlignment="1" applyBorder="1" applyFill="1" applyFont="1" applyNumberFormat="1">
      <alignment horizontal="center" vertical="bottom"/>
    </xf>
    <xf borderId="10" fillId="0" fontId="3" numFmtId="0" xfId="0" applyBorder="1" applyFont="1"/>
    <xf borderId="13" fillId="0" fontId="10" numFmtId="0" xfId="0" applyAlignment="1" applyBorder="1" applyFont="1">
      <alignment vertical="bottom"/>
    </xf>
    <xf borderId="13" fillId="0" fontId="10" numFmtId="4" xfId="0" applyAlignment="1" applyBorder="1" applyFont="1" applyNumberFormat="1">
      <alignment vertical="bottom"/>
    </xf>
    <xf borderId="13" fillId="0" fontId="10" numFmtId="10" xfId="0" applyAlignment="1" applyBorder="1" applyFont="1" applyNumberFormat="1">
      <alignment vertical="bottom"/>
    </xf>
    <xf borderId="69" fillId="2" fontId="10" numFmtId="0" xfId="0" applyAlignment="1" applyBorder="1" applyFont="1">
      <alignment vertical="bottom"/>
    </xf>
    <xf borderId="18" fillId="15" fontId="24" numFmtId="0" xfId="0" applyAlignment="1" applyBorder="1" applyFill="1" applyFont="1">
      <alignment horizontal="center" vertical="bottom"/>
    </xf>
    <xf borderId="69" fillId="0" fontId="10" numFmtId="49" xfId="0" applyAlignment="1" applyBorder="1" applyFont="1" applyNumberFormat="1">
      <alignment vertical="bottom"/>
    </xf>
    <xf borderId="18" fillId="6" fontId="24" numFmtId="0" xfId="0" applyAlignment="1" applyBorder="1" applyFont="1">
      <alignment horizontal="center" vertical="bottom"/>
    </xf>
    <xf borderId="12" fillId="15" fontId="23" numFmtId="0" xfId="0" applyAlignment="1" applyBorder="1" applyFont="1">
      <alignment horizontal="center" vertical="bottom"/>
    </xf>
    <xf borderId="12" fillId="15" fontId="23" numFmtId="4" xfId="0" applyAlignment="1" applyBorder="1" applyFont="1" applyNumberFormat="1">
      <alignment horizontal="center" vertical="bottom"/>
    </xf>
    <xf borderId="1" fillId="15" fontId="23" numFmtId="0" xfId="0" applyAlignment="1" applyBorder="1" applyFont="1">
      <alignment horizontal="center" vertical="bottom"/>
    </xf>
    <xf borderId="1" fillId="6" fontId="23" numFmtId="0" xfId="0" applyAlignment="1" applyBorder="1" applyFont="1">
      <alignment horizontal="center" vertical="bottom"/>
    </xf>
    <xf borderId="12" fillId="6" fontId="23" numFmtId="4" xfId="0" applyAlignment="1" applyBorder="1" applyFont="1" applyNumberFormat="1">
      <alignment horizontal="center" vertical="bottom"/>
    </xf>
    <xf borderId="12" fillId="6" fontId="23" numFmtId="0" xfId="0" applyAlignment="1" applyBorder="1" applyFont="1">
      <alignment horizontal="center" vertical="bottom"/>
    </xf>
    <xf borderId="1" fillId="2" fontId="25" numFmtId="0" xfId="0" applyAlignment="1" applyBorder="1" applyFont="1">
      <alignment horizontal="center" vertical="bottom"/>
    </xf>
    <xf borderId="1" fillId="16" fontId="23" numFmtId="0" xfId="0" applyAlignment="1" applyBorder="1" applyFill="1" applyFont="1">
      <alignment horizontal="center" vertical="bottom"/>
    </xf>
    <xf borderId="69" fillId="2" fontId="23" numFmtId="4" xfId="0" applyAlignment="1" applyBorder="1" applyFont="1" applyNumberFormat="1">
      <alignment horizontal="center" vertical="bottom"/>
    </xf>
    <xf borderId="69" fillId="2" fontId="23" numFmtId="10" xfId="0" applyAlignment="1" applyBorder="1" applyFont="1" applyNumberFormat="1">
      <alignment horizontal="center" vertical="bottom"/>
    </xf>
    <xf borderId="69" fillId="2" fontId="23" numFmtId="0" xfId="0" applyAlignment="1" applyBorder="1" applyFont="1">
      <alignment horizontal="center" vertical="bottom"/>
    </xf>
    <xf borderId="1" fillId="2" fontId="25" numFmtId="49" xfId="0" applyAlignment="1" applyBorder="1" applyFont="1" applyNumberFormat="1">
      <alignment horizontal="center" vertical="bottom"/>
    </xf>
    <xf borderId="69" fillId="2" fontId="23" numFmtId="10" xfId="0" applyAlignment="1" applyBorder="1" applyFont="1" applyNumberFormat="1">
      <alignment horizontal="center" vertical="bottom"/>
    </xf>
    <xf borderId="1" fillId="16" fontId="23" numFmtId="0" xfId="0" applyAlignment="1" applyBorder="1" applyFont="1">
      <alignment horizontal="center" vertical="bottom"/>
    </xf>
    <xf borderId="69" fillId="17" fontId="23" numFmtId="4" xfId="0" applyAlignment="1" applyBorder="1" applyFill="1" applyFont="1" applyNumberFormat="1">
      <alignment horizontal="center" vertical="bottom"/>
    </xf>
    <xf borderId="69" fillId="17" fontId="23" numFmtId="10" xfId="0" applyAlignment="1" applyBorder="1" applyFont="1" applyNumberFormat="1">
      <alignment horizontal="center" vertical="bottom"/>
    </xf>
    <xf borderId="69" fillId="17" fontId="23" numFmtId="0" xfId="0" applyAlignment="1" applyBorder="1" applyFont="1">
      <alignment horizontal="center" vertical="bottom"/>
    </xf>
    <xf borderId="69" fillId="18" fontId="23" numFmtId="4" xfId="0" applyAlignment="1" applyBorder="1" applyFill="1" applyFont="1" applyNumberFormat="1">
      <alignment horizontal="center" vertical="bottom"/>
    </xf>
    <xf borderId="69" fillId="18" fontId="23" numFmtId="10" xfId="0" applyAlignment="1" applyBorder="1" applyFont="1" applyNumberFormat="1">
      <alignment horizontal="center" vertical="bottom"/>
    </xf>
    <xf borderId="69" fillId="18" fontId="23" numFmtId="10" xfId="0" applyAlignment="1" applyBorder="1" applyFont="1" applyNumberFormat="1">
      <alignment horizontal="center" vertical="bottom"/>
    </xf>
    <xf borderId="69" fillId="18" fontId="23" numFmtId="0" xfId="0" applyAlignment="1" applyBorder="1" applyFont="1">
      <alignment horizontal="center" vertical="bottom"/>
    </xf>
    <xf borderId="1" fillId="19" fontId="23" numFmtId="0" xfId="0" applyAlignment="1" applyBorder="1" applyFill="1" applyFont="1">
      <alignment horizontal="center" vertical="bottom"/>
    </xf>
    <xf borderId="69" fillId="2" fontId="23" numFmtId="1" xfId="0" applyAlignment="1" applyBorder="1" applyFont="1" applyNumberFormat="1">
      <alignment horizontal="center" vertical="bottom"/>
    </xf>
    <xf borderId="70" fillId="18" fontId="23" numFmtId="4" xfId="0" applyAlignment="1" applyBorder="1" applyFont="1" applyNumberFormat="1">
      <alignment horizontal="center" vertical="bottom"/>
    </xf>
    <xf borderId="70" fillId="18" fontId="23" numFmtId="10" xfId="0" applyAlignment="1" applyBorder="1" applyFont="1" applyNumberFormat="1">
      <alignment horizontal="center" vertical="bottom"/>
    </xf>
    <xf borderId="70" fillId="18" fontId="23" numFmtId="10" xfId="0" applyAlignment="1" applyBorder="1" applyFont="1" applyNumberFormat="1">
      <alignment horizontal="center" vertical="bottom"/>
    </xf>
    <xf borderId="70" fillId="18" fontId="23" numFmtId="0" xfId="0" applyAlignment="1" applyBorder="1" applyFont="1">
      <alignment horizontal="center" vertical="bottom"/>
    </xf>
    <xf borderId="1" fillId="20" fontId="23" numFmtId="0" xfId="0" applyAlignment="1" applyBorder="1" applyFill="1" applyFont="1">
      <alignment horizontal="center" vertical="bottom"/>
    </xf>
    <xf borderId="1" fillId="0" fontId="25" numFmtId="49" xfId="0" applyAlignment="1" applyBorder="1" applyFont="1" applyNumberFormat="1">
      <alignment horizontal="center" vertical="bottom"/>
    </xf>
    <xf borderId="18" fillId="20" fontId="23" numFmtId="0" xfId="0" applyAlignment="1" applyBorder="1" applyFont="1">
      <alignment horizontal="center" vertical="bottom"/>
    </xf>
    <xf borderId="33" fillId="18" fontId="23" numFmtId="4" xfId="0" applyAlignment="1" applyBorder="1" applyFont="1" applyNumberFormat="1">
      <alignment horizontal="center" vertical="bottom"/>
    </xf>
    <xf borderId="33" fillId="18" fontId="23" numFmtId="10" xfId="0" applyAlignment="1" applyBorder="1" applyFont="1" applyNumberFormat="1">
      <alignment horizontal="center" vertical="bottom"/>
    </xf>
    <xf borderId="33" fillId="18" fontId="23" numFmtId="1" xfId="0" applyAlignment="1" applyBorder="1" applyFont="1" applyNumberFormat="1">
      <alignment horizontal="center" vertical="bottom"/>
    </xf>
    <xf borderId="23" fillId="18" fontId="23" numFmtId="4" xfId="0" applyAlignment="1" applyBorder="1" applyFont="1" applyNumberFormat="1">
      <alignment horizontal="center" vertical="bottom"/>
    </xf>
    <xf borderId="23" fillId="18" fontId="10" numFmtId="10" xfId="0" applyAlignment="1" applyBorder="1" applyFont="1" applyNumberFormat="1">
      <alignment vertical="bottom"/>
    </xf>
    <xf borderId="23" fillId="18" fontId="23" numFmtId="1" xfId="0" applyAlignment="1" applyBorder="1" applyFont="1" applyNumberFormat="1">
      <alignment horizontal="center" vertical="bottom"/>
    </xf>
    <xf borderId="18" fillId="7" fontId="24" numFmtId="0" xfId="0" applyAlignment="1" applyBorder="1" applyFont="1">
      <alignment horizontal="center" vertical="bottom"/>
    </xf>
    <xf borderId="70" fillId="7" fontId="23" numFmtId="0" xfId="0" applyAlignment="1" applyBorder="1" applyFont="1">
      <alignment horizontal="center" vertical="bottom"/>
    </xf>
    <xf borderId="69" fillId="7" fontId="23" numFmtId="4" xfId="0" applyAlignment="1" applyBorder="1" applyFont="1" applyNumberFormat="1">
      <alignment horizontal="center" vertical="bottom"/>
    </xf>
    <xf borderId="69" fillId="7" fontId="23" numFmtId="0" xfId="0" applyAlignment="1" applyBorder="1" applyFont="1">
      <alignment horizontal="center" vertical="bottom"/>
    </xf>
    <xf borderId="26" fillId="2" fontId="23" numFmtId="4" xfId="0" applyAlignment="1" applyBorder="1" applyFont="1" applyNumberFormat="1">
      <alignment horizontal="center" vertical="bottom"/>
    </xf>
    <xf borderId="26" fillId="2" fontId="23" numFmtId="10" xfId="0" applyAlignment="1" applyBorder="1" applyFont="1" applyNumberFormat="1">
      <alignment horizontal="center" vertical="bottom"/>
    </xf>
    <xf borderId="26" fillId="2" fontId="23" numFmtId="0" xfId="0" applyAlignment="1" applyBorder="1" applyFont="1">
      <alignment horizontal="center" vertical="bottom"/>
    </xf>
    <xf borderId="70" fillId="21" fontId="23" numFmtId="4" xfId="0" applyAlignment="1" applyBorder="1" applyFill="1" applyFont="1" applyNumberFormat="1">
      <alignment horizontal="center" vertical="bottom"/>
    </xf>
    <xf borderId="70" fillId="21" fontId="23" numFmtId="10" xfId="0" applyAlignment="1" applyBorder="1" applyFont="1" applyNumberFormat="1">
      <alignment horizontal="center" vertical="bottom"/>
    </xf>
    <xf borderId="70" fillId="21" fontId="23" numFmtId="0" xfId="0" applyAlignment="1" applyBorder="1" applyFont="1">
      <alignment horizontal="center" vertical="bottom"/>
    </xf>
    <xf borderId="70" fillId="2" fontId="23" numFmtId="4" xfId="0" applyAlignment="1" applyBorder="1" applyFont="1" applyNumberFormat="1">
      <alignment horizontal="center" vertical="bottom"/>
    </xf>
    <xf borderId="70" fillId="2" fontId="23" numFmtId="10" xfId="0" applyAlignment="1" applyBorder="1" applyFont="1" applyNumberFormat="1">
      <alignment horizontal="center" vertical="bottom"/>
    </xf>
    <xf borderId="70" fillId="2" fontId="23" numFmtId="0" xfId="0" applyAlignment="1" applyBorder="1" applyFont="1">
      <alignment horizontal="center" vertical="bottom"/>
    </xf>
    <xf borderId="18" fillId="20" fontId="23" numFmtId="0" xfId="0" applyAlignment="1" applyBorder="1" applyFont="1">
      <alignment horizontal="center" vertical="bottom"/>
    </xf>
    <xf borderId="33" fillId="21" fontId="23" numFmtId="4" xfId="0" applyAlignment="1" applyBorder="1" applyFont="1" applyNumberFormat="1">
      <alignment horizontal="center" vertical="bottom"/>
    </xf>
    <xf borderId="33" fillId="21" fontId="23" numFmtId="10" xfId="0" applyAlignment="1" applyBorder="1" applyFont="1" applyNumberFormat="1">
      <alignment horizontal="center" vertical="bottom"/>
    </xf>
    <xf borderId="33" fillId="2" fontId="23" numFmtId="4" xfId="0" applyAlignment="1" applyBorder="1" applyFont="1" applyNumberFormat="1">
      <alignment horizontal="center" vertical="bottom"/>
    </xf>
    <xf borderId="24" fillId="2" fontId="23" numFmtId="4" xfId="0" applyAlignment="1" applyBorder="1" applyFont="1" applyNumberFormat="1">
      <alignment horizontal="center" vertical="bottom"/>
    </xf>
    <xf borderId="23" fillId="2" fontId="23" numFmtId="10" xfId="0" applyAlignment="1" applyBorder="1" applyFont="1" applyNumberFormat="1">
      <alignment horizontal="center" vertical="bottom"/>
    </xf>
    <xf borderId="23" fillId="2" fontId="23" numFmtId="0" xfId="0" applyAlignment="1" applyBorder="1" applyFont="1">
      <alignment horizontal="center" vertical="bottom"/>
    </xf>
    <xf borderId="0" fillId="2" fontId="10" numFmtId="10" xfId="0" applyAlignment="1" applyFont="1" applyNumberFormat="1">
      <alignment vertical="bottom"/>
    </xf>
    <xf borderId="13" fillId="2" fontId="10" numFmtId="0" xfId="0" applyAlignment="1" applyBorder="1" applyFont="1">
      <alignment vertical="bottom"/>
    </xf>
    <xf borderId="13" fillId="2" fontId="10" numFmtId="4" xfId="0" applyAlignment="1" applyBorder="1" applyFont="1" applyNumberFormat="1">
      <alignment vertical="bottom"/>
    </xf>
    <xf borderId="24" fillId="9" fontId="24" numFmtId="4" xfId="0" applyAlignment="1" applyBorder="1" applyFont="1" applyNumberFormat="1">
      <alignment horizontal="center" vertical="bottom"/>
    </xf>
    <xf borderId="70" fillId="9" fontId="23" numFmtId="4" xfId="0" applyAlignment="1" applyBorder="1" applyFont="1" applyNumberFormat="1">
      <alignment horizontal="center" vertical="bottom"/>
    </xf>
    <xf borderId="69" fillId="9" fontId="23" numFmtId="4" xfId="0" applyAlignment="1" applyBorder="1" applyFont="1" applyNumberFormat="1">
      <alignment horizontal="center" vertical="bottom"/>
    </xf>
    <xf borderId="69" fillId="9" fontId="23" numFmtId="0" xfId="0" applyAlignment="1" applyBorder="1" applyFont="1">
      <alignment horizontal="center" vertical="bottom"/>
    </xf>
    <xf borderId="1" fillId="16" fontId="23" numFmtId="4" xfId="0" applyAlignment="1" applyBorder="1" applyFont="1" applyNumberFormat="1">
      <alignment horizontal="center" vertical="bottom"/>
    </xf>
    <xf borderId="26" fillId="2" fontId="26" numFmtId="10" xfId="0" applyAlignment="1" applyBorder="1" applyFont="1" applyNumberFormat="1">
      <alignment horizontal="center" vertical="bottom"/>
    </xf>
    <xf borderId="18" fillId="19" fontId="23" numFmtId="4" xfId="0" applyAlignment="1" applyBorder="1" applyFont="1" applyNumberFormat="1">
      <alignment horizontal="center" vertical="bottom"/>
    </xf>
    <xf borderId="33" fillId="22" fontId="23" numFmtId="4" xfId="0" applyAlignment="1" applyBorder="1" applyFill="1" applyFont="1" applyNumberFormat="1">
      <alignment horizontal="center" vertical="bottom"/>
    </xf>
    <xf borderId="33" fillId="22" fontId="23" numFmtId="10" xfId="0" applyAlignment="1" applyBorder="1" applyFont="1" applyNumberFormat="1">
      <alignment horizontal="center" vertical="bottom"/>
    </xf>
    <xf borderId="33" fillId="22" fontId="27" numFmtId="10" xfId="0" applyAlignment="1" applyBorder="1" applyFont="1" applyNumberFormat="1">
      <alignment horizontal="center" vertical="bottom"/>
    </xf>
    <xf borderId="33" fillId="22" fontId="26" numFmtId="10" xfId="0" applyAlignment="1" applyBorder="1" applyFont="1" applyNumberFormat="1">
      <alignment horizontal="center" vertical="bottom"/>
    </xf>
    <xf borderId="70" fillId="22" fontId="23" numFmtId="0" xfId="0" applyAlignment="1" applyBorder="1" applyFont="1">
      <alignment horizontal="center" vertical="bottom"/>
    </xf>
    <xf borderId="1" fillId="19" fontId="23" numFmtId="0" xfId="0" applyAlignment="1" applyBorder="1" applyFont="1">
      <alignment horizontal="center"/>
    </xf>
    <xf borderId="70" fillId="2" fontId="26" numFmtId="10" xfId="0" applyAlignment="1" applyBorder="1" applyFont="1" applyNumberFormat="1">
      <alignment horizontal="center" vertical="bottom"/>
    </xf>
    <xf borderId="70" fillId="22" fontId="23" numFmtId="4" xfId="0" applyAlignment="1" applyBorder="1" applyFont="1" applyNumberFormat="1">
      <alignment horizontal="center" vertical="bottom"/>
    </xf>
    <xf borderId="70" fillId="22" fontId="23" numFmtId="10" xfId="0" applyAlignment="1" applyBorder="1" applyFont="1" applyNumberFormat="1">
      <alignment horizontal="center" vertical="bottom"/>
    </xf>
    <xf borderId="70" fillId="22" fontId="27" numFmtId="10" xfId="0" applyAlignment="1" applyBorder="1" applyFont="1" applyNumberFormat="1">
      <alignment horizontal="center" vertical="bottom"/>
    </xf>
    <xf borderId="70" fillId="22" fontId="26" numFmtId="10" xfId="0" applyAlignment="1" applyBorder="1" applyFont="1" applyNumberFormat="1">
      <alignment horizontal="center" vertical="bottom"/>
    </xf>
    <xf borderId="1" fillId="20" fontId="23" numFmtId="0" xfId="0" applyAlignment="1" applyBorder="1" applyFont="1">
      <alignment horizontal="center" vertical="bottom"/>
    </xf>
    <xf borderId="70" fillId="17" fontId="23" numFmtId="4" xfId="0" applyAlignment="1" applyBorder="1" applyFont="1" applyNumberFormat="1">
      <alignment horizontal="center" vertical="bottom"/>
    </xf>
    <xf borderId="70" fillId="17" fontId="23" numFmtId="10" xfId="0" applyAlignment="1" applyBorder="1" applyFont="1" applyNumberFormat="1">
      <alignment horizontal="center" vertical="bottom"/>
    </xf>
    <xf borderId="1" fillId="20" fontId="23" numFmtId="0" xfId="0" applyAlignment="1" applyBorder="1" applyFont="1">
      <alignment horizontal="center"/>
    </xf>
    <xf borderId="70" fillId="2" fontId="23" numFmtId="49" xfId="0" applyAlignment="1" applyBorder="1" applyFont="1" applyNumberFormat="1">
      <alignment horizontal="center" vertical="bottom"/>
    </xf>
    <xf borderId="1" fillId="20" fontId="10" numFmtId="0" xfId="0" applyAlignment="1" applyBorder="1" applyFont="1">
      <alignment vertical="bottom"/>
    </xf>
    <xf borderId="70" fillId="17" fontId="10" numFmtId="4" xfId="0" applyAlignment="1" applyBorder="1" applyFont="1" applyNumberFormat="1">
      <alignment vertical="bottom"/>
    </xf>
    <xf borderId="70" fillId="17" fontId="10" numFmtId="10" xfId="0" applyAlignment="1" applyBorder="1" applyFont="1" applyNumberFormat="1">
      <alignment vertical="bottom"/>
    </xf>
    <xf borderId="69" fillId="17" fontId="10" numFmtId="0" xfId="0" applyAlignment="1" applyBorder="1" applyFont="1">
      <alignment vertical="bottom"/>
    </xf>
    <xf borderId="1" fillId="20" fontId="10" numFmtId="0" xfId="0" applyBorder="1" applyFont="1"/>
    <xf borderId="23" fillId="2" fontId="10" numFmtId="4" xfId="0" applyAlignment="1" applyBorder="1" applyFont="1" applyNumberFormat="1">
      <alignment vertical="bottom"/>
    </xf>
    <xf borderId="23" fillId="2" fontId="10" numFmtId="10" xfId="0" applyAlignment="1" applyBorder="1" applyFont="1" applyNumberFormat="1">
      <alignment vertical="bottom"/>
    </xf>
    <xf borderId="70" fillId="2" fontId="10" numFmtId="4" xfId="0" applyAlignment="1" applyBorder="1" applyFont="1" applyNumberFormat="1">
      <alignment vertical="bottom"/>
    </xf>
    <xf borderId="70" fillId="2" fontId="10" numFmtId="10" xfId="0" applyAlignment="1" applyBorder="1" applyFont="1" applyNumberFormat="1">
      <alignment vertical="bottom"/>
    </xf>
    <xf borderId="0" fillId="0" fontId="10" numFmtId="10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18" fillId="20" fontId="10" numFmtId="0" xfId="0" applyAlignment="1" applyBorder="1" applyFont="1">
      <alignment vertical="bottom"/>
    </xf>
    <xf borderId="33" fillId="17" fontId="10" numFmtId="4" xfId="0" applyAlignment="1" applyBorder="1" applyFont="1" applyNumberFormat="1">
      <alignment vertical="bottom"/>
    </xf>
    <xf borderId="33" fillId="17" fontId="10" numFmtId="10" xfId="0" applyAlignment="1" applyBorder="1" applyFont="1" applyNumberFormat="1">
      <alignment vertical="bottom"/>
    </xf>
    <xf borderId="1" fillId="20" fontId="10" numFmtId="0" xfId="0" applyAlignment="1" applyBorder="1" applyFont="1">
      <alignment vertical="bottom"/>
    </xf>
    <xf borderId="18" fillId="20" fontId="10" numFmtId="49" xfId="0" applyAlignment="1" applyBorder="1" applyFont="1" applyNumberFormat="1">
      <alignment vertical="bottom"/>
    </xf>
    <xf borderId="70" fillId="17" fontId="10" numFmtId="49" xfId="0" applyAlignment="1" applyBorder="1" applyFont="1" applyNumberFormat="1">
      <alignment vertical="bottom"/>
    </xf>
    <xf borderId="69" fillId="17" fontId="10" numFmtId="0" xfId="0" applyAlignment="1" applyBorder="1" applyFont="1">
      <alignment vertical="bottom"/>
    </xf>
    <xf borderId="1" fillId="20" fontId="10" numFmtId="49" xfId="0" applyAlignment="1" applyBorder="1" applyFont="1" applyNumberFormat="1">
      <alignment vertical="bottom"/>
    </xf>
    <xf borderId="69" fillId="2" fontId="10" numFmtId="4" xfId="0" applyAlignment="1" applyBorder="1" applyFont="1" applyNumberFormat="1">
      <alignment vertical="bottom"/>
    </xf>
    <xf borderId="70" fillId="2" fontId="10" numFmtId="49" xfId="0" applyAlignment="1" applyBorder="1" applyFont="1" applyNumberFormat="1">
      <alignment vertical="bottom"/>
    </xf>
    <xf borderId="12" fillId="17" fontId="10" numFmtId="4" xfId="0" applyAlignment="1" applyBorder="1" applyFont="1" applyNumberFormat="1">
      <alignment vertical="bottom"/>
    </xf>
    <xf borderId="12" fillId="17" fontId="10" numFmtId="49" xfId="0" applyAlignment="1" applyBorder="1" applyFont="1" applyNumberFormat="1">
      <alignment vertical="bottom"/>
    </xf>
    <xf borderId="12" fillId="17" fontId="10" numFmtId="0" xfId="0" applyAlignment="1" applyBorder="1" applyFont="1">
      <alignment vertical="bottom"/>
    </xf>
    <xf borderId="0" fillId="2" fontId="23" numFmtId="0" xfId="0" applyFont="1"/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0" fillId="0" fontId="23" numFmtId="0" xfId="0" applyAlignment="1" applyFont="1">
      <alignment vertical="bottom"/>
    </xf>
    <xf borderId="0" fillId="2" fontId="23" numFmtId="0" xfId="0" applyAlignment="1" applyFont="1">
      <alignment vertical="bottom"/>
    </xf>
    <xf borderId="14" fillId="23" fontId="28" numFmtId="0" xfId="0" applyAlignment="1" applyBorder="1" applyFill="1" applyFont="1">
      <alignment horizontal="center" vertical="bottom"/>
    </xf>
    <xf borderId="8" fillId="23" fontId="23" numFmtId="0" xfId="0" applyAlignment="1" applyBorder="1" applyFont="1">
      <alignment vertical="bottom"/>
    </xf>
    <xf borderId="10" fillId="23" fontId="28" numFmtId="0" xfId="0" applyAlignment="1" applyBorder="1" applyFont="1">
      <alignment horizontal="center" shrinkToFit="0" vertical="bottom" wrapText="0"/>
    </xf>
    <xf borderId="10" fillId="23" fontId="28" numFmtId="0" xfId="0" applyAlignment="1" applyBorder="1" applyFont="1">
      <alignment horizontal="center" vertical="bottom"/>
    </xf>
    <xf borderId="7" fillId="23" fontId="28" numFmtId="0" xfId="0" applyAlignment="1" applyBorder="1" applyFont="1">
      <alignment horizontal="center" vertical="bottom"/>
    </xf>
    <xf borderId="0" fillId="0" fontId="23" numFmtId="0" xfId="0" applyAlignment="1" applyFont="1">
      <alignment vertical="bottom"/>
    </xf>
    <xf borderId="18" fillId="2" fontId="29" numFmtId="0" xfId="0" applyAlignment="1" applyBorder="1" applyFont="1">
      <alignment horizontal="center" readingOrder="0" vertical="center"/>
    </xf>
    <xf borderId="33" fillId="2" fontId="9" numFmtId="0" xfId="0" applyAlignment="1" applyBorder="1" applyFont="1">
      <alignment readingOrder="0" vertical="bottom"/>
    </xf>
    <xf borderId="0" fillId="2" fontId="9" numFmtId="0" xfId="0" applyAlignment="1" applyFont="1">
      <alignment readingOrder="0" vertical="bottom"/>
    </xf>
    <xf borderId="1" fillId="2" fontId="9" numFmtId="0" xfId="0" applyAlignment="1" applyBorder="1" applyFont="1">
      <alignment horizontal="center" readingOrder="0" vertical="bottom"/>
    </xf>
    <xf quotePrefix="1" borderId="1" fillId="11" fontId="1" numFmtId="0" xfId="0" applyAlignment="1" applyBorder="1" applyFont="1">
      <alignment horizontal="center" readingOrder="0" vertical="bottom"/>
    </xf>
    <xf borderId="33" fillId="2" fontId="9" numFmtId="0" xfId="0" applyAlignment="1" applyBorder="1" applyFont="1">
      <alignment readingOrder="0" shrinkToFit="0" vertical="bottom" wrapText="0"/>
    </xf>
    <xf borderId="0" fillId="2" fontId="9" numFmtId="0" xfId="0" applyAlignment="1" applyFont="1">
      <alignment vertical="bottom"/>
    </xf>
    <xf borderId="1" fillId="6" fontId="1" numFmtId="0" xfId="0" applyAlignment="1" applyBorder="1" applyFont="1">
      <alignment horizontal="center" readingOrder="0" vertical="bottom"/>
    </xf>
    <xf borderId="18" fillId="6" fontId="29" numFmtId="0" xfId="0" applyAlignment="1" applyBorder="1" applyFont="1">
      <alignment horizontal="center" readingOrder="0" vertical="center"/>
    </xf>
    <xf borderId="33" fillId="6" fontId="9" numFmtId="0" xfId="0" applyAlignment="1" applyBorder="1" applyFont="1">
      <alignment readingOrder="0" shrinkToFit="0" vertical="bottom" wrapText="0"/>
    </xf>
    <xf borderId="0" fillId="6" fontId="9" numFmtId="0" xfId="0" applyAlignment="1" applyFont="1">
      <alignment vertical="bottom"/>
    </xf>
    <xf borderId="1" fillId="6" fontId="9" numFmtId="0" xfId="0" applyAlignment="1" applyBorder="1" applyFont="1">
      <alignment horizontal="center" readingOrder="0" vertical="bottom"/>
    </xf>
    <xf borderId="69" fillId="2" fontId="9" numFmtId="0" xfId="0" applyAlignment="1" applyBorder="1" applyFont="1">
      <alignment vertical="bottom"/>
    </xf>
    <xf borderId="29" fillId="2" fontId="9" numFmtId="0" xfId="0" applyAlignment="1" applyBorder="1" applyFont="1">
      <alignment horizontal="center" readingOrder="0" vertical="bottom"/>
    </xf>
    <xf borderId="26" fillId="2" fontId="9" numFmtId="0" xfId="0" applyAlignment="1" applyBorder="1" applyFont="1">
      <alignment horizontal="center" readingOrder="0" vertical="bottom"/>
    </xf>
    <xf borderId="26" fillId="10" fontId="1" numFmtId="0" xfId="0" applyAlignment="1" applyBorder="1" applyFont="1">
      <alignment horizontal="center" readingOrder="0" vertical="bottom"/>
    </xf>
    <xf borderId="1" fillId="2" fontId="29" numFmtId="0" xfId="0" applyAlignment="1" applyBorder="1" applyFont="1">
      <alignment horizontal="center" readingOrder="0" vertical="center"/>
    </xf>
    <xf borderId="24" fillId="2" fontId="9" numFmtId="0" xfId="0" applyAlignment="1" applyBorder="1" applyFont="1">
      <alignment readingOrder="0" vertical="bottom"/>
    </xf>
    <xf borderId="0" fillId="2" fontId="23" numFmtId="0" xfId="0" applyAlignment="1" applyFont="1">
      <alignment vertical="bottom"/>
    </xf>
    <xf borderId="33" fillId="23" fontId="28" numFmtId="0" xfId="0" applyAlignment="1" applyBorder="1" applyFont="1">
      <alignment horizontal="center" shrinkToFit="0" vertical="bottom" wrapText="0"/>
    </xf>
    <xf borderId="0" fillId="23" fontId="23" numFmtId="0" xfId="0" applyAlignment="1" applyFont="1">
      <alignment vertical="bottom"/>
    </xf>
    <xf borderId="0" fillId="23" fontId="28" numFmtId="0" xfId="0" applyAlignment="1" applyFont="1">
      <alignment horizontal="center" shrinkToFit="0" vertical="bottom" wrapText="0"/>
    </xf>
    <xf borderId="0" fillId="23" fontId="28" numFmtId="0" xfId="0" applyAlignment="1" applyFont="1">
      <alignment horizontal="center" vertical="bottom"/>
    </xf>
    <xf borderId="69" fillId="23" fontId="28" numFmtId="0" xfId="0" applyAlignment="1" applyBorder="1" applyFont="1">
      <alignment horizontal="center" vertical="bottom"/>
    </xf>
    <xf borderId="1" fillId="2" fontId="23" numFmtId="0" xfId="0" applyAlignment="1" applyBorder="1" applyFont="1">
      <alignment readingOrder="0" shrinkToFit="0" vertical="bottom" wrapText="0"/>
    </xf>
    <xf borderId="1" fillId="2" fontId="23" numFmtId="0" xfId="0" applyAlignment="1" applyBorder="1" applyFont="1">
      <alignment vertical="bottom"/>
    </xf>
    <xf borderId="1" fillId="2" fontId="23" numFmtId="0" xfId="0" applyAlignment="1" applyBorder="1" applyFont="1">
      <alignment horizontal="center" readingOrder="0" vertical="bottom"/>
    </xf>
    <xf borderId="1" fillId="10" fontId="30" numFmtId="0" xfId="0" applyAlignment="1" applyBorder="1" applyFont="1">
      <alignment horizontal="center" readingOrder="0" vertical="bottom"/>
    </xf>
    <xf quotePrefix="1" borderId="1" fillId="11" fontId="30" numFmtId="0" xfId="0" applyAlignment="1" applyBorder="1" applyFont="1">
      <alignment horizontal="center" readingOrder="0" vertical="bottom"/>
    </xf>
    <xf borderId="0" fillId="2" fontId="23" numFmtId="0" xfId="0" applyAlignment="1" applyFont="1">
      <alignment shrinkToFit="0" vertical="bottom" wrapText="0"/>
    </xf>
    <xf borderId="0" fillId="2" fontId="23" numFmtId="0" xfId="0" applyAlignment="1" applyFont="1">
      <alignment horizontal="center" vertical="bottom"/>
    </xf>
    <xf borderId="0" fillId="2" fontId="23" numFmtId="0" xfId="0" applyAlignment="1" applyFont="1">
      <alignment vertical="bottom"/>
    </xf>
    <xf borderId="0" fillId="2" fontId="25" numFmtId="0" xfId="0" applyAlignment="1" applyFont="1">
      <alignment horizontal="center" readingOrder="0" vertical="bottom"/>
    </xf>
    <xf borderId="0" fillId="2" fontId="25" numFmtId="0" xfId="0" applyAlignment="1" applyFont="1">
      <alignment horizontal="center" readingOrder="0" shrinkToFit="0" vertical="center" wrapText="0"/>
    </xf>
    <xf borderId="18" fillId="23" fontId="31" numFmtId="0" xfId="0" applyAlignment="1" applyBorder="1" applyFont="1">
      <alignment horizontal="center" vertical="bottom"/>
    </xf>
    <xf borderId="10" fillId="23" fontId="23" numFmtId="0" xfId="0" applyAlignment="1" applyBorder="1" applyFont="1">
      <alignment vertical="bottom"/>
    </xf>
    <xf borderId="10" fillId="23" fontId="31" numFmtId="0" xfId="0" applyAlignment="1" applyBorder="1" applyFont="1">
      <alignment horizontal="center" vertical="bottom"/>
    </xf>
    <xf borderId="7" fillId="23" fontId="31" numFmtId="0" xfId="0" applyAlignment="1" applyBorder="1" applyFont="1">
      <alignment horizontal="center" vertical="bottom"/>
    </xf>
    <xf borderId="1" fillId="2" fontId="29" numFmtId="0" xfId="0" applyAlignment="1" applyBorder="1" applyFont="1">
      <alignment horizontal="center" vertical="bottom"/>
    </xf>
    <xf borderId="24" fillId="2" fontId="23" numFmtId="0" xfId="0" applyAlignment="1" applyBorder="1" applyFont="1">
      <alignment readingOrder="0" vertical="bottom"/>
    </xf>
    <xf borderId="12" fillId="2" fontId="23" numFmtId="0" xfId="0" applyAlignment="1" applyBorder="1" applyFont="1">
      <alignment vertical="bottom"/>
    </xf>
    <xf borderId="1" fillId="11" fontId="32" numFmtId="0" xfId="0" applyAlignment="1" applyBorder="1" applyFont="1">
      <alignment horizontal="center" readingOrder="0" vertical="bottom"/>
    </xf>
    <xf quotePrefix="1" borderId="1" fillId="11" fontId="32" numFmtId="0" xfId="0" applyAlignment="1" applyBorder="1" applyFont="1">
      <alignment horizontal="center" readingOrder="0" vertical="bottom"/>
    </xf>
    <xf borderId="1" fillId="10" fontId="32" numFmtId="0" xfId="0" applyAlignment="1" applyBorder="1" applyFont="1">
      <alignment horizontal="center" readingOrder="0" vertical="bottom"/>
    </xf>
    <xf borderId="1" fillId="6" fontId="29" numFmtId="0" xfId="0" applyAlignment="1" applyBorder="1" applyFont="1">
      <alignment horizontal="center" vertical="bottom"/>
    </xf>
    <xf borderId="24" fillId="6" fontId="23" numFmtId="0" xfId="0" applyAlignment="1" applyBorder="1" applyFont="1">
      <alignment readingOrder="0" vertical="bottom"/>
    </xf>
    <xf borderId="12" fillId="6" fontId="23" numFmtId="0" xfId="0" applyAlignment="1" applyBorder="1" applyFont="1">
      <alignment vertical="bottom"/>
    </xf>
    <xf borderId="1" fillId="6" fontId="23" numFmtId="0" xfId="0" applyAlignment="1" applyBorder="1" applyFont="1">
      <alignment horizontal="center" readingOrder="0" vertical="bottom"/>
    </xf>
    <xf borderId="13" fillId="2" fontId="23" numFmtId="0" xfId="0" applyAlignment="1" applyBorder="1" applyFont="1">
      <alignment vertical="bottom"/>
    </xf>
    <xf borderId="10" fillId="2" fontId="23" numFmtId="0" xfId="0" applyAlignment="1" applyBorder="1" applyFont="1">
      <alignment horizontal="center" readingOrder="0" vertical="bottom"/>
    </xf>
    <xf borderId="33" fillId="2" fontId="23" numFmtId="0" xfId="0" applyAlignment="1" applyBorder="1" applyFont="1">
      <alignment readingOrder="0" vertical="bottom"/>
    </xf>
    <xf borderId="0" fillId="2" fontId="23" numFmtId="0" xfId="0" applyAlignment="1" applyFont="1">
      <alignment vertical="bottom"/>
    </xf>
    <xf borderId="18" fillId="2" fontId="23" numFmtId="0" xfId="0" applyAlignment="1" applyBorder="1" applyFont="1">
      <alignment horizontal="center" readingOrder="0" vertical="bottom"/>
    </xf>
    <xf borderId="10" fillId="23" fontId="31" numFmtId="0" xfId="0" applyAlignment="1" applyBorder="1" applyFont="1">
      <alignment vertical="bottom"/>
    </xf>
    <xf borderId="7" fillId="23" fontId="31" numFmtId="0" xfId="0" applyAlignment="1" applyBorder="1" applyFont="1">
      <alignment vertical="bottom"/>
    </xf>
    <xf borderId="23" fillId="2" fontId="23" numFmtId="0" xfId="0" applyAlignment="1" applyBorder="1" applyFont="1">
      <alignment readingOrder="0" vertical="bottom"/>
    </xf>
    <xf borderId="23" fillId="2" fontId="23" numFmtId="0" xfId="0" applyAlignment="1" applyBorder="1" applyFont="1">
      <alignment vertical="bottom"/>
    </xf>
    <xf borderId="23" fillId="2" fontId="23" numFmtId="0" xfId="0" applyAlignment="1" applyBorder="1" applyFont="1">
      <alignment horizontal="center" readingOrder="0" vertical="bottom"/>
    </xf>
    <xf quotePrefix="1" borderId="23" fillId="11" fontId="25" numFmtId="0" xfId="0" applyAlignment="1" applyBorder="1" applyFont="1">
      <alignment horizontal="center" readingOrder="0" vertical="bottom"/>
    </xf>
    <xf borderId="0" fillId="2" fontId="23" numFmtId="0" xfId="0" applyAlignment="1" applyFont="1">
      <alignment shrinkToFit="0" vertical="bottom" wrapText="0"/>
    </xf>
    <xf borderId="0" fillId="2" fontId="23" numFmtId="0" xfId="0" applyAlignment="1" applyFont="1">
      <alignment horizontal="center" vertical="bottom"/>
    </xf>
    <xf borderId="0" fillId="2" fontId="29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bottom"/>
    </xf>
    <xf borderId="0" fillId="2" fontId="33" numFmtId="10" xfId="0" applyFont="1" applyNumberFormat="1"/>
    <xf borderId="0" fillId="2" fontId="23" numFmtId="10" xfId="0" applyAlignment="1" applyFont="1" applyNumberFormat="1">
      <alignment horizontal="center" readingOrder="0" vertical="bottom"/>
    </xf>
    <xf borderId="0" fillId="2" fontId="23" numFmtId="0" xfId="0" applyAlignment="1" applyFont="1">
      <alignment horizontal="center" vertical="bottom"/>
    </xf>
    <xf borderId="0" fillId="2" fontId="29" numFmtId="0" xfId="0" applyAlignment="1" applyFont="1">
      <alignment horizontal="center" vertical="bottom"/>
    </xf>
    <xf borderId="0" fillId="0" fontId="33" numFmtId="0" xfId="0" applyFont="1"/>
    <xf borderId="0" fillId="0" fontId="33" numFmtId="10" xfId="0" applyFont="1" applyNumberFormat="1"/>
    <xf borderId="0" fillId="0" fontId="34" numFmtId="0" xfId="0" applyAlignment="1" applyFont="1">
      <alignment vertical="bottom"/>
    </xf>
    <xf borderId="71" fillId="2" fontId="35" numFmtId="0" xfId="0" applyAlignment="1" applyBorder="1" applyFont="1">
      <alignment horizontal="center" readingOrder="0" vertical="center"/>
    </xf>
    <xf borderId="72" fillId="0" fontId="3" numFmtId="0" xfId="0" applyBorder="1" applyFont="1"/>
    <xf borderId="73" fillId="0" fontId="3" numFmtId="0" xfId="0" applyBorder="1" applyFont="1"/>
    <xf borderId="0" fillId="2" fontId="33" numFmtId="0" xfId="0" applyFont="1"/>
    <xf borderId="1" fillId="0" fontId="34" numFmtId="0" xfId="0" applyAlignment="1" applyBorder="1" applyFont="1">
      <alignment vertical="bottom"/>
    </xf>
    <xf borderId="23" fillId="2" fontId="35" numFmtId="0" xfId="0" applyAlignment="1" applyBorder="1" applyFont="1">
      <alignment horizontal="center" readingOrder="0" vertical="center"/>
    </xf>
    <xf borderId="23" fillId="2" fontId="35" numFmtId="0" xfId="0" applyAlignment="1" applyBorder="1" applyFont="1">
      <alignment horizontal="center" vertical="center"/>
    </xf>
    <xf borderId="74" fillId="0" fontId="36" numFmtId="0" xfId="0" applyAlignment="1" applyBorder="1" applyFont="1">
      <alignment horizontal="center"/>
    </xf>
    <xf borderId="75" fillId="2" fontId="35" numFmtId="0" xfId="0" applyAlignment="1" applyBorder="1" applyFont="1">
      <alignment horizontal="center" readingOrder="0" shrinkToFit="0" wrapText="1"/>
    </xf>
    <xf borderId="75" fillId="11" fontId="37" numFmtId="0" xfId="0" applyAlignment="1" applyBorder="1" applyFont="1">
      <alignment horizontal="center" readingOrder="0"/>
    </xf>
    <xf borderId="0" fillId="10" fontId="33" numFmtId="0" xfId="0" applyFont="1"/>
    <xf borderId="75" fillId="11" fontId="37" numFmtId="0" xfId="0" applyAlignment="1" applyBorder="1" applyFont="1">
      <alignment horizontal="center" readingOrder="0"/>
    </xf>
    <xf borderId="76" fillId="11" fontId="37" numFmtId="0" xfId="0" applyAlignment="1" applyBorder="1" applyFont="1">
      <alignment horizontal="center" readingOrder="0"/>
    </xf>
    <xf borderId="1" fillId="11" fontId="37" numFmtId="0" xfId="0" applyAlignment="1" applyBorder="1" applyFont="1">
      <alignment horizontal="center" readingOrder="0"/>
    </xf>
    <xf borderId="0" fillId="6" fontId="33" numFmtId="0" xfId="0" applyAlignment="1" applyFont="1">
      <alignment readingOrder="0"/>
    </xf>
    <xf borderId="0" fillId="2" fontId="33" numFmtId="0" xfId="0" applyAlignment="1" applyFont="1">
      <alignment readingOrder="0"/>
    </xf>
    <xf borderId="74" fillId="0" fontId="36" numFmtId="0" xfId="0" applyAlignment="1" applyBorder="1" applyFont="1">
      <alignment horizontal="center" readingOrder="0"/>
    </xf>
    <xf borderId="75" fillId="2" fontId="35" numFmtId="0" xfId="0" applyAlignment="1" applyBorder="1" applyFont="1">
      <alignment horizontal="center" shrinkToFit="0" wrapText="1"/>
    </xf>
    <xf borderId="75" fillId="10" fontId="37" numFmtId="0" xfId="0" applyAlignment="1" applyBorder="1" applyFont="1">
      <alignment horizontal="center" readingOrder="0"/>
    </xf>
    <xf borderId="76" fillId="11" fontId="37" numFmtId="0" xfId="0" applyAlignment="1" applyBorder="1" applyFont="1">
      <alignment horizontal="center" readingOrder="0"/>
    </xf>
    <xf borderId="75" fillId="2" fontId="35" numFmtId="0" xfId="0" applyAlignment="1" applyBorder="1" applyFont="1">
      <alignment horizontal="center" shrinkToFit="0" wrapText="1"/>
    </xf>
    <xf borderId="0" fillId="2" fontId="33" numFmtId="0" xfId="0" applyFont="1"/>
    <xf borderId="76" fillId="10" fontId="37" numFmtId="0" xfId="0" applyAlignment="1" applyBorder="1" applyFont="1">
      <alignment horizontal="center" readingOrder="0"/>
    </xf>
    <xf borderId="77" fillId="11" fontId="37" numFmtId="0" xfId="0" applyAlignment="1" applyBorder="1" applyFont="1">
      <alignment horizontal="center" readingOrder="0"/>
    </xf>
    <xf borderId="77" fillId="11" fontId="37" numFmtId="0" xfId="0" applyAlignment="1" applyBorder="1" applyFont="1">
      <alignment horizontal="center" readingOrder="0"/>
    </xf>
    <xf borderId="0" fillId="11" fontId="37" numFmtId="0" xfId="0" applyAlignment="1" applyFont="1">
      <alignment horizontal="center" readingOrder="0"/>
    </xf>
    <xf borderId="26" fillId="11" fontId="37" numFmtId="0" xfId="0" applyAlignment="1" applyBorder="1" applyFont="1">
      <alignment horizontal="center" readingOrder="0"/>
    </xf>
    <xf borderId="0" fillId="0" fontId="38" numFmtId="0" xfId="0" applyFont="1"/>
    <xf borderId="78" fillId="0" fontId="33" numFmtId="0" xfId="0" applyAlignment="1" applyBorder="1" applyFont="1">
      <alignment horizontal="center"/>
    </xf>
    <xf borderId="79" fillId="2" fontId="35" numFmtId="0" xfId="0" applyAlignment="1" applyBorder="1" applyFont="1">
      <alignment horizontal="center" readingOrder="0" vertical="center"/>
    </xf>
    <xf borderId="80" fillId="0" fontId="3" numFmtId="0" xfId="0" applyBorder="1" applyFont="1"/>
    <xf borderId="81" fillId="0" fontId="3" numFmtId="0" xfId="0" applyBorder="1" applyFont="1"/>
    <xf borderId="82" fillId="0" fontId="3" numFmtId="0" xfId="0" applyBorder="1" applyFont="1"/>
    <xf borderId="83" fillId="0" fontId="3" numFmtId="0" xfId="0" applyBorder="1" applyFont="1"/>
    <xf borderId="84" fillId="0" fontId="3" numFmtId="0" xfId="0" applyBorder="1" applyFont="1"/>
    <xf borderId="1" fillId="0" fontId="36" numFmtId="0" xfId="0" applyAlignment="1" applyBorder="1" applyFont="1">
      <alignment horizontal="center"/>
    </xf>
    <xf borderId="1" fillId="2" fontId="35" numFmtId="0" xfId="0" applyAlignment="1" applyBorder="1" applyFont="1">
      <alignment horizontal="center" shrinkToFit="0" wrapText="1"/>
    </xf>
    <xf borderId="1" fillId="10" fontId="37" numFmtId="0" xfId="0" applyAlignment="1" applyBorder="1" applyFont="1">
      <alignment horizontal="center" readingOrder="0"/>
    </xf>
    <xf borderId="1" fillId="2" fontId="35" numFmtId="0" xfId="0" applyAlignment="1" applyBorder="1" applyFont="1">
      <alignment horizontal="center" readingOrder="0" shrinkToFit="0" wrapText="1"/>
    </xf>
    <xf borderId="1" fillId="11" fontId="37" numFmtId="0" xfId="0" applyAlignment="1" applyBorder="1" applyFont="1">
      <alignment horizontal="center" readingOrder="0"/>
    </xf>
    <xf borderId="26" fillId="11" fontId="37" numFmtId="0" xfId="0" applyAlignment="1" applyBorder="1" applyFont="1">
      <alignment horizontal="center" readingOrder="0"/>
    </xf>
    <xf borderId="0" fillId="10" fontId="37" numFmtId="0" xfId="0" applyAlignment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2" fontId="35" numFmtId="0" xfId="0" applyAlignment="1" applyFont="1">
      <alignment horizontal="center" shrinkToFit="0" wrapText="1"/>
    </xf>
    <xf borderId="0" fillId="11" fontId="37" numFmtId="0" xfId="0" applyAlignment="1" applyFont="1">
      <alignment horizontal="center" readingOrder="0"/>
    </xf>
    <xf borderId="70" fillId="2" fontId="35" numFmtId="0" xfId="0" applyAlignment="1" applyBorder="1" applyFont="1">
      <alignment horizontal="center" readingOrder="0" vertical="center"/>
    </xf>
    <xf borderId="70" fillId="2" fontId="35" numFmtId="0" xfId="0" applyAlignment="1" applyBorder="1" applyFont="1">
      <alignment horizontal="center" vertical="center"/>
    </xf>
    <xf borderId="23" fillId="0" fontId="3" numFmtId="0" xfId="0" applyBorder="1" applyFont="1"/>
    <xf borderId="1" fillId="2" fontId="35" numFmtId="0" xfId="0" applyAlignment="1" applyBorder="1" applyFont="1">
      <alignment horizontal="center" shrinkToFit="0" wrapText="1"/>
    </xf>
    <xf borderId="1" fillId="10" fontId="37" numFmtId="0" xfId="0" applyAlignment="1" applyBorder="1" applyFont="1">
      <alignment horizontal="center" readingOrder="0"/>
    </xf>
    <xf borderId="26" fillId="10" fontId="37" numFmtId="0" xfId="0" applyAlignment="1" applyBorder="1" applyFont="1">
      <alignment horizontal="center" readingOrder="0"/>
    </xf>
    <xf borderId="1" fillId="2" fontId="35" numFmtId="4" xfId="0" applyAlignment="1" applyBorder="1" applyFont="1" applyNumberFormat="1">
      <alignment horizontal="center" shrinkToFit="0" wrapText="1"/>
    </xf>
    <xf borderId="26" fillId="10" fontId="37" numFmtId="0" xfId="0" applyAlignment="1" applyBorder="1" applyFont="1">
      <alignment horizontal="center" readingOrder="0"/>
    </xf>
    <xf borderId="85" fillId="0" fontId="39" numFmtId="0" xfId="0" applyAlignment="1" applyBorder="1" applyFont="1">
      <alignment horizontal="center" readingOrder="0" vertical="center"/>
    </xf>
    <xf borderId="86" fillId="0" fontId="3" numFmtId="0" xfId="0" applyBorder="1" applyFont="1"/>
    <xf borderId="87" fillId="0" fontId="3" numFmtId="0" xfId="0" applyBorder="1" applyFont="1"/>
    <xf borderId="64" fillId="3" fontId="5" numFmtId="166" xfId="0" applyAlignment="1" applyBorder="1" applyFont="1" applyNumberFormat="1">
      <alignment horizontal="center" readingOrder="0"/>
    </xf>
    <xf borderId="88" fillId="3" fontId="40" numFmtId="168" xfId="0" applyAlignment="1" applyBorder="1" applyFont="1" applyNumberFormat="1">
      <alignment horizontal="center" readingOrder="0"/>
    </xf>
    <xf borderId="89" fillId="0" fontId="3" numFmtId="0" xfId="0" applyBorder="1" applyFont="1"/>
    <xf borderId="90" fillId="0" fontId="3" numFmtId="0" xfId="0" applyBorder="1" applyFont="1"/>
    <xf borderId="2" fillId="3" fontId="40" numFmtId="167" xfId="0" applyAlignment="1" applyBorder="1" applyFont="1" applyNumberFormat="1">
      <alignment horizontal="center" readingOrder="0"/>
    </xf>
    <xf borderId="0" fillId="3" fontId="40" numFmtId="167" xfId="0" applyAlignment="1" applyFont="1" applyNumberFormat="1">
      <alignment horizontal="center" readingOrder="0"/>
    </xf>
    <xf borderId="91" fillId="5" fontId="5" numFmtId="49" xfId="0" applyAlignment="1" applyBorder="1" applyFont="1" applyNumberFormat="1">
      <alignment horizontal="center"/>
    </xf>
    <xf borderId="88" fillId="3" fontId="40" numFmtId="168" xfId="0" applyAlignment="1" applyBorder="1" applyFont="1" applyNumberFormat="1">
      <alignment horizontal="center" readingOrder="0" vertical="center"/>
    </xf>
    <xf borderId="89" fillId="3" fontId="40" numFmtId="0" xfId="0" applyAlignment="1" applyBorder="1" applyFont="1">
      <alignment horizontal="center" readingOrder="0"/>
    </xf>
    <xf borderId="89" fillId="5" fontId="1" numFmtId="49" xfId="0" applyAlignment="1" applyBorder="1" applyFont="1" applyNumberFormat="1">
      <alignment horizontal="center" vertical="center"/>
    </xf>
    <xf borderId="92" fillId="3" fontId="40" numFmtId="0" xfId="0" applyAlignment="1" applyBorder="1" applyFont="1">
      <alignment horizontal="center" readingOrder="0"/>
    </xf>
    <xf borderId="0" fillId="3" fontId="40" numFmtId="0" xfId="0" applyAlignment="1" applyFont="1">
      <alignment horizontal="center" readingOrder="0"/>
    </xf>
    <xf borderId="93" fillId="5" fontId="5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 readingOrder="0" vertical="center"/>
    </xf>
    <xf borderId="1" fillId="4" fontId="41" numFmtId="49" xfId="0" applyAlignment="1" applyBorder="1" applyFont="1" applyNumberFormat="1">
      <alignment horizontal="center" readingOrder="0" vertical="center"/>
    </xf>
    <xf borderId="8" fillId="4" fontId="7" numFmtId="49" xfId="0" applyAlignment="1" applyBorder="1" applyFont="1" applyNumberFormat="1">
      <alignment horizontal="center" readingOrder="0" vertical="center"/>
    </xf>
    <xf borderId="9" fillId="4" fontId="7" numFmtId="49" xfId="0" applyAlignment="1" applyBorder="1" applyFont="1" applyNumberFormat="1">
      <alignment horizontal="center" readingOrder="0" vertical="center"/>
    </xf>
    <xf borderId="38" fillId="5" fontId="41" numFmtId="49" xfId="0" applyAlignment="1" applyBorder="1" applyFont="1" applyNumberFormat="1">
      <alignment horizontal="center" vertical="center"/>
    </xf>
    <xf borderId="11" fillId="3" fontId="41" numFmtId="49" xfId="0" applyAlignment="1" applyBorder="1" applyFont="1" applyNumberFormat="1">
      <alignment horizontal="center" readingOrder="0" vertical="center"/>
    </xf>
    <xf borderId="1" fillId="3" fontId="41" numFmtId="49" xfId="0" applyAlignment="1" applyBorder="1" applyFont="1" applyNumberFormat="1">
      <alignment horizontal="center" readingOrder="0" vertical="center"/>
    </xf>
    <xf borderId="12" fillId="3" fontId="6" numFmtId="49" xfId="0" applyAlignment="1" applyBorder="1" applyFont="1" applyNumberFormat="1">
      <alignment horizontal="center" readingOrder="0"/>
    </xf>
    <xf borderId="13" fillId="3" fontId="6" numFmtId="49" xfId="0" applyAlignment="1" applyBorder="1" applyFont="1" applyNumberFormat="1">
      <alignment horizontal="center" readingOrder="0"/>
    </xf>
    <xf borderId="14" fillId="3" fontId="7" numFmtId="49" xfId="0" applyAlignment="1" applyBorder="1" applyFont="1" applyNumberFormat="1">
      <alignment horizontal="center" readingOrder="0" vertical="center"/>
    </xf>
    <xf borderId="8" fillId="3" fontId="7" numFmtId="49" xfId="0" applyAlignment="1" applyBorder="1" applyFont="1" applyNumberFormat="1">
      <alignment horizontal="center" readingOrder="0" vertical="center"/>
    </xf>
    <xf borderId="0" fillId="3" fontId="7" numFmtId="49" xfId="0" applyAlignment="1" applyFont="1" applyNumberFormat="1">
      <alignment horizontal="center" readingOrder="0" vertical="center"/>
    </xf>
    <xf borderId="7" fillId="6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center"/>
    </xf>
    <xf borderId="18" fillId="2" fontId="1" numFmtId="49" xfId="0" applyAlignment="1" applyBorder="1" applyFont="1" applyNumberFormat="1">
      <alignment horizontal="center" readingOrder="0" vertical="center"/>
    </xf>
    <xf borderId="19" fillId="8" fontId="1" numFmtId="49" xfId="0" applyAlignment="1" applyBorder="1" applyFont="1" applyNumberFormat="1">
      <alignment horizontal="center" readingOrder="0" vertical="center"/>
    </xf>
    <xf borderId="20" fillId="8" fontId="1" numFmtId="49" xfId="0" applyAlignment="1" applyBorder="1" applyFont="1" applyNumberFormat="1">
      <alignment horizontal="center" readingOrder="0" vertical="center"/>
    </xf>
    <xf borderId="27" fillId="8" fontId="1" numFmtId="49" xfId="0" applyAlignment="1" applyBorder="1" applyFont="1" applyNumberFormat="1">
      <alignment horizontal="center" readingOrder="0" vertical="center"/>
    </xf>
    <xf borderId="38" fillId="5" fontId="1" numFmtId="49" xfId="0" applyAlignment="1" applyBorder="1" applyFont="1" applyNumberFormat="1">
      <alignment horizontal="center" readingOrder="0" vertical="center"/>
    </xf>
    <xf borderId="11" fillId="6" fontId="1" numFmtId="49" xfId="0" applyAlignment="1" applyBorder="1" applyFont="1" applyNumberFormat="1">
      <alignment horizontal="center" readingOrder="0" vertical="center"/>
    </xf>
    <xf borderId="1" fillId="6" fontId="1" numFmtId="49" xfId="0" applyAlignment="1" applyBorder="1" applyFont="1" applyNumberFormat="1">
      <alignment horizontal="center" readingOrder="0" vertical="center"/>
    </xf>
    <xf borderId="10" fillId="2" fontId="1" numFmtId="49" xfId="0" applyAlignment="1" applyBorder="1" applyFont="1" applyNumberFormat="1">
      <alignment horizontal="center" readingOrder="0"/>
    </xf>
    <xf borderId="0" fillId="8" fontId="1" numFmtId="49" xfId="0" applyAlignment="1" applyFont="1" applyNumberFormat="1">
      <alignment horizontal="center" readingOrder="0" vertical="center"/>
    </xf>
    <xf borderId="11" fillId="8" fontId="1" numFmtId="49" xfId="0" applyAlignment="1" applyBorder="1" applyFont="1" applyNumberFormat="1">
      <alignment horizontal="center" readingOrder="0" vertical="center"/>
    </xf>
    <xf borderId="1" fillId="8" fontId="1" numFmtId="49" xfId="0" applyAlignment="1" applyBorder="1" applyFont="1" applyNumberFormat="1">
      <alignment horizontal="center" readingOrder="0" vertical="center"/>
    </xf>
    <xf borderId="21" fillId="8" fontId="1" numFmtId="49" xfId="0" applyAlignment="1" applyBorder="1" applyFont="1" applyNumberFormat="1">
      <alignment horizontal="center" readingOrder="0" vertical="center"/>
    </xf>
    <xf borderId="38" fillId="5" fontId="1" numFmtId="49" xfId="0" applyAlignment="1" applyBorder="1" applyFont="1" applyNumberFormat="1">
      <alignment horizontal="center" vertical="center"/>
    </xf>
    <xf borderId="11" fillId="6" fontId="15" numFmtId="49" xfId="0" applyAlignment="1" applyBorder="1" applyFont="1" applyNumberFormat="1">
      <alignment horizontal="center" readingOrder="0" vertical="center"/>
    </xf>
    <xf borderId="12" fillId="2" fontId="1" numFmtId="49" xfId="0" applyAlignment="1" applyBorder="1" applyFont="1" applyNumberForma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2" fontId="15" numFmtId="49" xfId="0" applyAlignment="1" applyBorder="1" applyFont="1" applyNumberFormat="1">
      <alignment horizontal="center" readingOrder="0" vertical="center"/>
    </xf>
    <xf borderId="7" fillId="9" fontId="1" numFmtId="49" xfId="0" applyAlignment="1" applyBorder="1" applyFont="1" applyNumberFormat="1">
      <alignment horizontal="center" readingOrder="0" vertical="center"/>
    </xf>
    <xf borderId="23" fillId="9" fontId="42" numFmtId="4" xfId="0" applyAlignment="1" applyBorder="1" applyFont="1" applyNumberFormat="1">
      <alignment horizontal="center" readingOrder="0" vertical="bottom"/>
    </xf>
    <xf borderId="1" fillId="9" fontId="15" numFmtId="49" xfId="0" applyAlignment="1" applyBorder="1" applyFont="1" applyNumberFormat="1">
      <alignment horizontal="center" readingOrder="0" vertical="center"/>
    </xf>
    <xf borderId="1" fillId="9" fontId="1" numFmtId="49" xfId="0" applyAlignment="1" applyBorder="1" applyFont="1" applyNumberFormat="1">
      <alignment horizontal="center" readingOrder="0" vertical="center"/>
    </xf>
    <xf borderId="25" fillId="9" fontId="15" numFmtId="49" xfId="0" applyAlignment="1" applyBorder="1" applyFont="1" applyNumberFormat="1">
      <alignment horizontal="center" readingOrder="0" vertical="center"/>
    </xf>
    <xf borderId="11" fillId="9" fontId="1" numFmtId="49" xfId="0" applyAlignment="1" applyBorder="1" applyFont="1" applyNumberFormat="1">
      <alignment horizontal="center" readingOrder="0" vertical="center"/>
    </xf>
    <xf borderId="26" fillId="9" fontId="1" numFmtId="49" xfId="0" applyAlignment="1" applyBorder="1" applyFont="1" applyNumberFormat="1">
      <alignment horizontal="center" readingOrder="0" vertical="center"/>
    </xf>
    <xf borderId="1" fillId="9" fontId="42" numFmtId="0" xfId="0" applyAlignment="1" applyBorder="1" applyFont="1">
      <alignment horizontal="center" readingOrder="0" vertical="bottom"/>
    </xf>
    <xf borderId="18" fillId="9" fontId="1" numFmtId="49" xfId="0" applyAlignment="1" applyBorder="1" applyFont="1" applyNumberFormat="1">
      <alignment horizontal="center" readingOrder="0" vertical="center"/>
    </xf>
    <xf borderId="1" fillId="9" fontId="42" numFmtId="4" xfId="0" applyAlignment="1" applyBorder="1" applyFont="1" applyNumberFormat="1">
      <alignment horizontal="center" readingOrder="0" vertical="bottom"/>
    </xf>
    <xf borderId="1" fillId="9" fontId="15" numFmtId="49" xfId="0" applyAlignment="1" applyBorder="1" applyFont="1" applyNumberFormat="1">
      <alignment horizontal="center" readingOrder="0" vertical="bottom"/>
    </xf>
    <xf borderId="7" fillId="8" fontId="1" numFmtId="49" xfId="0" applyAlignment="1" applyBorder="1" applyFont="1" applyNumberFormat="1">
      <alignment horizontal="center" readingOrder="0" vertical="center"/>
    </xf>
    <xf borderId="13" fillId="5" fontId="1" numFmtId="49" xfId="0" applyAlignment="1" applyBorder="1" applyFont="1" applyNumberFormat="1">
      <alignment horizontal="center" readingOrder="0" vertical="center"/>
    </xf>
    <xf borderId="11" fillId="3" fontId="1" numFmtId="49" xfId="0" applyAlignment="1" applyBorder="1" applyFont="1" applyNumberFormat="1">
      <alignment horizontal="center" readingOrder="0" vertical="center"/>
    </xf>
    <xf borderId="1" fillId="3" fontId="1" numFmtId="49" xfId="0" applyAlignment="1" applyBorder="1" applyFont="1" applyNumberForma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vertical="center"/>
    </xf>
    <xf borderId="11" fillId="3" fontId="15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10" fillId="2" fontId="1" numFmtId="49" xfId="0" applyAlignment="1" applyBorder="1" applyFont="1" applyNumberFormat="1">
      <alignment horizontal="center" readingOrder="0" vertical="center"/>
    </xf>
    <xf borderId="0" fillId="2" fontId="15" numFmtId="49" xfId="0" applyAlignment="1" applyFont="1" applyNumberFormat="1">
      <alignment horizontal="center" readingOrder="0"/>
    </xf>
    <xf borderId="7" fillId="2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7" fillId="2" fontId="1" numFmtId="49" xfId="0" applyAlignment="1" applyBorder="1" applyFont="1" applyNumberFormat="1">
      <alignment horizontal="center" readingOrder="0" vertical="center"/>
    </xf>
    <xf borderId="11" fillId="8" fontId="15" numFmtId="0" xfId="0" applyAlignment="1" applyBorder="1" applyFont="1">
      <alignment horizontal="center" readingOrder="0" vertical="center"/>
    </xf>
    <xf borderId="1" fillId="8" fontId="15" numFmtId="0" xfId="0" applyAlignment="1" applyBorder="1" applyFont="1">
      <alignment horizontal="center" readingOrder="0" vertical="center"/>
    </xf>
    <xf borderId="21" fillId="8" fontId="15" numFmtId="0" xfId="0" applyAlignment="1" applyBorder="1" applyFont="1">
      <alignment horizontal="center" readingOrder="0" vertical="center"/>
    </xf>
    <xf borderId="83" fillId="5" fontId="1" numFmtId="49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25" fillId="2" fontId="15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3" fillId="2" fontId="15" numFmtId="49" xfId="0" applyAlignment="1" applyBorder="1" applyFont="1" applyNumberFormat="1">
      <alignment horizontal="center" readingOrder="0"/>
    </xf>
    <xf borderId="0" fillId="5" fontId="1" numFmtId="49" xfId="0" applyAlignment="1" applyFont="1" applyNumberFormat="1">
      <alignment horizontal="center" vertical="center"/>
    </xf>
    <xf borderId="11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0" fillId="8" fontId="15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shrinkToFit="0" wrapText="1"/>
    </xf>
    <xf borderId="25" fillId="2" fontId="1" numFmtId="49" xfId="0" applyAlignment="1" applyBorder="1" applyFont="1" applyNumberFormat="1">
      <alignment horizontal="center" readingOrder="0" vertical="center"/>
    </xf>
    <xf borderId="11" fillId="3" fontId="15" numFmtId="49" xfId="0" applyAlignment="1" applyBorder="1" applyFont="1" applyNumberFormat="1">
      <alignment horizontal="center" vertical="center"/>
    </xf>
    <xf borderId="18" fillId="2" fontId="15" numFmtId="49" xfId="0" applyAlignment="1" applyBorder="1" applyFont="1" applyNumberFormat="1">
      <alignment horizontal="center" readingOrder="0" vertical="center"/>
    </xf>
    <xf borderId="11" fillId="8" fontId="9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10" fillId="2" fontId="15" numFmtId="49" xfId="0" applyAlignment="1" applyBorder="1" applyFont="1" applyNumberFormat="1">
      <alignment horizontal="center" readingOrder="0" vertical="center"/>
    </xf>
    <xf borderId="28" fillId="3" fontId="1" numFmtId="49" xfId="0" applyAlignment="1" applyBorder="1" applyFont="1" applyNumberFormat="1">
      <alignment horizontal="center" vertical="center"/>
    </xf>
    <xf borderId="23" fillId="2" fontId="1" numFmtId="0" xfId="0" applyAlignment="1" applyBorder="1" applyFont="1">
      <alignment horizontal="center" shrinkToFit="0" vertical="bottom" wrapText="1"/>
    </xf>
    <xf borderId="35" fillId="8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vertical="center"/>
    </xf>
    <xf borderId="25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29" fillId="7" fontId="1" numFmtId="49" xfId="0" applyAlignment="1" applyBorder="1" applyFont="1" applyNumberFormat="1">
      <alignment horizontal="center" readingOrder="0" vertical="center"/>
    </xf>
    <xf borderId="23" fillId="7" fontId="1" numFmtId="49" xfId="0" applyAlignment="1" applyBorder="1" applyFont="1" applyNumberFormat="1">
      <alignment horizontal="center" readingOrder="0" vertical="center"/>
    </xf>
    <xf borderId="1" fillId="7" fontId="1" numFmtId="49" xfId="0" applyAlignment="1" applyBorder="1" applyFont="1" applyNumberFormat="1">
      <alignment horizontal="center" readingOrder="0" shrinkToFit="0" wrapText="1"/>
    </xf>
    <xf borderId="12" fillId="7" fontId="1" numFmtId="49" xfId="0" applyAlignment="1" applyBorder="1" applyFont="1" applyNumberFormat="1">
      <alignment horizontal="center" readingOrder="0" vertical="center"/>
    </xf>
    <xf borderId="13" fillId="7" fontId="1" numFmtId="49" xfId="0" applyAlignment="1" applyBorder="1" applyFont="1" applyNumberFormat="1">
      <alignment horizontal="center" readingOrder="0" vertical="center"/>
    </xf>
    <xf borderId="28" fillId="7" fontId="1" numFmtId="49" xfId="0" applyAlignment="1" applyBorder="1" applyFont="1" applyNumberFormat="1">
      <alignment horizontal="center" readingOrder="0" vertical="center"/>
    </xf>
    <xf borderId="30" fillId="7" fontId="1" numFmtId="49" xfId="0" applyAlignment="1" applyBorder="1" applyFont="1" applyNumberFormat="1">
      <alignment horizontal="center" readingOrder="0" vertical="center"/>
    </xf>
    <xf borderId="32" fillId="7" fontId="1" numFmtId="49" xfId="0" applyAlignment="1" applyBorder="1" applyFont="1" applyNumberFormat="1">
      <alignment horizontal="center" readingOrder="0" vertical="center"/>
    </xf>
    <xf borderId="31" fillId="7" fontId="1" numFmtId="0" xfId="0" applyAlignment="1" applyBorder="1" applyFont="1">
      <alignment horizontal="center" readingOrder="0" vertical="bottom"/>
    </xf>
    <xf borderId="31" fillId="7" fontId="1" numFmtId="0" xfId="0" applyAlignment="1" applyBorder="1" applyFont="1">
      <alignment horizontal="center" readingOrder="0" vertical="center"/>
    </xf>
    <xf borderId="37" fillId="7" fontId="1" numFmtId="0" xfId="0" applyAlignment="1" applyBorder="1" applyFont="1">
      <alignment horizontal="center" readingOrder="0" vertical="center"/>
    </xf>
    <xf borderId="38" fillId="7" fontId="1" numFmtId="49" xfId="0" applyAlignment="1" applyBorder="1" applyFont="1" applyNumberFormat="1">
      <alignment horizontal="center" readingOrder="0" vertical="center"/>
    </xf>
    <xf borderId="94" fillId="8" fontId="1" numFmtId="49" xfId="0" applyAlignment="1" applyBorder="1" applyFont="1" applyNumberFormat="1">
      <alignment horizontal="center" readingOrder="0" vertical="center"/>
    </xf>
    <xf borderId="31" fillId="8" fontId="1" numFmtId="49" xfId="0" applyAlignment="1" applyBorder="1" applyFont="1" applyNumberFormat="1">
      <alignment horizontal="center" readingOrder="0" vertical="center"/>
    </xf>
    <xf borderId="95" fillId="8" fontId="1" numFmtId="49" xfId="0" applyAlignment="1" applyBorder="1" applyFont="1" applyNumberFormat="1">
      <alignment horizontal="center" readingOrder="0" vertical="center"/>
    </xf>
    <xf borderId="36" fillId="7" fontId="1" numFmtId="49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vertical="bottom"/>
    </xf>
    <xf borderId="0" fillId="6" fontId="43" numFmtId="49" xfId="0" applyAlignment="1" applyFont="1" applyNumberFormat="1">
      <alignment horizontal="center" readingOrder="0" shrinkToFit="0" textRotation="0" vertical="center" wrapText="1"/>
    </xf>
    <xf borderId="0" fillId="2" fontId="44" numFmtId="0" xfId="0" applyAlignment="1" applyFont="1">
      <alignment horizontal="center" readingOrder="0" vertical="center"/>
    </xf>
    <xf borderId="0" fillId="2" fontId="45" numFmtId="0" xfId="0" applyAlignment="1" applyFont="1">
      <alignment horizontal="center" shrinkToFit="0" vertical="center" wrapText="1"/>
    </xf>
    <xf borderId="0" fillId="2" fontId="46" numFmtId="0" xfId="0" applyAlignment="1" applyFont="1">
      <alignment horizontal="center" vertical="center"/>
    </xf>
    <xf borderId="0" fillId="2" fontId="47" numFmtId="49" xfId="0" applyAlignment="1" applyFont="1" applyNumberFormat="1">
      <alignment horizontal="center" readingOrder="0" shrinkToFit="0" wrapText="1"/>
    </xf>
    <xf borderId="0" fillId="0" fontId="46" numFmtId="0" xfId="0" applyAlignment="1" applyFont="1">
      <alignment horizontal="center"/>
    </xf>
    <xf borderId="0" fillId="2" fontId="4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vertical="bottom"/>
    </xf>
    <xf borderId="0" fillId="0" fontId="29" numFmtId="0" xfId="0" applyAlignment="1" applyFont="1">
      <alignment vertical="bottom"/>
    </xf>
    <xf borderId="14" fillId="2" fontId="41" numFmtId="0" xfId="0" applyAlignment="1" applyBorder="1" applyFont="1">
      <alignment horizontal="center" readingOrder="0" vertical="center"/>
    </xf>
    <xf borderId="29" fillId="0" fontId="3" numFmtId="0" xfId="0" applyBorder="1" applyFont="1"/>
    <xf borderId="26" fillId="2" fontId="41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0" fillId="2" fontId="48" numFmtId="0" xfId="0" applyAlignment="1" applyFont="1">
      <alignment horizontal="center" vertical="center"/>
    </xf>
    <xf borderId="0" fillId="0" fontId="49" numFmtId="0" xfId="0" applyFont="1"/>
    <xf borderId="0" fillId="0" fontId="45" numFmtId="0" xfId="0" applyAlignment="1" applyFont="1">
      <alignment horizontal="center" vertical="center"/>
    </xf>
    <xf borderId="24" fillId="0" fontId="3" numFmtId="0" xfId="0" applyBorder="1" applyFont="1"/>
    <xf borderId="0" fillId="0" fontId="45" numFmtId="0" xfId="0" applyAlignment="1" applyFont="1">
      <alignment horizontal="left" vertical="center"/>
    </xf>
    <xf borderId="18" fillId="11" fontId="50" numFmtId="0" xfId="0" applyAlignment="1" applyBorder="1" applyFont="1">
      <alignment horizontal="center" vertical="bottom"/>
    </xf>
    <xf borderId="1" fillId="2" fontId="41" numFmtId="0" xfId="0" applyAlignment="1" applyBorder="1" applyFont="1">
      <alignment horizontal="center" readingOrder="0"/>
    </xf>
    <xf borderId="12" fillId="13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2" fillId="2" fontId="6" numFmtId="0" xfId="0" applyAlignment="1" applyBorder="1" applyFont="1">
      <alignment horizontal="center" readingOrder="0" vertical="bottom"/>
    </xf>
    <xf borderId="0" fillId="0" fontId="45" numFmtId="0" xfId="0" applyAlignment="1" applyFont="1">
      <alignment horizontal="center" readingOrder="0" vertical="center"/>
    </xf>
    <xf borderId="7" fillId="13" fontId="1" numFmtId="0" xfId="0" applyAlignment="1" applyBorder="1" applyFont="1">
      <alignment horizontal="center" readingOrder="0" vertical="bottom"/>
    </xf>
    <xf borderId="18" fillId="4" fontId="50" numFmtId="0" xfId="0" applyAlignment="1" applyBorder="1" applyFont="1">
      <alignment horizontal="center" vertical="bottom"/>
    </xf>
    <xf borderId="23" fillId="2" fontId="1" numFmtId="0" xfId="0" applyAlignment="1" applyBorder="1" applyFont="1">
      <alignment horizontal="center" readingOrder="0" vertical="bottom"/>
    </xf>
    <xf borderId="18" fillId="4" fontId="50" numFmtId="0" xfId="0" applyAlignment="1" applyBorder="1" applyFont="1">
      <alignment horizontal="center" readingOrder="0" vertical="bottom"/>
    </xf>
    <xf borderId="1" fillId="4" fontId="15" numFmtId="0" xfId="0" applyAlignment="1" applyBorder="1" applyFont="1">
      <alignment horizontal="center" shrinkToFit="0" vertical="bottom" wrapText="1"/>
    </xf>
    <xf borderId="0" fillId="2" fontId="41" numFmtId="0" xfId="0" applyAlignment="1" applyFont="1">
      <alignment horizontal="center" readingOrder="0"/>
    </xf>
    <xf borderId="18" fillId="4" fontId="41" numFmtId="0" xfId="0" applyAlignment="1" applyBorder="1" applyFont="1">
      <alignment horizontal="center" readingOrder="0" vertical="center"/>
    </xf>
    <xf borderId="1" fillId="4" fontId="15" numFmtId="0" xfId="0" applyAlignment="1" applyBorder="1" applyFont="1">
      <alignment horizontal="center" readingOrder="0" shrinkToFit="0" vertical="bottom" wrapText="1"/>
    </xf>
    <xf borderId="1" fillId="2" fontId="41" numFmtId="0" xfId="0" applyAlignment="1" applyBorder="1" applyFont="1">
      <alignment horizontal="center" vertical="center"/>
    </xf>
    <xf borderId="0" fillId="2" fontId="41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14" fillId="2" fontId="51" numFmtId="0" xfId="0" applyAlignment="1" applyBorder="1" applyFont="1">
      <alignment horizontal="center" readingOrder="0" vertical="center"/>
    </xf>
    <xf borderId="8" fillId="0" fontId="3" numFmtId="0" xfId="0" applyBorder="1" applyFont="1"/>
    <xf borderId="0" fillId="2" fontId="51" numFmtId="0" xfId="0" applyAlignment="1" applyFont="1">
      <alignment horizontal="center" readingOrder="0" vertical="center"/>
    </xf>
    <xf borderId="0" fillId="0" fontId="26" numFmtId="0" xfId="0" applyAlignment="1" applyFont="1">
      <alignment vertical="bottom"/>
    </xf>
    <xf borderId="18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vertical="bottom" wrapText="1"/>
    </xf>
    <xf borderId="1" fillId="24" fontId="41" numFmtId="0" xfId="0" applyAlignment="1" applyBorder="1" applyFill="1" applyFont="1">
      <alignment horizontal="center" readingOrder="0"/>
    </xf>
    <xf borderId="1" fillId="2" fontId="41" numFmtId="49" xfId="0" applyAlignment="1" applyBorder="1" applyFont="1" applyNumberFormat="1">
      <alignment horizontal="center" readingOrder="0" vertical="center"/>
    </xf>
    <xf borderId="0" fillId="2" fontId="41" numFmtId="49" xfId="0" applyAlignment="1" applyFont="1" applyNumberFormat="1">
      <alignment horizontal="center" readingOrder="0" vertical="center"/>
    </xf>
    <xf borderId="24" fillId="6" fontId="1" numFmtId="0" xfId="0" applyAlignment="1" applyBorder="1" applyFont="1">
      <alignment horizontal="center" shrinkToFit="0" vertical="bottom" wrapText="1"/>
    </xf>
    <xf borderId="18" fillId="6" fontId="41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bottom"/>
    </xf>
    <xf borderId="0" fillId="2" fontId="52" numFmtId="0" xfId="0" applyAlignment="1" applyFont="1">
      <alignment horizontal="center" vertical="center"/>
    </xf>
    <xf borderId="0" fillId="0" fontId="53" numFmtId="0" xfId="0" applyAlignment="1" applyFont="1">
      <alignment horizontal="center" shrinkToFit="0" vertical="center" wrapText="0"/>
    </xf>
    <xf borderId="18" fillId="7" fontId="41" numFmtId="0" xfId="0" applyAlignment="1" applyBorder="1" applyFont="1">
      <alignment horizontal="center" readingOrder="0" vertical="center"/>
    </xf>
    <xf borderId="1" fillId="2" fontId="41" numFmtId="0" xfId="0" applyAlignment="1" applyBorder="1" applyFont="1">
      <alignment horizontal="center" readingOrder="0" vertical="center"/>
    </xf>
    <xf borderId="0" fillId="0" fontId="54" numFmtId="0" xfId="0" applyAlignment="1" applyFont="1">
      <alignment horizontal="left" vertical="center"/>
    </xf>
    <xf borderId="0" fillId="0" fontId="53" numFmtId="0" xfId="0" applyAlignment="1" applyFont="1">
      <alignment horizontal="center" vertical="center"/>
    </xf>
    <xf borderId="1" fillId="7" fontId="15" numFmtId="0" xfId="0" applyAlignment="1" applyBorder="1" applyFont="1">
      <alignment horizontal="center" readingOrder="0" shrinkToFit="0" vertical="bottom" wrapText="1"/>
    </xf>
    <xf borderId="1" fillId="2" fontId="41" numFmtId="49" xfId="0" applyAlignment="1" applyBorder="1" applyFont="1" applyNumberFormat="1">
      <alignment horizontal="center" vertical="center"/>
    </xf>
    <xf borderId="0" fillId="2" fontId="41" numFmtId="49" xfId="0" applyAlignment="1" applyFont="1" applyNumberFormat="1">
      <alignment horizontal="center" vertical="center"/>
    </xf>
    <xf borderId="0" fillId="0" fontId="53" numFmtId="0" xfId="0" applyAlignment="1" applyFont="1">
      <alignment horizontal="left" readingOrder="0" vertical="center"/>
    </xf>
    <xf borderId="0" fillId="0" fontId="23" numFmtId="0" xfId="0" applyAlignment="1" applyFont="1">
      <alignment horizontal="left" vertical="bottom"/>
    </xf>
    <xf borderId="18" fillId="2" fontId="41" numFmtId="0" xfId="0" applyAlignment="1" applyBorder="1" applyFont="1">
      <alignment horizontal="center" vertical="center"/>
    </xf>
    <xf borderId="1" fillId="2" fontId="42" numFmtId="0" xfId="0" applyAlignment="1" applyBorder="1" applyFont="1">
      <alignment horizontal="center" vertical="center"/>
    </xf>
    <xf borderId="1" fillId="2" fontId="41" numFmtId="0" xfId="0" applyAlignment="1" applyBorder="1" applyFont="1">
      <alignment horizontal="center"/>
    </xf>
    <xf borderId="0" fillId="0" fontId="53" numFmtId="0" xfId="0" applyAlignment="1" applyFont="1">
      <alignment horizontal="left" vertical="center"/>
    </xf>
    <xf borderId="0" fillId="0" fontId="41" numFmtId="49" xfId="0" applyAlignment="1" applyFont="1" applyNumberFormat="1">
      <alignment horizontal="center" readingOrder="0" vertical="center"/>
    </xf>
    <xf borderId="0" fillId="8" fontId="45" numFmtId="0" xfId="0" applyAlignment="1" applyFont="1">
      <alignment horizontal="left" vertical="center"/>
    </xf>
    <xf borderId="0" fillId="8" fontId="45" numFmtId="0" xfId="0" applyAlignment="1" applyFont="1">
      <alignment horizontal="center" vertical="center"/>
    </xf>
    <xf borderId="18" fillId="9" fontId="41" numFmtId="0" xfId="0" applyAlignment="1" applyBorder="1" applyFont="1">
      <alignment horizontal="center" readingOrder="0" vertical="center"/>
    </xf>
    <xf borderId="1" fillId="2" fontId="55" numFmtId="0" xfId="0" applyAlignment="1" applyBorder="1" applyFont="1">
      <alignment horizontal="center" readingOrder="0"/>
    </xf>
    <xf borderId="1" fillId="24" fontId="41" numFmtId="0" xfId="0" applyAlignment="1" applyBorder="1" applyFont="1">
      <alignment horizontal="center"/>
    </xf>
    <xf borderId="1" fillId="9" fontId="42" numFmtId="0" xfId="0" applyAlignment="1" applyBorder="1" applyFont="1">
      <alignment horizontal="center" vertical="bottom"/>
    </xf>
    <xf borderId="0" fillId="8" fontId="23" numFmtId="0" xfId="0" applyAlignment="1" applyFont="1">
      <alignment horizontal="left" vertical="bottom"/>
    </xf>
    <xf borderId="18" fillId="8" fontId="56" numFmtId="0" xfId="0" applyAlignment="1" applyBorder="1" applyFont="1">
      <alignment horizontal="center"/>
    </xf>
    <xf borderId="1" fillId="8" fontId="57" numFmtId="0" xfId="0" applyAlignment="1" applyBorder="1" applyFont="1">
      <alignment horizontal="center"/>
    </xf>
    <xf borderId="1" fillId="8" fontId="56" numFmtId="0" xfId="0" applyAlignment="1" applyBorder="1" applyFont="1">
      <alignment horizontal="center"/>
    </xf>
    <xf borderId="1" fillId="8" fontId="56" numFmtId="0" xfId="0" applyAlignment="1" applyBorder="1" applyFont="1">
      <alignment horizontal="center" readingOrder="0"/>
    </xf>
    <xf borderId="0" fillId="8" fontId="56" numFmtId="0" xfId="0" applyAlignment="1" applyFont="1">
      <alignment horizontal="center" readingOrder="0"/>
    </xf>
    <xf borderId="0" fillId="0" fontId="23" numFmtId="49" xfId="0" applyAlignment="1" applyFont="1" applyNumberFormat="1">
      <alignment vertical="bottom"/>
    </xf>
    <xf borderId="0" fillId="2" fontId="15" numFmtId="0" xfId="0" applyAlignment="1" applyFont="1">
      <alignment horizontal="center" vertical="center"/>
    </xf>
    <xf borderId="0" fillId="2" fontId="1" numFmtId="49" xfId="0" applyAlignment="1" applyFont="1" applyNumberFormat="1">
      <alignment horizontal="center" vertical="center"/>
    </xf>
    <xf borderId="0" fillId="0" fontId="33" numFmtId="0" xfId="0" applyAlignment="1" applyFont="1">
      <alignment readingOrder="0"/>
    </xf>
    <xf borderId="0" fillId="0" fontId="23" numFmtId="0" xfId="0" applyAlignment="1" applyFont="1">
      <alignment vertical="bottom"/>
    </xf>
    <xf borderId="18" fillId="0" fontId="58" numFmtId="169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2" fontId="10" numFmtId="0" xfId="0" applyAlignment="1" applyBorder="1" applyFont="1">
      <alignment horizontal="center" vertical="bottom"/>
    </xf>
    <xf borderId="0" fillId="0" fontId="23" numFmtId="0" xfId="0" applyAlignment="1" applyFont="1">
      <alignment vertical="bottom"/>
    </xf>
    <xf borderId="0" fillId="10" fontId="23" numFmtId="0" xfId="0" applyAlignment="1" applyFont="1">
      <alignment vertical="bottom"/>
    </xf>
    <xf borderId="0" fillId="2" fontId="29" numFmtId="0" xfId="0" applyAlignment="1" applyFont="1">
      <alignment shrinkToFit="0" vertical="bottom" wrapText="1"/>
    </xf>
    <xf borderId="0" fillId="0" fontId="33" numFmtId="0" xfId="0" applyFont="1"/>
    <xf borderId="18" fillId="0" fontId="58" numFmtId="169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readingOrder="0" vertical="bottom"/>
    </xf>
    <xf borderId="0" fillId="2" fontId="35" numFmtId="0" xfId="0" applyAlignment="1" applyFont="1">
      <alignment horizontal="center" readingOrder="0" vertical="center"/>
    </xf>
    <xf borderId="1" fillId="2" fontId="35" numFmtId="0" xfId="0" applyAlignment="1" applyBorder="1" applyFont="1">
      <alignment horizontal="center" readingOrder="0" vertical="center"/>
    </xf>
    <xf borderId="1" fillId="2" fontId="35" numFmtId="0" xfId="0" applyAlignment="1" applyBorder="1" applyFont="1">
      <alignment horizontal="center" vertical="center"/>
    </xf>
    <xf borderId="75" fillId="10" fontId="37" numFmtId="0" xfId="0" applyAlignment="1" applyBorder="1" applyFont="1">
      <alignment horizontal="center" readingOrder="0"/>
    </xf>
    <xf borderId="26" fillId="2" fontId="35" numFmtId="0" xfId="0" applyAlignment="1" applyBorder="1" applyFont="1">
      <alignment horizontal="center" readingOrder="0" vertical="center"/>
    </xf>
    <xf borderId="26" fillId="2" fontId="35" numFmtId="0" xfId="0" applyAlignment="1" applyBorder="1" applyFont="1">
      <alignment horizontal="center" vertical="center"/>
    </xf>
    <xf borderId="74" fillId="2" fontId="36" numFmtId="0" xfId="0" applyAlignment="1" applyBorder="1" applyFont="1">
      <alignment horizontal="center" readingOrder="0"/>
    </xf>
    <xf borderId="75" fillId="2" fontId="37" numFmtId="0" xfId="0" applyAlignment="1" applyBorder="1" applyFont="1">
      <alignment horizontal="center" readingOrder="0"/>
    </xf>
    <xf borderId="75" fillId="2" fontId="37" numFmtId="0" xfId="0" applyAlignment="1" applyBorder="1" applyFont="1">
      <alignment horizontal="center" readingOrder="0"/>
    </xf>
    <xf borderId="0" fillId="0" fontId="33" numFmtId="0" xfId="0" applyAlignment="1" applyFont="1">
      <alignment horizontal="center" readingOrder="0" vertical="center"/>
    </xf>
    <xf borderId="0" fillId="2" fontId="59" numFmtId="0" xfId="0" applyFont="1"/>
    <xf borderId="0" fillId="0" fontId="33" numFmtId="4" xfId="0" applyFont="1" applyNumberFormat="1"/>
    <xf borderId="0" fillId="25" fontId="60" numFmtId="0" xfId="0" applyAlignment="1" applyFill="1" applyFont="1">
      <alignment vertical="bottom"/>
    </xf>
    <xf borderId="0" fillId="25" fontId="29" numFmtId="0" xfId="0" applyAlignment="1" applyFont="1">
      <alignment readingOrder="0" vertical="bottom"/>
    </xf>
    <xf borderId="0" fillId="25" fontId="29" numFmtId="0" xfId="0" applyAlignment="1" applyFont="1">
      <alignment vertical="bottom"/>
    </xf>
    <xf borderId="0" fillId="2" fontId="61" numFmtId="0" xfId="0" applyFont="1"/>
    <xf borderId="0" fillId="0" fontId="53" numFmtId="0" xfId="0" applyAlignment="1" applyFont="1">
      <alignment horizontal="center" vertical="center"/>
    </xf>
    <xf borderId="0" fillId="0" fontId="53" numFmtId="0" xfId="0" applyFont="1"/>
    <xf borderId="0" fillId="2" fontId="60" numFmtId="0" xfId="0" applyAlignment="1" applyFont="1">
      <alignment horizontal="center" vertical="bottom"/>
    </xf>
    <xf borderId="0" fillId="2" fontId="29" numFmtId="0" xfId="0" applyAlignment="1" applyFont="1">
      <alignment horizontal="center" readingOrder="0" vertical="bottom"/>
    </xf>
    <xf borderId="0" fillId="2" fontId="53" numFmtId="0" xfId="0" applyAlignment="1" applyFont="1">
      <alignment horizontal="center" vertical="center"/>
    </xf>
    <xf borderId="0" fillId="2" fontId="53" numFmtId="0" xfId="0" applyFont="1"/>
    <xf borderId="0" fillId="25" fontId="60" numFmtId="0" xfId="0" applyAlignment="1" applyFont="1">
      <alignment horizontal="center" vertical="bottom"/>
    </xf>
    <xf borderId="0" fillId="25" fontId="29" numFmtId="0" xfId="0" applyAlignment="1" applyFont="1">
      <alignment horizontal="center" readingOrder="0" vertical="bottom"/>
    </xf>
    <xf borderId="0" fillId="16" fontId="23" numFmtId="0" xfId="0" applyAlignment="1" applyFont="1">
      <alignment horizontal="center" vertical="bottom"/>
    </xf>
    <xf borderId="0" fillId="16" fontId="23" numFmtId="0" xfId="0" applyAlignment="1" applyFont="1">
      <alignment horizontal="center" readingOrder="0" vertical="bottom"/>
    </xf>
    <xf borderId="0" fillId="16" fontId="29" numFmtId="0" xfId="0" applyAlignment="1" applyFont="1">
      <alignment horizontal="center" vertical="bottom"/>
    </xf>
    <xf borderId="0" fillId="26" fontId="29" numFmtId="0" xfId="0" applyAlignment="1" applyFill="1" applyFont="1">
      <alignment vertical="bottom"/>
    </xf>
    <xf borderId="0" fillId="26" fontId="29" numFmtId="0" xfId="0" applyAlignment="1" applyFont="1">
      <alignment readingOrder="0" vertical="bottom"/>
    </xf>
    <xf borderId="0" fillId="2" fontId="59" numFmtId="0" xfId="0" applyFont="1"/>
    <xf borderId="0" fillId="0" fontId="33" numFmtId="0" xfId="0" applyAlignment="1" applyFont="1">
      <alignment readingOrder="0"/>
    </xf>
    <xf borderId="0" fillId="0" fontId="33" numFmtId="0" xfId="0" applyFont="1"/>
    <xf borderId="0" fillId="27" fontId="29" numFmtId="4" xfId="0" applyAlignment="1" applyFill="1" applyFont="1" applyNumberFormat="1">
      <alignment vertical="bottom"/>
    </xf>
    <xf borderId="0" fillId="0" fontId="29" numFmtId="0" xfId="0" applyAlignment="1" applyFont="1">
      <alignment readingOrder="0"/>
    </xf>
    <xf borderId="0" fillId="0" fontId="33" numFmtId="4" xfId="0" applyFont="1" applyNumberFormat="1"/>
    <xf borderId="0" fillId="0" fontId="33" numFmtId="3" xfId="0" applyFont="1" applyNumberFormat="1"/>
    <xf borderId="0" fillId="0" fontId="33" numFmtId="10" xfId="0" applyFont="1" applyNumberFormat="1"/>
    <xf borderId="0" fillId="0" fontId="33" numFmtId="1" xfId="0" applyFont="1" applyNumberFormat="1"/>
    <xf borderId="0" fillId="0" fontId="33" numFmtId="2" xfId="0" applyFont="1" applyNumberFormat="1"/>
    <xf borderId="0" fillId="2" fontId="62" numFmtId="4" xfId="0" applyAlignment="1" applyFont="1" applyNumberFormat="1">
      <alignment horizontal="center" vertical="bottom"/>
    </xf>
    <xf borderId="0" fillId="0" fontId="33" numFmtId="2" xfId="0" applyFont="1" applyNumberFormat="1"/>
    <xf borderId="0" fillId="0" fontId="23" numFmtId="4" xfId="0" applyAlignment="1" applyFont="1" applyNumberFormat="1">
      <alignment vertical="bottom"/>
    </xf>
    <xf borderId="0" fillId="28" fontId="29" numFmtId="0" xfId="0" applyAlignment="1" applyFill="1" applyFont="1">
      <alignment vertical="bottom"/>
    </xf>
    <xf borderId="0" fillId="28" fontId="29" numFmtId="0" xfId="0" applyAlignment="1" applyFont="1">
      <alignment readingOrder="0" vertical="bottom"/>
    </xf>
    <xf borderId="0" fillId="2" fontId="29" numFmtId="4" xfId="0" applyAlignment="1" applyFont="1" applyNumberFormat="1">
      <alignment horizontal="center" readingOrder="0" vertical="bottom"/>
    </xf>
    <xf borderId="0" fillId="2" fontId="53" numFmtId="4" xfId="0" applyAlignment="1" applyFont="1" applyNumberFormat="1">
      <alignment horizontal="center" vertical="center"/>
    </xf>
    <xf borderId="0" fillId="2" fontId="33" numFmtId="4" xfId="0" applyFont="1" applyNumberFormat="1"/>
    <xf borderId="2" fillId="3" fontId="63" numFmtId="164" xfId="0" applyAlignment="1" applyBorder="1" applyFont="1" applyNumberFormat="1">
      <alignment horizontal="center" readingOrder="0"/>
    </xf>
    <xf borderId="2" fillId="3" fontId="63" numFmtId="0" xfId="0" applyAlignment="1" applyBorder="1" applyFont="1">
      <alignment horizontal="center" readingOrder="0"/>
    </xf>
    <xf borderId="0" fillId="3" fontId="63" numFmtId="0" xfId="0" applyAlignment="1" applyFont="1">
      <alignment horizontal="center" readingOrder="0"/>
    </xf>
    <xf borderId="0" fillId="2" fontId="63" numFmtId="0" xfId="0" applyAlignment="1" applyFont="1">
      <alignment horizontal="center" readingOrder="0"/>
    </xf>
    <xf borderId="3" fillId="4" fontId="64" numFmtId="49" xfId="0" applyAlignment="1" applyBorder="1" applyFont="1" applyNumberFormat="1">
      <alignment horizontal="center" readingOrder="0" vertical="center"/>
    </xf>
    <xf borderId="3" fillId="5" fontId="1" numFmtId="49" xfId="0" applyAlignment="1" applyBorder="1" applyFont="1" applyNumberFormat="1">
      <alignment horizontal="center" readingOrder="0" vertical="center"/>
    </xf>
    <xf borderId="5" fillId="3" fontId="64" numFmtId="49" xfId="0" applyAlignment="1" applyBorder="1" applyFont="1" applyNumberFormat="1">
      <alignment horizontal="center" readingOrder="0" vertical="center"/>
    </xf>
    <xf borderId="6" fillId="5" fontId="65" numFmtId="165" xfId="0" applyAlignment="1" applyBorder="1" applyFont="1" applyNumberFormat="1">
      <alignment horizontal="center"/>
    </xf>
    <xf borderId="3" fillId="3" fontId="5" numFmtId="49" xfId="0" applyAlignment="1" applyBorder="1" applyFont="1" applyNumberFormat="1">
      <alignment horizontal="center" readingOrder="0" vertical="bottom"/>
    </xf>
    <xf borderId="0" fillId="2" fontId="5" numFmtId="49" xfId="0" applyAlignment="1" applyFont="1" applyNumberFormat="1">
      <alignment horizontal="center" readingOrder="0" vertical="bottom"/>
    </xf>
    <xf borderId="10" fillId="5" fontId="41" numFmtId="49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readingOrder="0" vertical="center"/>
    </xf>
    <xf borderId="7" fillId="5" fontId="42" numFmtId="165" xfId="0" applyAlignment="1" applyBorder="1" applyFont="1" applyNumberFormat="1">
      <alignment horizontal="center" vertical="center"/>
    </xf>
    <xf borderId="14" fillId="4" fontId="7" numFmtId="49" xfId="0" applyAlignment="1" applyBorder="1" applyFont="1" applyNumberFormat="1">
      <alignment horizontal="center" readingOrder="0" vertical="center"/>
    </xf>
    <xf borderId="16" fillId="4" fontId="7" numFmtId="49" xfId="0" applyAlignment="1" applyBorder="1" applyFont="1" applyNumberFormat="1">
      <alignment horizontal="center" readingOrder="0" vertical="center"/>
    </xf>
    <xf borderId="17" fillId="3" fontId="7" numFmtId="49" xfId="0" applyAlignment="1" applyBorder="1" applyFont="1" applyNumberFormat="1">
      <alignment horizontal="center" readingOrder="0" vertical="center"/>
    </xf>
    <xf borderId="0" fillId="2" fontId="7" numFmtId="49" xfId="0" applyAlignment="1" applyFont="1" applyNumberForma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10" fillId="5" fontId="1" numFmtId="49" xfId="0" applyAlignment="1" applyBorder="1" applyFont="1" applyNumberFormat="1">
      <alignment horizontal="center" vertical="center"/>
    </xf>
    <xf borderId="22" fillId="8" fontId="1" numFmtId="49" xfId="0" applyAlignment="1" applyBorder="1" applyFont="1" applyNumberFormat="1">
      <alignment horizontal="center" readingOrder="0" vertical="center"/>
    </xf>
    <xf borderId="7" fillId="5" fontId="15" numFmtId="165" xfId="0" applyAlignment="1" applyBorder="1" applyFont="1" applyNumberFormat="1">
      <alignment horizontal="center"/>
    </xf>
    <xf borderId="1" fillId="6" fontId="1" numFmtId="49" xfId="0" applyAlignment="1" applyBorder="1" applyFont="1" applyNumberFormat="1">
      <alignment horizontal="center" readingOrder="0"/>
    </xf>
    <xf borderId="7" fillId="5" fontId="15" numFmtId="0" xfId="0" applyAlignment="1" applyBorder="1" applyFont="1">
      <alignment horizontal="center"/>
    </xf>
    <xf borderId="12" fillId="9" fontId="1" numFmtId="49" xfId="0" applyAlignment="1" applyBorder="1" applyFont="1" applyNumberFormat="1">
      <alignment horizontal="center" readingOrder="0" vertical="bottom"/>
    </xf>
    <xf borderId="24" fillId="9" fontId="1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 readingOrder="0" vertical="top"/>
    </xf>
    <xf borderId="6" fillId="8" fontId="1" numFmtId="49" xfId="0" applyAlignment="1" applyBorder="1" applyFont="1" applyNumberFormat="1">
      <alignment horizontal="center" readingOrder="0" vertical="center"/>
    </xf>
    <xf borderId="3" fillId="8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5" fillId="8" fontId="1" numFmtId="49" xfId="0" applyAlignment="1" applyBorder="1" applyFont="1" applyNumberFormat="1">
      <alignment horizontal="center" readingOrder="0" vertical="center"/>
    </xf>
    <xf borderId="1" fillId="2" fontId="15" numFmtId="49" xfId="0" applyAlignment="1" applyBorder="1" applyFont="1" applyNumberFormat="1">
      <alignment horizontal="center" readingOrder="0"/>
    </xf>
    <xf borderId="13" fillId="8" fontId="1" numFmtId="49" xfId="0" applyAlignment="1" applyBorder="1" applyFont="1" applyNumberFormat="1">
      <alignment horizontal="center" readingOrder="0"/>
    </xf>
    <xf borderId="12" fillId="9" fontId="1" numFmtId="49" xfId="0" applyAlignment="1" applyBorder="1" applyFont="1" applyNumberFormat="1">
      <alignment horizontal="center" readingOrder="0"/>
    </xf>
    <xf borderId="23" fillId="9" fontId="1" numFmtId="0" xfId="0" applyAlignment="1" applyBorder="1" applyFont="1">
      <alignment horizontal="center" vertical="bottom"/>
    </xf>
    <xf borderId="1" fillId="9" fontId="1" numFmtId="49" xfId="0" applyAlignment="1" applyBorder="1" applyFont="1" applyNumberFormat="1">
      <alignment horizontal="center" readingOrder="0" vertical="top"/>
    </xf>
    <xf borderId="7" fillId="8" fontId="1" numFmtId="49" xfId="0" applyAlignment="1" applyBorder="1" applyFont="1" applyNumberFormat="1">
      <alignment horizontal="center" vertical="center"/>
    </xf>
    <xf borderId="10" fillId="8" fontId="1" numFmtId="49" xfId="0" applyAlignment="1" applyBorder="1" applyFont="1" applyNumberFormat="1">
      <alignment horizontal="center" vertical="center"/>
    </xf>
    <xf borderId="1" fillId="8" fontId="1" numFmtId="49" xfId="0" applyAlignment="1" applyBorder="1" applyFont="1" applyNumberFormat="1">
      <alignment horizontal="center" vertical="center"/>
    </xf>
    <xf borderId="25" fillId="8" fontId="1" numFmtId="49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10" fillId="8" fontId="1" numFmtId="49" xfId="0" applyAlignment="1" applyBorder="1" applyFont="1" applyNumberFormat="1">
      <alignment horizontal="center" readingOrder="0" vertical="center"/>
    </xf>
    <xf borderId="25" fillId="5" fontId="1" numFmtId="49" xfId="0" applyAlignment="1" applyBorder="1" applyFont="1" applyNumberFormat="1">
      <alignment horizontal="center" readingOrder="0"/>
    </xf>
    <xf borderId="1" fillId="9" fontId="41" numFmtId="0" xfId="0" applyAlignment="1" applyBorder="1" applyFont="1">
      <alignment horizontal="center" readingOrder="0" shrinkToFit="0" vertical="bottom" wrapText="0"/>
    </xf>
    <xf borderId="23" fillId="9" fontId="42" numFmtId="4" xfId="0" applyAlignment="1" applyBorder="1" applyFont="1" applyNumberFormat="1">
      <alignment horizontal="center" vertical="bottom"/>
    </xf>
    <xf borderId="25" fillId="9" fontId="1" numFmtId="49" xfId="0" applyAlignment="1" applyBorder="1" applyFont="1" applyNumberFormat="1">
      <alignment horizontal="center" readingOrder="0"/>
    </xf>
    <xf borderId="27" fillId="2" fontId="1" numFmtId="49" xfId="0" applyAlignment="1" applyBorder="1" applyFont="1" applyNumberFormat="1">
      <alignment horizontal="center" readingOrder="0" vertical="bottom"/>
    </xf>
    <xf borderId="18" fillId="9" fontId="15" numFmtId="49" xfId="0" applyAlignment="1" applyBorder="1" applyFont="1" applyNumberFormat="1">
      <alignment horizontal="center" readingOrder="0" vertical="bottom"/>
    </xf>
    <xf borderId="18" fillId="9" fontId="15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/>
    </xf>
    <xf borderId="1" fillId="4" fontId="1" numFmtId="49" xfId="0" applyAlignment="1" applyBorder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 vertical="center"/>
    </xf>
    <xf borderId="25" fillId="2" fontId="15" numFmtId="49" xfId="0" applyAlignment="1" applyBorder="1" applyFont="1" applyNumberFormat="1">
      <alignment horizontal="center" readingOrder="0"/>
    </xf>
    <xf borderId="12" fillId="3" fontId="1" numFmtId="49" xfId="0" applyAlignment="1" applyBorder="1" applyFont="1" applyNumberFormat="1">
      <alignment horizontal="center" readingOrder="0"/>
    </xf>
    <xf borderId="25" fillId="2" fontId="15" numFmtId="49" xfId="0" applyAlignment="1" applyBorder="1" applyFont="1" applyNumberFormat="1">
      <alignment horizontal="center" readingOrder="0" vertical="center"/>
    </xf>
    <xf borderId="10" fillId="5" fontId="1" numFmtId="49" xfId="0" applyAlignment="1" applyBorder="1" applyFont="1" applyNumberFormat="1">
      <alignment horizontal="center" readingOrder="0" vertical="center"/>
    </xf>
    <xf borderId="7" fillId="5" fontId="15" numFmtId="165" xfId="0" applyAlignment="1" applyBorder="1" applyFont="1" applyNumberFormat="1">
      <alignment horizontal="center" vertical="center"/>
    </xf>
    <xf borderId="1" fillId="4" fontId="1" numFmtId="49" xfId="0" applyAlignment="1" applyBorder="1" applyFont="1" applyNumberFormat="1">
      <alignment horizontal="center" readingOrder="0" vertical="center"/>
    </xf>
    <xf borderId="12" fillId="3" fontId="1" numFmtId="49" xfId="0" applyAlignment="1" applyBorder="1" applyFont="1" applyNumberFormat="1">
      <alignment horizontal="center" readingOrder="0" vertical="center"/>
    </xf>
    <xf borderId="7" fillId="5" fontId="15" numFmtId="0" xfId="0" applyAlignment="1" applyBorder="1" applyFont="1">
      <alignment horizontal="center" readingOrder="0"/>
    </xf>
    <xf borderId="0" fillId="5" fontId="1" numFmtId="49" xfId="0" applyAlignment="1" applyFont="1" applyNumberFormat="1">
      <alignment readingOrder="0"/>
    </xf>
    <xf borderId="1" fillId="3" fontId="15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readingOrder="0" vertical="center"/>
    </xf>
    <xf borderId="21" fillId="2" fontId="15" numFmtId="49" xfId="0" applyAlignment="1" applyBorder="1" applyFont="1" applyNumberFormat="1">
      <alignment horizontal="center" readingOrder="0"/>
    </xf>
    <xf borderId="7" fillId="2" fontId="15" numFmtId="49" xfId="0" applyAlignment="1" applyBorder="1" applyFont="1" applyNumberFormat="1">
      <alignment horizontal="center" readingOrder="0"/>
    </xf>
    <xf borderId="12" fillId="3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shrinkToFit="0" vertical="bottom" wrapText="1"/>
    </xf>
    <xf borderId="10" fillId="5" fontId="15" numFmtId="165" xfId="0" applyAlignment="1" applyBorder="1" applyFont="1" applyNumberFormat="1">
      <alignment horizontal="center" vertical="center"/>
    </xf>
    <xf borderId="25" fillId="8" fontId="15" numFmtId="0" xfId="0" applyAlignment="1" applyBorder="1" applyFont="1">
      <alignment horizontal="center" readingOrder="0" vertical="center"/>
    </xf>
    <xf borderId="7" fillId="8" fontId="15" numFmtId="0" xfId="0" applyAlignment="1" applyBorder="1" applyFont="1">
      <alignment horizontal="center" readingOrder="0" vertical="center"/>
    </xf>
    <xf borderId="1" fillId="10" fontId="15" numFmtId="49" xfId="0" applyAlignment="1" applyBorder="1" applyFont="1" applyNumberFormat="1">
      <alignment horizontal="center" readingOrder="0" vertical="center"/>
    </xf>
    <xf borderId="25" fillId="10" fontId="15" numFmtId="49" xfId="0" applyAlignment="1" applyBorder="1" applyFont="1" applyNumberFormat="1">
      <alignment horizontal="center" readingOrder="0" vertical="center"/>
    </xf>
    <xf borderId="7" fillId="8" fontId="15" numFmtId="165" xfId="0" applyAlignment="1" applyBorder="1" applyFont="1" applyNumberFormat="1">
      <alignment horizontal="center" vertical="center"/>
    </xf>
    <xf borderId="10" fillId="8" fontId="15" numFmtId="165" xfId="0" applyAlignment="1" applyBorder="1" applyFont="1" applyNumberFormat="1">
      <alignment horizontal="center" vertical="center"/>
    </xf>
    <xf borderId="1" fillId="8" fontId="15" numFmtId="165" xfId="0" applyAlignment="1" applyBorder="1" applyFont="1" applyNumberFormat="1">
      <alignment horizontal="center" vertical="center"/>
    </xf>
    <xf borderId="25" fillId="8" fontId="15" numFmtId="165" xfId="0" applyAlignment="1" applyBorder="1" applyFont="1" applyNumberFormat="1">
      <alignment horizontal="center" vertical="center"/>
    </xf>
    <xf borderId="0" fillId="2" fontId="15" numFmtId="165" xfId="0" applyAlignment="1" applyFont="1" applyNumberFormat="1">
      <alignment horizontal="center" vertical="center"/>
    </xf>
    <xf borderId="23" fillId="10" fontId="1" numFmtId="49" xfId="0" applyAlignment="1" applyBorder="1" applyFont="1" applyNumberFormat="1">
      <alignment horizontal="center" readingOrder="0" vertical="bottom"/>
    </xf>
    <xf borderId="1" fillId="10" fontId="1" numFmtId="0" xfId="0" applyAlignment="1" applyBorder="1" applyFont="1">
      <alignment horizontal="center" vertical="bottom"/>
    </xf>
    <xf borderId="12" fillId="10" fontId="1" numFmtId="49" xfId="0" applyAlignment="1" applyBorder="1" applyFont="1" applyNumberFormat="1">
      <alignment horizontal="center"/>
    </xf>
    <xf borderId="27" fillId="10" fontId="1" numFmtId="49" xfId="0" applyAlignment="1" applyBorder="1" applyFont="1" applyNumberFormat="1">
      <alignment horizontal="center" readingOrder="0" vertical="bottom"/>
    </xf>
    <xf borderId="1" fillId="11" fontId="1" numFmtId="49" xfId="0" applyAlignment="1" applyBorder="1" applyFont="1" applyNumberFormat="1">
      <alignment horizontal="center" readingOrder="0" vertical="center"/>
    </xf>
    <xf borderId="1" fillId="4" fontId="15" numFmtId="49" xfId="0" applyAlignment="1" applyBorder="1" applyFont="1" applyNumberFormat="1">
      <alignment horizontal="center" readingOrder="0" vertical="center"/>
    </xf>
    <xf borderId="1" fillId="0" fontId="66" numFmtId="0" xfId="0" applyAlignment="1" applyBorder="1" applyFont="1">
      <alignment horizontal="center" readingOrder="0"/>
    </xf>
    <xf borderId="10" fillId="8" fontId="15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bottom" wrapText="1"/>
    </xf>
    <xf borderId="1" fillId="2" fontId="66" numFmtId="49" xfId="0" applyAlignment="1" applyBorder="1" applyFont="1" applyNumberFormat="1">
      <alignment horizontal="center" readingOrder="0"/>
    </xf>
    <xf borderId="0" fillId="2" fontId="67" numFmtId="0" xfId="0" applyAlignment="1" applyFont="1">
      <alignment horizontal="center" readingOrder="0"/>
    </xf>
    <xf borderId="25" fillId="2" fontId="15" numFmtId="49" xfId="0" applyAlignment="1" applyBorder="1" applyFont="1" applyNumberFormat="1">
      <alignment horizontal="center" readingOrder="0" vertical="bottom"/>
    </xf>
    <xf borderId="1" fillId="2" fontId="15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68" numFmtId="49" xfId="0" applyAlignment="1" applyBorder="1" applyFont="1" applyNumberFormat="1">
      <alignment horizontal="center" readingOrder="0"/>
    </xf>
    <xf borderId="12" fillId="4" fontId="1" numFmtId="49" xfId="0" applyAlignment="1" applyBorder="1" applyFont="1" applyNumberFormat="1">
      <alignment horizontal="center" readingOrder="0" vertical="bottom"/>
    </xf>
    <xf borderId="25" fillId="2" fontId="66" numFmtId="49" xfId="0" applyAlignment="1" applyBorder="1" applyFont="1" applyNumberFormat="1">
      <alignment horizontal="center" readingOrder="0"/>
    </xf>
    <xf borderId="28" fillId="3" fontId="1" numFmtId="49" xfId="0" applyAlignment="1" applyBorder="1" applyFont="1" applyNumberFormat="1">
      <alignment horizontal="center" readingOrder="0" vertical="center"/>
    </xf>
    <xf borderId="23" fillId="4" fontId="1" numFmtId="49" xfId="0" applyAlignment="1" applyBorder="1" applyFont="1" applyNumberFormat="1">
      <alignment horizontal="center" readingOrder="0" vertical="bottom"/>
    </xf>
    <xf borderId="29" fillId="4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readingOrder="0" shrinkToFit="0" vertical="bottom" wrapText="1"/>
    </xf>
    <xf borderId="8" fillId="5" fontId="1" numFmtId="49" xfId="0" applyAlignment="1" applyBorder="1" applyFont="1" applyNumberFormat="1">
      <alignment horizontal="center" vertical="center"/>
    </xf>
    <xf borderId="21" fillId="5" fontId="69" numFmtId="49" xfId="0" applyAlignment="1" applyBorder="1" applyFont="1" applyNumberFormat="1">
      <alignment horizontal="center"/>
    </xf>
    <xf borderId="42" fillId="2" fontId="1" numFmtId="49" xfId="0" applyAlignment="1" applyBorder="1" applyFont="1" applyNumberFormat="1">
      <alignment horizontal="center" readingOrder="0" vertical="center"/>
    </xf>
    <xf borderId="29" fillId="5" fontId="15" numFmtId="0" xfId="0" applyAlignment="1" applyBorder="1" applyFont="1">
      <alignment horizontal="center" readingOrder="0"/>
    </xf>
    <xf borderId="8" fillId="5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shrinkToFit="0" vertical="bottom" wrapText="1"/>
    </xf>
    <xf borderId="25" fillId="12" fontId="1" numFmtId="49" xfId="0" applyAlignment="1" applyBorder="1" applyFont="1" applyNumberFormat="1">
      <alignment horizontal="center" readingOrder="0" vertical="bottom"/>
    </xf>
    <xf borderId="29" fillId="5" fontId="15" numFmtId="165" xfId="0" applyAlignment="1" applyBorder="1" applyFont="1" applyNumberFormat="1">
      <alignment horizontal="center"/>
    </xf>
    <xf borderId="1" fillId="7" fontId="1" numFmtId="0" xfId="0" applyAlignment="1" applyBorder="1" applyFont="1">
      <alignment horizontal="center" readingOrder="0" shrinkToFit="0" vertical="center" wrapText="1"/>
    </xf>
    <xf borderId="25" fillId="7" fontId="1" numFmtId="49" xfId="0" applyAlignment="1" applyBorder="1" applyFont="1" applyNumberFormat="1">
      <alignment horizontal="center" readingOrder="0" vertical="center"/>
    </xf>
    <xf borderId="14" fillId="7" fontId="15" numFmtId="49" xfId="0" applyAlignment="1" applyBorder="1" applyFont="1" applyNumberFormat="1">
      <alignment horizontal="center" readingOrder="0" vertical="center"/>
    </xf>
    <xf borderId="1" fillId="7" fontId="15" numFmtId="49" xfId="0" applyAlignment="1" applyBorder="1" applyFont="1" applyNumberFormat="1">
      <alignment horizontal="center" readingOrder="0" shrinkToFit="0" vertical="center" wrapText="1"/>
    </xf>
    <xf borderId="18" fillId="7" fontId="15" numFmtId="49" xfId="0" applyAlignment="1" applyBorder="1" applyFont="1" applyNumberFormat="1">
      <alignment horizontal="center" readingOrder="0" vertical="center"/>
    </xf>
    <xf borderId="29" fillId="5" fontId="15" numFmtId="165" xfId="0" applyAlignment="1" applyBorder="1" applyFont="1" applyNumberFormat="1">
      <alignment horizontal="center" vertical="center"/>
    </xf>
    <xf borderId="18" fillId="7" fontId="1" numFmtId="49" xfId="0" applyAlignment="1" applyBorder="1" applyFont="1" applyNumberFormat="1">
      <alignment horizontal="center" readingOrder="0" vertical="center"/>
    </xf>
    <xf borderId="31" fillId="7" fontId="15" numFmtId="49" xfId="0" applyAlignment="1" applyBorder="1" applyFont="1" applyNumberFormat="1">
      <alignment horizontal="center" readingOrder="0" vertical="bottom"/>
    </xf>
    <xf borderId="31" fillId="7" fontId="1" numFmtId="49" xfId="0" applyAlignment="1" applyBorder="1" applyFont="1" applyNumberFormat="1">
      <alignment horizontal="center" readingOrder="0" shrinkToFit="0" wrapText="1"/>
    </xf>
    <xf borderId="37" fillId="7" fontId="1" numFmtId="49" xfId="0" applyAlignment="1" applyBorder="1" applyFont="1" applyNumberFormat="1">
      <alignment horizontal="center" readingOrder="0" vertical="center"/>
    </xf>
    <xf borderId="96" fillId="7" fontId="1" numFmtId="49" xfId="0" applyAlignment="1" applyBorder="1" applyFont="1" applyNumberFormat="1">
      <alignment horizontal="center" readingOrder="0"/>
    </xf>
    <xf borderId="15" fillId="5" fontId="1" numFmtId="49" xfId="0" applyAlignment="1" applyBorder="1" applyFont="1" applyNumberFormat="1">
      <alignment horizontal="center" vertical="center"/>
    </xf>
    <xf borderId="30" fillId="5" fontId="15" numFmtId="165" xfId="0" applyAlignment="1" applyBorder="1" applyFont="1" applyNumberFormat="1">
      <alignment horizontal="center"/>
    </xf>
    <xf borderId="32" fillId="7" fontId="1" numFmtId="49" xfId="0" applyAlignment="1" applyBorder="1" applyFont="1" applyNumberFormat="1">
      <alignment horizontal="center" readingOrder="0"/>
    </xf>
    <xf borderId="37" fillId="7" fontId="1" numFmtId="49" xfId="0" applyAlignment="1" applyBorder="1" applyFont="1" applyNumberFormat="1">
      <alignment horizontal="center" readingOrder="0" vertical="bottom"/>
    </xf>
    <xf borderId="32" fillId="7" fontId="1" numFmtId="0" xfId="0" applyAlignment="1" applyBorder="1" applyFont="1">
      <alignment horizontal="center" vertical="bottom"/>
    </xf>
    <xf borderId="31" fillId="7" fontId="1" numFmtId="49" xfId="0" applyAlignment="1" applyBorder="1" applyFont="1" applyNumberFormat="1">
      <alignment horizontal="center" readingOrder="0" vertical="center"/>
    </xf>
    <xf borderId="39" fillId="7" fontId="1" numFmtId="49" xfId="0" applyAlignment="1" applyBorder="1" applyFont="1" applyNumberFormat="1">
      <alignment horizontal="center" readingOrder="0" vertical="bottom"/>
    </xf>
    <xf borderId="30" fillId="8" fontId="1" numFmtId="49" xfId="0" applyAlignment="1" applyBorder="1" applyFont="1" applyNumberFormat="1">
      <alignment horizontal="center" readingOrder="0" vertical="center"/>
    </xf>
    <xf borderId="15" fillId="8" fontId="1" numFmtId="49" xfId="0" applyAlignment="1" applyBorder="1" applyFont="1" applyNumberFormat="1">
      <alignment horizontal="center" readingOrder="0" vertical="center"/>
    </xf>
    <xf borderId="9" fillId="8" fontId="1" numFmtId="49" xfId="0" applyAlignment="1" applyBorder="1" applyFont="1" applyNumberFormat="1">
      <alignment horizontal="center" readingOrder="0" vertical="center"/>
    </xf>
    <xf borderId="31" fillId="3" fontId="1" numFmtId="49" xfId="0" applyAlignment="1" applyBorder="1" applyFont="1" applyNumberFormat="1">
      <alignment horizontal="center" readingOrder="0"/>
    </xf>
    <xf borderId="37" fillId="2" fontId="1" numFmtId="0" xfId="0" applyAlignment="1" applyBorder="1" applyFont="1">
      <alignment horizontal="center" readingOrder="0"/>
    </xf>
    <xf borderId="37" fillId="2" fontId="1" numFmtId="49" xfId="0" applyAlignment="1" applyBorder="1" applyFont="1" applyNumberFormat="1">
      <alignment horizontal="center" readingOrder="0" vertical="bottom"/>
    </xf>
    <xf borderId="37" fillId="2" fontId="1" numFmtId="49" xfId="0" applyAlignment="1" applyBorder="1" applyFont="1" applyNumberFormat="1">
      <alignment horizontal="center" readingOrder="0"/>
    </xf>
    <xf borderId="39" fillId="2" fontId="1" numFmtId="49" xfId="0" applyAlignment="1" applyBorder="1" applyFont="1" applyNumberFormat="1">
      <alignment horizontal="center" readingOrder="0" vertical="bottom"/>
    </xf>
    <xf borderId="30" fillId="8" fontId="1" numFmtId="49" xfId="0" applyAlignment="1" applyBorder="1" applyFont="1" applyNumberFormat="1">
      <alignment horizontal="center" vertical="center"/>
    </xf>
    <xf borderId="15" fillId="8" fontId="1" numFmtId="49" xfId="0" applyAlignment="1" applyBorder="1" applyFont="1" applyNumberFormat="1">
      <alignment horizontal="center" vertical="center"/>
    </xf>
    <xf borderId="31" fillId="8" fontId="1" numFmtId="49" xfId="0" applyAlignment="1" applyBorder="1" applyFont="1" applyNumberFormat="1">
      <alignment horizontal="center" vertical="center"/>
    </xf>
    <xf borderId="9" fillId="8" fontId="1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40" fillId="2" fontId="5" numFmtId="49" xfId="0" applyAlignment="1" applyBorder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vertical="bottom"/>
    </xf>
    <xf borderId="0" fillId="5" fontId="1" numFmtId="165" xfId="0" applyAlignment="1" applyFont="1" applyNumberFormat="1">
      <alignment horizontal="center" vertical="bottom"/>
    </xf>
    <xf borderId="0" fillId="5" fontId="1" numFmtId="49" xfId="0" applyAlignment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42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2" fontId="49" numFmtId="0" xfId="0" applyAlignment="1" applyFont="1">
      <alignment horizontal="center" readingOrder="0" vertical="center"/>
    </xf>
    <xf borderId="0" fillId="0" fontId="49" numFmtId="0" xfId="0" applyAlignment="1" applyFont="1">
      <alignment readingOrder="0"/>
    </xf>
    <xf borderId="43" fillId="2" fontId="70" numFmtId="166" xfId="0" applyAlignment="1" applyBorder="1" applyFont="1" applyNumberFormat="1">
      <alignment horizontal="center" readingOrder="0" shrinkToFit="0" vertical="center" wrapText="1"/>
    </xf>
    <xf borderId="0" fillId="2" fontId="15" numFmtId="0" xfId="0" applyAlignment="1" applyFont="1">
      <alignment horizontal="center"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2" fillId="4" fontId="14" numFmtId="49" xfId="0" applyAlignment="1" applyBorder="1" applyFont="1" applyNumberFormat="1">
      <alignment horizontal="center" readingOrder="0" vertical="center"/>
    </xf>
    <xf borderId="0" fillId="2" fontId="14" numFmtId="49" xfId="0" applyAlignment="1" applyFont="1" applyNumberFormat="1">
      <alignment horizontal="center" readingOrder="0" vertical="center"/>
    </xf>
    <xf borderId="18" fillId="2" fontId="1" numFmtId="0" xfId="0" applyAlignment="1" applyBorder="1" applyFont="1">
      <alignment horizontal="center" vertical="bottom"/>
    </xf>
    <xf borderId="45" fillId="2" fontId="15" numFmtId="0" xfId="0" applyAlignment="1" applyBorder="1" applyFont="1">
      <alignment horizontal="center" readingOrder="0" vertical="center"/>
    </xf>
    <xf borderId="97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9" fillId="3" fontId="1" numFmtId="0" xfId="0" applyAlignment="1" applyBorder="1" applyFont="1">
      <alignment horizontal="center" readingOrder="0" shrinkToFit="0" vertical="center" wrapText="1"/>
    </xf>
    <xf borderId="5" fillId="6" fontId="67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horizontal="center" readingOrder="0" vertical="center"/>
    </xf>
    <xf borderId="48" fillId="2" fontId="1" numFmtId="0" xfId="0" applyAlignment="1" applyBorder="1" applyFont="1">
      <alignment horizontal="center" readingOrder="0" shrinkToFit="0" vertical="center" wrapText="1"/>
    </xf>
    <xf borderId="51" fillId="3" fontId="1" numFmtId="0" xfId="0" applyAlignment="1" applyBorder="1" applyFont="1">
      <alignment horizontal="center" readingOrder="0" shrinkToFit="0" vertical="center" wrapText="1"/>
    </xf>
    <xf borderId="0" fillId="2" fontId="15" numFmtId="0" xfId="0" applyAlignment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4" fillId="7" fontId="49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1" fillId="2" fontId="71" numFmtId="0" xfId="0" applyAlignment="1" applyBorder="1" applyFont="1">
      <alignment vertical="bottom"/>
    </xf>
    <xf borderId="23" fillId="11" fontId="1" numFmtId="0" xfId="0" applyAlignment="1" applyBorder="1" applyFont="1">
      <alignment horizontal="center" readingOrder="0" shrinkToFit="0" vertical="bottom" wrapText="1"/>
    </xf>
    <xf borderId="12" fillId="8" fontId="1" numFmtId="0" xfId="0" applyAlignment="1" applyBorder="1" applyFon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shrinkToFit="0" vertical="center" wrapText="1"/>
    </xf>
    <xf borderId="52" fillId="11" fontId="1" numFmtId="0" xfId="0" applyAlignment="1" applyBorder="1" applyFont="1">
      <alignment horizontal="center" readingOrder="0" vertical="bottom"/>
    </xf>
    <xf borderId="24" fillId="11" fontId="1" numFmtId="0" xfId="0" applyAlignment="1" applyBorder="1" applyFont="1">
      <alignment horizontal="center" readingOrder="0" vertical="bottom"/>
    </xf>
    <xf borderId="0" fillId="13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7" fillId="4" fontId="7" numFmtId="49" xfId="0" applyAlignment="1" applyBorder="1" applyFont="1" applyNumberFormat="1">
      <alignment horizontal="center" readingOrder="0" vertical="center"/>
    </xf>
    <xf borderId="10" fillId="4" fontId="7" numFmtId="49" xfId="0" applyAlignment="1" applyBorder="1" applyFont="1" applyNumberFormat="1">
      <alignment horizontal="center" readingOrder="0" vertical="center"/>
    </xf>
    <xf borderId="18" fillId="4" fontId="7" numFmtId="49" xfId="0" applyAlignment="1" applyBorder="1" applyFont="1" applyNumberFormat="1">
      <alignment horizontal="center" readingOrder="0" vertical="center"/>
    </xf>
    <xf borderId="17" fillId="4" fontId="7" numFmtId="49" xfId="0" applyAlignment="1" applyBorder="1" applyFont="1" applyNumberFormat="1">
      <alignment horizontal="center" readingOrder="0" vertical="center"/>
    </xf>
    <xf borderId="10" fillId="11" fontId="1" numFmtId="0" xfId="0" applyAlignment="1" applyBorder="1" applyFont="1">
      <alignment horizontal="center" readingOrder="0" vertical="bottom"/>
    </xf>
    <xf borderId="1" fillId="11" fontId="1" numFmtId="0" xfId="0" applyAlignment="1" applyBorder="1" applyFont="1">
      <alignment horizontal="center" readingOrder="0" shrinkToFit="0" vertical="bottom" wrapText="1"/>
    </xf>
    <xf borderId="54" fillId="11" fontId="1" numFmtId="0" xfId="0" applyAlignment="1" applyBorder="1" applyFont="1">
      <alignment horizontal="center" readingOrder="0" vertical="bottom"/>
    </xf>
    <xf borderId="24" fillId="11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vertical="bottom"/>
    </xf>
    <xf borderId="12" fillId="7" fontId="1" numFmtId="0" xfId="0" applyAlignment="1" applyBorder="1" applyFont="1">
      <alignment horizontal="center" readingOrder="0" vertical="bottom"/>
    </xf>
    <xf borderId="53" fillId="7" fontId="15" numFmtId="49" xfId="0" applyAlignment="1" applyBorder="1" applyFont="1" applyNumberFormat="1">
      <alignment horizontal="center" readingOrder="0" vertical="center"/>
    </xf>
    <xf borderId="12" fillId="8" fontId="1" numFmtId="49" xfId="0" applyAlignment="1" applyBorder="1" applyFont="1" applyNumberFormat="1">
      <alignment horizontal="center" readingOrder="0" vertical="center"/>
    </xf>
    <xf borderId="13" fillId="8" fontId="1" numFmtId="49" xfId="0" applyAlignment="1" applyBorder="1" applyFont="1" applyNumberFormat="1">
      <alignment horizontal="center" readingOrder="0" vertical="center"/>
    </xf>
    <xf borderId="23" fillId="8" fontId="1" numFmtId="49" xfId="0" applyAlignment="1" applyBorder="1" applyFont="1" applyNumberFormat="1">
      <alignment horizontal="center" readingOrder="0" vertical="center"/>
    </xf>
    <xf borderId="53" fillId="8" fontId="1" numFmtId="49" xfId="0" applyAlignment="1" applyBorder="1" applyFont="1" applyNumberFormat="1">
      <alignment horizontal="center" readingOrder="0" vertical="center"/>
    </xf>
    <xf borderId="7" fillId="8" fontId="1" numFmtId="0" xfId="0" applyAlignment="1" applyBorder="1" applyFont="1">
      <alignment horizontal="center" readingOrder="0" vertical="center"/>
    </xf>
    <xf borderId="10" fillId="8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bottom"/>
    </xf>
    <xf borderId="54" fillId="4" fontId="1" numFmtId="0" xfId="0" applyAlignment="1" applyBorder="1" applyFont="1">
      <alignment horizontal="center" readingOrder="0" vertical="bottom"/>
    </xf>
    <xf borderId="0" fillId="13" fontId="15" numFmtId="0" xfId="0" applyAlignment="1" applyFont="1">
      <alignment horizontal="center" readingOrder="0" vertical="center"/>
    </xf>
    <xf borderId="28" fillId="6" fontId="1" numFmtId="49" xfId="0" applyAlignment="1" applyBorder="1" applyFont="1" applyNumberFormat="1">
      <alignment horizontal="center" readingOrder="0" vertical="bottom"/>
    </xf>
    <xf borderId="25" fillId="6" fontId="1" numFmtId="49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6" fontId="1" numFmtId="49" xfId="0" applyAlignment="1" applyBorder="1" applyFont="1" applyNumberFormat="1">
      <alignment horizontal="center" readingOrder="0"/>
    </xf>
    <xf borderId="23" fillId="6" fontId="1" numFmtId="49" xfId="0" applyAlignment="1" applyBorder="1" applyFont="1" applyNumberFormat="1">
      <alignment horizontal="center" readingOrder="0"/>
    </xf>
    <xf borderId="10" fillId="6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/>
    </xf>
    <xf borderId="54" fillId="10" fontId="1" numFmtId="0" xfId="0" applyAlignment="1" applyBorder="1" applyFont="1">
      <alignment horizontal="center" readingOrder="0" vertical="bottom"/>
    </xf>
    <xf borderId="1" fillId="10" fontId="15" numFmtId="0" xfId="0" applyAlignment="1" applyBorder="1" applyFont="1">
      <alignment horizontal="center" readingOrder="0" vertical="bottom"/>
    </xf>
    <xf borderId="10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0" fillId="5" fontId="1" numFmtId="0" xfId="0" applyAlignment="1" applyFont="1">
      <alignment horizontal="center" vertical="center"/>
    </xf>
    <xf borderId="55" fillId="8" fontId="1" numFmtId="0" xfId="0" applyAlignment="1" applyBorder="1" applyFont="1">
      <alignment horizontal="center"/>
    </xf>
    <xf borderId="31" fillId="8" fontId="15" numFmtId="0" xfId="0" applyAlignment="1" applyBorder="1" applyFont="1">
      <alignment horizontal="center"/>
    </xf>
    <xf borderId="9" fillId="8" fontId="1" numFmtId="0" xfId="0" applyAlignment="1" applyBorder="1" applyFont="1">
      <alignment horizontal="center" readingOrder="0"/>
    </xf>
    <xf borderId="12" fillId="4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28" fillId="4" fontId="1" numFmtId="49" xfId="0" applyAlignment="1" applyBorder="1" applyFont="1" applyNumberFormat="1">
      <alignment horizontal="center" readingOrder="0"/>
    </xf>
    <xf borderId="1" fillId="2" fontId="71" numFmtId="0" xfId="0" applyAlignment="1" applyBorder="1" applyFont="1">
      <alignment vertical="bottom"/>
    </xf>
    <xf borderId="54" fillId="2" fontId="67" numFmtId="0" xfId="0" applyAlignment="1" applyBorder="1" applyFont="1">
      <alignment horizontal="center" readingOrder="0" vertical="bottom"/>
    </xf>
    <xf borderId="1" fillId="2" fontId="72" numFmtId="0" xfId="0" applyAlignment="1" applyBorder="1" applyFont="1">
      <alignment horizontal="center" readingOrder="0" vertical="bottom"/>
    </xf>
    <xf borderId="53" fillId="2" fontId="1" numFmtId="0" xfId="0" applyAlignment="1" applyBorder="1" applyFont="1">
      <alignment horizontal="center" vertical="bottom"/>
    </xf>
    <xf borderId="25" fillId="2" fontId="15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38" fillId="2" fontId="1" numFmtId="0" xfId="0" applyAlignment="1" applyBorder="1" applyFont="1">
      <alignment horizontal="center" readingOrder="0" vertical="center"/>
    </xf>
    <xf borderId="54" fillId="2" fontId="1" numFmtId="0" xfId="0" applyAlignment="1" applyBorder="1" applyFont="1">
      <alignment horizontal="center" vertical="bottom"/>
    </xf>
    <xf borderId="56" fillId="9" fontId="1" numFmtId="0" xfId="0" applyAlignment="1" applyBorder="1" applyFont="1">
      <alignment horizontal="center" readingOrder="0" vertical="center"/>
    </xf>
    <xf borderId="50" fillId="3" fontId="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/>
    </xf>
    <xf borderId="38" fillId="8" fontId="33" numFmtId="0" xfId="0" applyBorder="1" applyFont="1"/>
    <xf borderId="98" fillId="9" fontId="1" numFmtId="0" xfId="0" applyAlignment="1" applyBorder="1" applyFont="1">
      <alignment horizontal="center" readingOrder="0" vertical="bottom"/>
    </xf>
    <xf borderId="99" fillId="0" fontId="3" numFmtId="0" xfId="0" applyBorder="1" applyFont="1"/>
    <xf borderId="100" fillId="9" fontId="42" numFmtId="4" xfId="0" applyAlignment="1" applyBorder="1" applyFont="1" applyNumberFormat="1">
      <alignment horizontal="center" vertical="bottom"/>
    </xf>
    <xf borderId="0" fillId="9" fontId="1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 vertical="center"/>
    </xf>
    <xf borderId="11" fillId="8" fontId="1" numFmtId="0" xfId="0" applyAlignment="1" applyBorder="1" applyFont="1">
      <alignment horizontal="center" readingOrder="0" vertical="center"/>
    </xf>
    <xf borderId="0" fillId="2" fontId="67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54" fillId="9" fontId="1" numFmtId="0" xfId="0" applyAlignment="1" applyBorder="1" applyFont="1">
      <alignment horizontal="center" readingOrder="0" vertical="bottom"/>
    </xf>
    <xf borderId="25" fillId="9" fontId="1" numFmtId="0" xfId="0" applyAlignment="1" applyBorder="1" applyFont="1">
      <alignment horizontal="center" readingOrder="0" vertical="bottom"/>
    </xf>
    <xf borderId="0" fillId="9" fontId="15" numFmtId="0" xfId="0" applyAlignment="1" applyFont="1">
      <alignment horizontal="center" readingOrder="0" vertical="center"/>
    </xf>
    <xf borderId="0" fillId="2" fontId="67" numFmtId="0" xfId="0" applyAlignment="1" applyFont="1">
      <alignment horizontal="center"/>
    </xf>
    <xf borderId="1" fillId="2" fontId="73" numFmtId="0" xfId="0" applyAlignment="1" applyBorder="1" applyFont="1">
      <alignment vertical="bottom"/>
    </xf>
    <xf borderId="0" fillId="0" fontId="9" numFmtId="0" xfId="0" applyAlignment="1" applyFont="1">
      <alignment horizontal="center" readingOrder="0" vertical="center"/>
    </xf>
    <xf borderId="18" fillId="9" fontId="41" numFmtId="0" xfId="0" applyAlignment="1" applyBorder="1" applyFont="1">
      <alignment horizontal="center" readingOrder="0"/>
    </xf>
    <xf borderId="0" fillId="9" fontId="1" numFmtId="0" xfId="0" applyAlignment="1" applyFont="1">
      <alignment horizontal="center" readingOrder="0"/>
    </xf>
    <xf borderId="7" fillId="4" fontId="1" numFmtId="49" xfId="0" applyAlignment="1" applyBorder="1" applyFont="1" applyNumberFormat="1">
      <alignment horizontal="center" readingOrder="0" vertical="bottom"/>
    </xf>
    <xf borderId="25" fillId="2" fontId="1" numFmtId="0" xfId="0" applyAlignment="1" applyBorder="1" applyFont="1">
      <alignment horizontal="center" shrinkToFit="0" vertical="bottom" wrapText="1"/>
    </xf>
    <xf borderId="0" fillId="2" fontId="72" numFmtId="0" xfId="0" applyAlignment="1" applyFont="1">
      <alignment horizontal="center"/>
    </xf>
    <xf borderId="54" fillId="9" fontId="1" numFmtId="0" xfId="0" applyAlignment="1" applyBorder="1" applyFont="1">
      <alignment horizontal="center" readingOrder="0"/>
    </xf>
    <xf borderId="58" fillId="4" fontId="1" numFmtId="49" xfId="0" applyAlignment="1" applyBorder="1" applyFont="1" applyNumberFormat="1">
      <alignment horizontal="center" readingOrder="0"/>
    </xf>
    <xf borderId="59" fillId="4" fontId="1" numFmtId="49" xfId="0" applyAlignment="1" applyBorder="1" applyFont="1" applyNumberFormat="1">
      <alignment horizontal="center" readingOrder="0"/>
    </xf>
    <xf borderId="60" fillId="2" fontId="1" numFmtId="0" xfId="0" applyAlignment="1" applyBorder="1" applyFont="1">
      <alignment horizontal="center" shrinkToFit="0" vertical="bottom" wrapText="1"/>
    </xf>
    <xf borderId="61" fillId="2" fontId="1" numFmtId="0" xfId="0" applyAlignment="1" applyBorder="1" applyFont="1">
      <alignment horizontal="center" shrinkToFit="0" vertical="bottom" wrapText="1"/>
    </xf>
    <xf borderId="62" fillId="8" fontId="1" numFmtId="49" xfId="0" applyAlignment="1" applyBorder="1" applyFont="1" applyNumberFormat="1">
      <alignment horizontal="center" readingOrder="0" vertical="center"/>
    </xf>
    <xf borderId="63" fillId="8" fontId="1" numFmtId="49" xfId="0" applyAlignment="1" applyBorder="1" applyFont="1" applyNumberFormat="1">
      <alignment horizontal="center" readingOrder="0" vertical="center"/>
    </xf>
    <xf borderId="60" fillId="8" fontId="1" numFmtId="49" xfId="0" applyAlignment="1" applyBorder="1" applyFont="1" applyNumberFormat="1">
      <alignment horizontal="center" readingOrder="0" vertical="center"/>
    </xf>
    <xf borderId="61" fillId="8" fontId="1" numFmtId="49" xfId="0" applyAlignment="1" applyBorder="1" applyFont="1" applyNumberFormat="1">
      <alignment horizontal="center" readingOrder="0" vertical="center"/>
    </xf>
    <xf borderId="64" fillId="3" fontId="17" numFmtId="0" xfId="0" applyAlignment="1" applyBorder="1" applyFont="1">
      <alignment horizontal="center" readingOrder="0" shrinkToFit="0" vertical="center" wrapText="1"/>
    </xf>
    <xf borderId="65" fillId="3" fontId="17" numFmtId="0" xfId="0" applyAlignment="1" applyBorder="1" applyFont="1">
      <alignment horizontal="center" readingOrder="0" vertical="center"/>
    </xf>
    <xf borderId="25" fillId="9" fontId="1" numFmtId="0" xfId="0" applyAlignment="1" applyBorder="1" applyFont="1">
      <alignment horizontal="center" readingOrder="0"/>
    </xf>
    <xf borderId="7" fillId="8" fontId="1" numFmtId="0" xfId="0" applyAlignment="1" applyBorder="1" applyFont="1">
      <alignment horizontal="center" readingOrder="0" shrinkToFit="0" vertical="center" wrapText="1"/>
    </xf>
    <xf borderId="10" fillId="8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0" numFmtId="0" xfId="0" applyFont="1"/>
    <xf borderId="0" fillId="2" fontId="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0" fillId="1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1" fillId="2" fontId="74" numFmtId="0" xfId="0" applyAlignment="1" applyBorder="1" applyFont="1">
      <alignment vertical="bottom"/>
    </xf>
    <xf borderId="0" fillId="2" fontId="49" numFmtId="0" xfId="0" applyFont="1"/>
    <xf borderId="25" fillId="2" fontId="1" numFmtId="0" xfId="0" applyAlignment="1" applyBorder="1" applyFont="1">
      <alignment horizontal="center" readingOrder="0" vertical="center"/>
    </xf>
    <xf borderId="67" fillId="2" fontId="1" numFmtId="0" xfId="0" applyAlignment="1" applyBorder="1" applyFont="1">
      <alignment horizontal="center" readingOrder="0"/>
    </xf>
    <xf borderId="67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0"/>
    </xf>
    <xf borderId="67" fillId="2" fontId="1" numFmtId="0" xfId="0" applyAlignment="1" applyBorder="1" applyFont="1">
      <alignment horizontal="center"/>
    </xf>
    <xf borderId="68" fillId="2" fontId="1" numFmtId="0" xfId="0" applyAlignment="1" applyBorder="1" applyFont="1">
      <alignment horizontal="center"/>
    </xf>
    <xf borderId="25" fillId="2" fontId="69" numFmtId="0" xfId="0" applyAlignment="1" applyBorder="1" applyFont="1">
      <alignment horizontal="center" readingOrder="0"/>
    </xf>
    <xf borderId="0" fillId="0" fontId="49" numFmtId="0" xfId="0" applyAlignment="1" applyFont="1">
      <alignment horizontal="center"/>
    </xf>
    <xf borderId="7" fillId="2" fontId="1" numFmtId="0" xfId="0" applyAlignment="1" applyBorder="1" applyFont="1">
      <alignment horizontal="center" vertical="bottom"/>
    </xf>
    <xf borderId="26" fillId="2" fontId="1" numFmtId="0" xfId="0" applyAlignment="1" applyBorder="1" applyFont="1">
      <alignment horizontal="center" shrinkToFit="0" vertical="bottom" wrapText="1"/>
    </xf>
    <xf borderId="15" fillId="8" fontId="56" numFmtId="0" xfId="0" applyAlignment="1" applyBorder="1" applyFont="1">
      <alignment horizontal="center"/>
    </xf>
    <xf borderId="31" fillId="8" fontId="57" numFmtId="0" xfId="0" applyAlignment="1" applyBorder="1" applyFont="1">
      <alignment horizontal="center"/>
    </xf>
    <xf borderId="9" fillId="8" fontId="15" numFmtId="0" xfId="0" applyAlignment="1" applyBorder="1" applyFont="1">
      <alignment horizontal="center"/>
    </xf>
    <xf borderId="38" fillId="8" fontId="45" numFmtId="0" xfId="0" applyAlignment="1" applyBorder="1" applyFont="1">
      <alignment horizontal="center" vertical="center"/>
    </xf>
    <xf borderId="39" fillId="8" fontId="41" numFmtId="0" xfId="0" applyAlignment="1" applyBorder="1" applyFont="1">
      <alignment horizontal="center" readingOrder="0" vertical="center"/>
    </xf>
    <xf borderId="0" fillId="8" fontId="75" numFmtId="0" xfId="0" applyAlignment="1" applyFont="1">
      <alignment horizontal="left" vertical="center"/>
    </xf>
    <xf borderId="0" fillId="8" fontId="76" numFmtId="0" xfId="0" applyAlignment="1" applyFont="1">
      <alignment horizontal="left" vertical="center"/>
    </xf>
    <xf borderId="0" fillId="8" fontId="45" numFmtId="0" xfId="0" applyAlignment="1" applyFont="1">
      <alignment horizontal="center" readingOrder="0" vertical="center"/>
    </xf>
    <xf borderId="0" fillId="8" fontId="75" numFmtId="0" xfId="0" applyAlignment="1" applyFont="1">
      <alignment horizontal="center" vertical="center"/>
    </xf>
    <xf borderId="0" fillId="2" fontId="56" numFmtId="0" xfId="0" applyAlignment="1" applyFont="1">
      <alignment horizontal="center"/>
    </xf>
    <xf borderId="0" fillId="2" fontId="57" numFmtId="0" xfId="0" applyAlignment="1" applyFont="1">
      <alignment horizontal="center"/>
    </xf>
    <xf borderId="0" fillId="2" fontId="15" numFmtId="0" xfId="0" applyAlignment="1" applyFont="1">
      <alignment horizontal="center"/>
    </xf>
    <xf borderId="0" fillId="2" fontId="45" numFmtId="0" xfId="0" applyAlignment="1" applyFont="1">
      <alignment horizontal="center" vertical="center"/>
    </xf>
    <xf borderId="0" fillId="2" fontId="45" numFmtId="0" xfId="0" applyAlignment="1" applyFont="1">
      <alignment horizontal="left" vertical="center"/>
    </xf>
    <xf borderId="0" fillId="2" fontId="75" numFmtId="0" xfId="0" applyAlignment="1" applyFont="1">
      <alignment horizontal="left" vertical="center"/>
    </xf>
    <xf borderId="0" fillId="2" fontId="76" numFmtId="0" xfId="0" applyAlignment="1" applyFont="1">
      <alignment horizontal="left" vertical="center"/>
    </xf>
    <xf borderId="0" fillId="2" fontId="45" numFmtId="0" xfId="0" applyAlignment="1" applyFont="1">
      <alignment horizontal="center" readingOrder="0" vertical="center"/>
    </xf>
    <xf borderId="0" fillId="2" fontId="75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alcul_mensuel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rdy EYENGA ADJAKO" id="{f91ee15c-e29a-4048-bdcd-32b4138b7bf5}" providerId="google-sheets"/>
  <x18tc:person displayName="Trigger Transport" id="{ad2d7725-99fc-4e21-ba1a-1d969ff587aa}" providerId="google-sheets"/>
  <x18tc:person displayName="Fc Transport" id="{a10eafd9-1d14-4abd-9cff-bb8caac1a3ee}" providerId="google-sheets"/>
  <x18tc:person displayName="PF-Alfortville Boulanger" id="{cef5a668-b733-41f3-b88e-b292b2244a01}" providerId="google-sheets"/>
  <x18tc:person displayName="tms dem" id="{72cf08bc-d231-49d9-bcda-778f01d0caec}" providerId="google-sheets"/>
  <x18tc:person displayName="Karim Ben Dhaou" id="{0b4fbb2f-e5b6-496e-aef9-ea327bb33f54}" providerId="google-sheets"/>
  <x18tc:person displayName="Nelson PEREIRA" id="{30168306-d716-4e83-9c73-62975a7daa01}" providerId="google-sheets"/>
  <x18tc:person displayName="massi mouhoubi" id="{7a92bb22-d82a-439f-8963-39a9317f8784}" providerId="google-sheets"/>
  <x18tc:person displayName="Moovam Transport et logisqtique" id="{0f6204ca-476e-4fd4-b9fa-3539698e2f79}" providerId="google-sheets"/>
  <x18tc:person displayName="Mounir SAYAH" id="{8c2ace9e-d588-4276-8029-237a77e48f9b}" providerId="google-sheets"/>
  <x18tc:person displayName="Charles AUFRAY" id="{20d0edd8-2b9d-4f7c-809f-fc5eafaf0b40}" providerId="google-sheets"/>
  <x18tc:person displayName="AK Transports" id="{4bf50cf0-e339-4ca6-b3ab-7747b1ba027c}" providerId="google-sheets"/>
  <x18tc:person displayName="relationclient.pflidf Boulanger" id="{8df40906-169c-4163-b3f4-31ba173d90ad}" providerId="google-sheets"/>
  <x18tc:person displayName="H K Logistiques" id="{aaddf915-2be8-4b75-9f98-e685bedf3dfd}" providerId="google-sheets"/>
  <x18tc:person displayName="Utilisateur supprimé" id="{e4e7099d-0fba-4415-afab-c89363d3473b}" providerId="google-sheets"/>
  <x18tc:person displayName="Mathis LIMA DE SOUSA" id="{27376a92-a80a-4562-bc0f-d7b6799f610e}" providerId="google-sheets"/>
  <x18tc:person displayName="TPE EXPRESS" id="{1d9210f2-331f-4f17-bbba-2f2423ea6c0b}" providerId="google-sheets"/>
  <x18tc:person displayName="Sarl Ent" id="{8c353d3c-b969-4996-936f-a6f8b5a6d837}" providerId="google-sheets"/>
</x18tc:personList>
</file>

<file path=xl/tables/table1.xml><?xml version="1.0" encoding="utf-8"?>
<table xmlns="http://schemas.openxmlformats.org/spreadsheetml/2006/main" headerRowCount="0" ref="A1:Y44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alcul_mensu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02T14:06:10.00" personId="{8c2ace9e-d588-4276-8029-237a77e48f9b}" id="{67c27686-47e6-45c8-83a8-f7551d85c88b}" done="0">
    <x18tc:text xml:space="preserve">3</x18tc:text>
  </x18tc:threadedComment>
  <x18tc:threadedComment ref="A1" dT="2023-11-24T16:14:35.00" personId="{20d0edd8-2b9d-4f7c-809f-fc5eafaf0b40}" id="{08938527-bef4-45b4-bffc-b7f966b96f8d}" done="1">
    <x18tc:text xml:space="preserve">possibilité de mettre 1GV en normale si pas besoin de 2</x18tc:text>
  </x18tc:threadedComment>
  <x18tc:threadedComment ref="D33" dT="2026-04-16T13:19:37.00" personId="{f91ee15c-e29a-4048-bdcd-32b4138b7bf5}" id="{e04f1f22-107b-4223-b1d1-1224675c41c4}" done="1">
    <x18tc:text xml:space="preserve">1 camion en moins suite mauvais rangement carton  le 16/04/26</x18tc:text>
  </x18tc:threadedComment>
  <x18tc:threadedComment ref="E52" dT="2025-10-08T14:33:27.00" personId="{30168306-d716-4e83-9c73-62975a7daa01}" id="{8338edc4-0c02-4ddd-92e4-ab6b72e6fc3b}" done="1">
    <x18tc:text xml:space="preserve">1 camion en moins le 09/10</x18tc:text>
  </x18tc:threadedComment>
  <x18tc:threadedComment ref="A1" dT="2024-10-07T14:21:31.00" personId="{a10eafd9-1d14-4abd-9cff-bb8caac1a3ee}" id="{9db5324c-8e0b-4fd0-9e71-21bff33d2836}" done="1">
    <x18tc:text xml:space="preserve">2</x18tc:text>
  </x18tc:threadedComment>
  <x18tc:threadedComment ref="A1" dT="2024-07-09T06:39:53.00" personId="{cef5a668-b733-41f3-b88e-b292b2244a01}" id="{740ff74c-b90a-47e3-baaa-53fa720a7210}" done="1">
    <x18tc:text xml:space="preserve">Départ 08h35 suite erreur de chargement autre tournée ref SMEG</x18tc:text>
  </x18tc:threadedComment>
  <x18tc:threadedComment ref="A1" dT="2022-07-11T07:43:54.00" personId="{cef5a668-b733-41f3-b88e-b292b2244a01}" id="{fe0a5ef5-00fd-4049-ae87-cb0fce6b9441}" done="1">
    <x18tc:text xml:space="preserve">9h00</x18tc:text>
  </x18tc:threadedComment>
  <x18tc:threadedComment ref="K5" dT="2026-03-05T06:27:18.00" personId="{27376a92-a80a-4562-bc0f-d7b6799f610e}" id="{7dceef42-3831-4f7a-9355-a574b6894438}" done="1">
    <x18tc:text xml:space="preserve">9</x18tc:text>
  </x18tc:threadedComment>
  <x18tc:threadedComment ref="A1" dT="2022-07-11T07:59:27.00" personId="{cef5a668-b733-41f3-b88e-b292b2244a01}" id="{347871e7-d4a9-4df3-99f3-7866f5b8f638}" done="1">
    <x18tc:text xml:space="preserve">Amar s'est planté - pensais 11h30 - arrivée équipe 10:30</x18tc:text>
  </x18tc:threadedComment>
  <x18tc:threadedComment ref="A1" dT="2022-07-11T11:44:58.00" personId="{cef5a668-b733-41f3-b88e-b292b2244a01}" id="{d99bf6f1-a79a-4a90-bd43-628edcd7439e}" parentId="{347871e7-d4a9-4df3-99f3-7866f5b8f638}">
    <x18tc:text xml:space="preserve">Marquée comme fermée</x18tc:text>
  </x18tc:threadedComment>
  <x18tc:threadedComment ref="A1" dT="2023-04-19T12:38:20.00" personId="{7a92bb22-d82a-439f-8963-39a9317f8784}" id="{89491cb7-a91b-4712-b666-9f7656f29188}" parentId="{347871e7-d4a9-4df3-99f3-7866f5b8f638}">
    <x18tc:text xml:space="preserve">Rouverte</x18tc:text>
  </x18tc:threadedComment>
  <x18tc:threadedComment ref="E47" dT="2025-10-11T14:58:28.00" personId="{cef5a668-b733-41f3-b88e-b292b2244a01}" id="{b6837243-1968-471f-a679-9d793072f810}" done="1">
    <x18tc:text xml:space="preserve">tournée suspendu jusqu'à mercredi</x18tc:text>
  </x18tc:threadedComment>
  <x18tc:threadedComment ref="E44" dT="2025-10-11T14:58:10.00" personId="{cef5a668-b733-41f3-b88e-b292b2244a01}" id="{b8e12409-1719-49ce-998c-7eb910e34f4a}" done="1">
    <x18tc:text xml:space="preserve">tournée suspendu jusqu'à mercredi</x18tc:text>
  </x18tc:threadedComment>
  <x18tc:threadedComment ref="E45" dT="2025-10-11T14:57:35.00" personId="{cef5a668-b733-41f3-b88e-b292b2244a01}" id="{1fd67497-1385-4156-8c1b-9bc1c8cb773a}" done="1">
    <x18tc:text xml:space="preserve">tournée suspendu jusqu'à mercredi</x18tc:text>
  </x18tc:threadedComment>
  <x18tc:threadedComment ref="A1" dT="2024-07-10T16:27:33.00" personId="{8c2ace9e-d588-4276-8029-237a77e48f9b}" id="{f020e5c0-78b5-4324-ab2e-16fb8c4d382b}" done="1">
    <x18tc:text xml:space="preserve">. In good en.......d cf fed ex cffrff de tr fwd tr fwd 'tn' de soucis je</x18tc:text>
  </x18tc:threadedComment>
  <x18tc:threadedComment ref="D40" dT="2026-04-16T13:23:10.00" personId="{f91ee15c-e29a-4048-bdcd-32b4138b7bf5}" id="{ac63d7fc-9a9c-41a4-96e6-b064a9139be7}" done="1">
    <x18tc:text xml:space="preserve">1 camion en moins suite mauvais rangement des cartons</x18tc:text>
  </x18tc:threadedComment>
  <x18tc:threadedComment ref="H23" dT="2025-07-25T05:14:17.00" personId="{e4e7099d-0fba-4415-afab-c89363d3473b}" id="{e351b6aa-deea-4e6b-a3ff-89b94a6599d4}" done="1">
    <x18tc:text xml:space="preserve">14</x18tc:text>
  </x18tc:threadedComment>
  <x18tc:threadedComment ref="D35" dT="2026-04-16T13:21:55.00" personId="{f91ee15c-e29a-4048-bdcd-32b4138b7bf5}" id="{80f00e51-5dfe-4452-b2bd-713bef024b49}" done="1">
    <x18tc:text xml:space="preserve">1 camion en moins suite mauvais rangement des cartons</x18tc:text>
  </x18tc:threadedComment>
  <x18tc:threadedComment ref="E43" dT="2025-10-17T12:08:18.00" personId="{30168306-d716-4e83-9c73-62975a7daa01}" id="{507fb98f-1316-414b-b761-2d553ac41b5a}" done="1">
    <x18tc:text xml:space="preserve">suspension de tournée vu Nelson</x18tc:text>
  </x18tc:threadedComment>
  <x18tc:threadedComment ref="D14" dT="2026-04-07T06:23:15.00" personId="{f91ee15c-e29a-4048-bdcd-32b4138b7bf5}" id="{db46aa6a-a966-417a-a4d8-ec7982aad6a3}" done="1">
    <x18tc:text xml:space="preserve">Tournée manquante erreur F166</x18tc:text>
  </x18tc:threadedComment>
  <x18tc:threadedComment ref="A1" dT="2024-11-27T10:42:55.00" personId="{0f6204ca-476e-4fd4-b9fa-3539698e2f79}" id="{8f7613c3-d53e-4eae-b579-2f7cc1a4c35f}" done="1">
    <x18tc:text xml:space="preserve">1</x18tc:text>
  </x18tc:threadedComment>
  <x18tc:threadedComment ref="A1" dT="2025-02-10T14:26:06.00" personId="{30168306-d716-4e83-9c73-62975a7daa01}" id="{55603062-c64f-418b-aa6b-d4299a6b4a25}" done="0">
    <x18tc:text xml:space="preserve">-1 camion sur les 4 jours car RH le mercredi</x18tc:text>
  </x18tc:threadedComment>
  <x18tc:threadedComment ref="A1" dT="2024-06-07T13:49:06.00" personId="{4bf50cf0-e339-4ca6-b3ab-7747b1ba027c}" id="{10df724b-dfff-4d4d-8446-b1e5744f48ab}" done="1">
    <x18tc:text xml:space="preserve">2</x18tc:text>
  </x18tc:threadedComment>
  <x18tc:threadedComment ref="E54" dT="2025-10-08T14:13:46.00" personId="{30168306-d716-4e83-9c73-62975a7daa01}" id="{e6d835b5-8fd8-4cb5-ac8b-73aa3613f74a}" done="1">
    <x18tc:text xml:space="preserve">1 camion en moins le 09/10</x18tc:text>
  </x18tc:threadedComment>
  <x18tc:threadedComment ref="A1" dT="2024-12-10T15:30:52.00" personId="{ad2d7725-99fc-4e21-ba1a-1d969ff587aa}" id="{6f8364fd-af08-4e70-8d29-7ba4fa14a5ad}" done="1">
    <x18tc:text xml:space="preserve">2</x18tc:text>
  </x18tc:threadedComment>
  <x18tc:threadedComment ref="A1" dT="2025-02-05T18:22:57.00" personId="{8c2ace9e-d588-4276-8029-237a77e48f9b}" id="{ce334cce-f814-43ea-833f-774ba1b3384e}" done="1">
    <x18tc:text xml:space="preserve">Ff774rx</x18tc:text>
  </x18tc:threadedComment>
  <x18tc:threadedComment ref="A1" dT="2024-03-04T18:43:12.00" personId="{20d0edd8-2b9d-4f7c-809f-fc5eafaf0b40}" id="{a2068f0f-ba08-4f8c-87d0-3af389e81f6d}" done="1">
    <x18tc:text xml:space="preserve">TDS devient B9 Transport à partir du 01 mars 2024</x18tc:text>
  </x18tc:threadedComment>
  <x18tc:threadedComment ref="E40" dT="2025-10-08T07:05:53.00" personId="{cef5a668-b733-41f3-b88e-b292b2244a01}" id="{f3135446-7901-4679-8c7b-6971dc95cd40}" done="1">
    <x18tc:text xml:space="preserve">1 seul camion vu Nelson</x18tc:text>
  </x18tc:threadedComment>
  <x18tc:threadedComment ref="A1" dT="2024-09-25T16:22:39.00" personId="{72cf08bc-d231-49d9-bcda-778f01d0caec}" id="{f886426e-f0ce-4edb-a0bd-2b1a1f3a0bc8}" done="1">
    <x18tc:text xml:space="preserve">3</x18tc:text>
  </x18tc:threadedComment>
  <x18tc:threadedComment ref="A1" dT="2024-09-26T13:43:17.00" personId="{30168306-d716-4e83-9c73-62975a7daa01}" id="{ffdc3d50-91b1-4408-a53e-b9468e3500e9}" parentId="{f886426e-f0ce-4edb-a0bd-2b1a1f3a0bc8}">
    <x18tc:text xml:space="preserve">Marquée comme fermée</x18tc:text>
  </x18tc:threadedComment>
  <x18tc:threadedComment ref="A1" dT="2024-12-26T16:07:35.00" personId="{72cf08bc-d231-49d9-bcda-778f01d0caec}" id="{b48f3f49-b2c5-4c2a-b610-2c9c5d5b3588}" parentId="{f886426e-f0ce-4edb-a0bd-2b1a1f3a0bc8}">
    <x18tc:text xml:space="preserve">Rouverte</x18tc:text>
  </x18tc:threadedComment>
  <x18tc:threadedComment ref="H6" dT="2025-04-05T05:32:27.00" personId="{cef5a668-b733-41f3-b88e-b292b2244a01}" id="{6d8ce097-ecc2-41bb-81c2-5e7dfd30d87c}" done="1">
    <x18tc:text xml:space="preserve">3</x18tc:text>
  </x18tc:threadedComment>
  <x18tc:threadedComment ref="A1" dT="2024-04-30T17:44:03.00" personId="{aaddf915-2be8-4b75-9f98-e685bedf3dfd}" id="{c2c921bc-fd2c-41d0-896c-3560cf7a818d}" done="0">
    <x18tc:text xml:space="preserve">ABDEL</x18tc:text>
  </x18tc:threadedComment>
  <x18tc:threadedComment ref="A1" dT="2023-08-03T06:26:37.00" personId="{cef5a668-b733-41f3-b88e-b292b2244a01}" id="{a2e3b230-5f78-41b8-af8d-bca02c9dfc5e}" done="1">
    <x18tc:text xml:space="preserve">si retard validé par Charles cause F159 2015418</x18tc:text>
  </x18tc:threadedComment>
  <x18tc:threadedComment ref="A1" dT="2023-08-03T16:58:58.00" personId="{a10eafd9-1d14-4abd-9cff-bb8caac1a3ee}" id="{b15433c1-43da-43d1-b461-7012dbf0a9b4}" parentId="{a2e3b230-5f78-41b8-af8d-bca02c9dfc5e}">
    <x18tc:text xml:space="preserve">Marquée comme fermée</x18tc:text>
  </x18tc:threadedComment>
  <x18tc:threadedComment ref="A1" dT="2023-08-03T18:10:30.00" personId="{8c353d3c-b969-4996-936f-a6f8b5a6d837}" id="{995d3bab-f65f-440d-86c6-1729872163f0}" parentId="{a2e3b230-5f78-41b8-af8d-bca02c9dfc5e}">
    <x18tc:text xml:space="preserve">Rouverte</x18tc:text>
  </x18tc:threadedComment>
  <x18tc:threadedComment ref="A1" dT="2023-08-03T18:49:30.00" personId="{cef5a668-b733-41f3-b88e-b292b2244a01}" id="{46207f6f-b0e0-40d5-80fd-3b8710557498}" parentId="{a2e3b230-5f78-41b8-af8d-bca02c9dfc5e}">
    <x18tc:text xml:space="preserve">Marquée comme fermée</x18tc:text>
  </x18tc:threadedComment>
  <x18tc:threadedComment ref="A1" dT="2023-09-28T20:08:39.00" personId="{7a92bb22-d82a-439f-8963-39a9317f8784}" id="{4e5b395f-f2f6-4e14-b727-576d0c45ee26}" parentId="{a2e3b230-5f78-41b8-af8d-bca02c9dfc5e}">
    <x18tc:text xml:space="preserve">Rouverte</x18tc:text>
  </x18tc:threadedComment>
  <x18tc:threadedComment ref="A1" dT="2024-11-28T11:59:05.00" personId="{0f6204ca-476e-4fd4-b9fa-3539698e2f79}" id="{24914792-6476-4426-b902-3fb69c23ea10}" done="1">
    <x18tc:text xml:space="preserve">1</x18tc:text>
  </x18tc:threadedComment>
  <x18tc:threadedComment ref="A1" dT="2025-02-11T08:52:52.00" personId="{30168306-d716-4e83-9c73-62975a7daa01}" id="{dd476797-89c3-45fa-a430-9406a296fab7}" done="0">
    <x18tc:text xml:space="preserve">-1 tournée pour non respect des règles au retour le 10/02/2025</x18tc:text>
  </x18tc:threadedComment>
  <x18tc:threadedComment ref="A1" dT="2024-09-04T05:17:19.00" personId="{cef5a668-b733-41f3-b88e-b292b2244a01}" id="{07838916-39ea-4513-a095-a56d5f1c0e39}" done="1">
    <x18tc:text xml:space="preserve">Tenue</x18tc:text>
  </x18tc:threadedComment>
  <x18tc:threadedComment ref="O14" dT="2025-09-02T06:45:23.00" personId="{30168306-d716-4e83-9c73-62975a7daa01}" id="{81e88e8b-dd42-431f-9880-164bb97fcc74}" done="1">
    <x18tc:text xml:space="preserve">retard</x18tc:text>
  </x18tc:threadedComment>
  <x18tc:threadedComment ref="U9" dT="2025-09-02T05:25:15.00" personId="{30168306-d716-4e83-9c73-62975a7daa01}" id="{1ad53af9-e1e9-4d85-aee4-354747bd740c}" done="1">
    <x18tc:text xml:space="preserve">casquette</x18tc:text>
  </x18tc:threadedComment>
  <x18tc:threadedComment ref="E57" dT="2025-10-22T12:35:53.00" personId="{cef5a668-b733-41f3-b88e-b292b2244a01}" id="{d1f4e72c-fb89-4bff-8853-73ae699770bc}" done="1">
    <x18tc:text xml:space="preserve">Suspendu jusqu'au Lundi 27/10 vol trottinette</x18tc:text>
  </x18tc:threadedComment>
  <x18tc:threadedComment ref="A1" dT="2024-06-28T15:21:16.00" personId="{1d9210f2-331f-4f17-bbba-2f2423ea6c0b}" id="{fae769b4-cc65-4b4d-a29f-4734e8f04fde}" done="1">
    <x18tc:text xml:space="preserve">2</x18tc:text>
  </x18tc:threadedComment>
  <x18tc:threadedComment ref="A1" dT="2024-06-28T15:34:48.00" personId="{30168306-d716-4e83-9c73-62975a7daa01}" id="{32a09954-0c2f-4ff3-8234-61833270eef9}" parentId="{fae769b4-cc65-4b4d-a29f-4734e8f04fde}">
    <x18tc:text xml:space="preserve">Marquée comme fermée</x18tc:text>
  </x18tc:threadedComment>
  <x18tc:threadedComment ref="A1" dT="2024-07-28T09:08:01.00" personId="{0b4fbb2f-e5b6-496e-aef9-ea327bb33f54}" id="{afeda9b7-739f-4ce3-9f68-6272cd536fb1}" parentId="{fae769b4-cc65-4b4d-a29f-4734e8f04fde}">
    <x18tc:text xml:space="preserve">Rouverte</x18tc:text>
  </x18tc:threadedComment>
  <x18tc:threadedComment ref="H8" dT="2025-09-18T05:14:00.00" personId="{cef5a668-b733-41f3-b88e-b292b2244a01}" id="{0ec4dc07-5a88-48b5-9ace-5ad8257eb255}" done="1">
    <x18tc:text xml:space="preserve">A</x18tc:text>
  </x18tc:threadedComment>
  <x18tc:threadedComment ref="K5" dT="2026-03-25T06:18:59.00" personId="{27376a92-a80a-4562-bc0f-d7b6799f610e}" id="{5a0471f3-4432-464d-9f13-25a1f00d9cf9}" done="1">
    <x18tc:text xml:space="preserve">7</x18tc:text>
  </x18tc:threadedComment>
  <x18tc:threadedComment ref="H7" dT="2025-03-26T08:23:52.00" personId="{cef5a668-b733-41f3-b88e-b292b2244a01}" id="{9ca96c09-5795-4ec6-b720-a939c8f8c3ce}" done="1">
    <x18tc:text xml:space="preserve">NC car problème pas de sms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5" dT="2025-06-06T17:00:27.00" personId="{30168306-d716-4e83-9c73-62975a7daa01}" id="{c713be42-c09d-415b-8342-88d972fa02fd}" done="0">
    <x18tc:text xml:space="preserve">suspension Kim SAMY DEEE non jeter dans la benne</x18tc:text>
  </x18tc:threadedComment>
  <x18tc:threadedComment ref="AD13" dT="2025-01-28T14:42:30.00" personId="{30168306-d716-4e83-9c73-62975a7daa01}" id="{1176190d-c211-4abb-87ed-e7beb677f21c}" done="0">
    <x18tc:text xml:space="preserve">1 tournée // suspension non port des chaussures DREAMTEAM</x18tc:text>
  </x18tc:threadedComment>
  <x18tc:threadedComment ref="W4" dT="2025-01-21T10:47:03.00" personId="{30168306-d716-4e83-9c73-62975a7daa01}" id="{acd61c71-87f1-47bc-87fb-b8841128d153}" done="0">
    <x18tc:text xml:space="preserve">DOUBS (2 équipes) Tournées 806 et 807 du 17/01/2025 -&gt; Pas de tournée le Mercredi 22/01/2025</x18tc:text>
  </x18tc:threadedComment>
  <x18tc:threadedComment ref="X21" dT="2025-01-21T10:49:30.00" personId="{30168306-d716-4e83-9c73-62975a7daa01}" id="{b2d43ed9-f8da-49e7-b668-298594d07167}" done="0">
    <x18tc:text xml:space="preserve">HK Tournée 827 du 17/01/2025 -&gt; Une équipe ne tournera pas le JEUDI 23/01/2025</x18tc:text>
  </x18tc:threadedComment>
  <x18tc:threadedComment ref="W28" dT="2025-01-21T10:48:57.00" personId="{30168306-d716-4e83-9c73-62975a7daa01}" id="{95b87674-d7ea-4b5a-9779-9a1c2a8ce6e8}" done="0">
    <x18tc:text xml:space="preserve">FC Tournées 835 du 17/01/2025 -&gt; Une équipe ne tournera pas le MERCREDI 22/01/2025</x18tc:text>
  </x18tc:threadedComment>
  <x18tc:threadedComment ref="Y8" dT="2025-01-21T10:50:24.00" personId="{30168306-d716-4e83-9c73-62975a7daa01}" id="{dce6fda7-0332-46bb-a8d8-0cf04175a5a1}" done="0">
    <x18tc:text xml:space="preserve">AGS Tournée du 14/01/2025 -&gt; Une équipe ne tournera pas le VENDREDI 24/01/2025</x18tc:text>
  </x18tc:threadedComment>
  <x18tc:threadedComment ref="G94" dT="2025-03-04T10:42:30.00" personId="{30168306-d716-4e83-9c73-62975a7daa01}" id="{9af154ed-6390-49a3-b021-cc8294e7a77d}" done="0">
    <x18tc:text xml:space="preserve">Tournée 502 / CLS -&gt; pas de chaussures ni au départ de tournée, ni au retour de tournée et pas de gants au retour.
1 tournée de moins le Jeudi 06/03/2025</x18tc:text>
  </x18tc:threadedComment>
  <x18tc:threadedComment ref="M79" dT="2025-03-09T09:10:52.00" personId="{8df40906-169c-4163-b3f4-31ba173d90ad}" id="{3ebb9d71-9eda-4d16-87ae-de26da45b5fc}" done="0">
    <x18tc:text xml:space="preserve">Une tournée en moins le 12/03/2025 Dépôt sauvage des emballages</x18tc:text>
  </x18tc:threadedComment>
  <x18tc:threadedComment ref="AD28" dT="2025-01-28T13:44:24.00" personId="{30168306-d716-4e83-9c73-62975a7daa01}" id="{cb4027c9-076a-4ef2-af30-080736869a21}" done="0">
    <x18tc:text xml:space="preserve">Suspension camion suite tournées non rendues 201 du 25/01 et 205 du 27/01</x18tc:text>
  </x18tc:threadedComment>
  <x18tc:threadedComment ref="AC110" dT="2025-04-26T15:21:03.00" personId="{f91ee15c-e29a-4048-bdcd-32b4138b7bf5}" id="{ac0e95f0-7a7b-42e8-9702-e580a6e914f6}" done="0">
    <x18tc:text xml:space="preserve">1 camion en moins suspension tournée 840 du 26/04/2025 Omar</x18tc:text>
  </x18tc:threadedComment>
  <x18tc:threadedComment ref="G101" dT="2025-03-04T11:24:52.00" personId="{30168306-d716-4e83-9c73-62975a7daa01}" id="{d2f375db-3791-468a-827d-ddf4d92a187b}" done="0">
    <x18tc:text xml:space="preserve">Tournée 843 / MNS -&gt; dépôts sauvage DEEE
1 tournée de moins le Jeudi 06/03/2025</x18tc:text>
  </x18tc:threadedComment>
  <x18tc:threadedComment ref="G75" dT="2025-03-05T08:45:03.00" personId="{30168306-d716-4e83-9c73-62975a7daa01}" id="{4fcc3b33-d681-495d-bb2d-df9ee425a60d}" done="0">
    <x18tc:text xml:space="preserve">Tournée 823 / TRIGGER -&gt; dépôts sauvage DEEE
1 tournée de moins le Jeudi 06/03/2025</x18tc:text>
  </x18tc:threadedComment>
  <x18tc:threadedComment ref="B42" dT="2025-01-23T14:08:02.00" personId="{30168306-d716-4e83-9c73-62975a7daa01}" id="{6507ce3e-30da-49ed-ad2a-170034fcbed4}" done="0">
    <x18tc:text xml:space="preserve">Suspension d'un camion jusqu'au 2/02/2025 inclus</x18tc:text>
  </x18tc:threadedComment>
  <x18tc:threadedComment ref="Y7" dT="2025-01-23T14:07:52.00" personId="{30168306-d716-4e83-9c73-62975a7daa01}" id="{e9f90087-60a4-4bb1-a9ea-e30412ac712f}" done="0">
    <x18tc:text xml:space="preserve">Suspension d'un camion jusqu'au 2/02/2025 inclus</x18tc:text>
  </x18tc:threadedComment>
  <x18tc:threadedComment ref="E51" dT="2025-02-01T18:37:20.00" personId="{30168306-d716-4e83-9c73-62975a7daa01}" id="{080083c5-6133-414d-9dbb-02b51537be6f}" done="0">
    <x18tc:text xml:space="preserve">suspension tournée mono</x18tc:text>
  </x18tc:threadedComment>
  <x18tc:threadedComment ref="F93" dT="2025-03-04T11:34:00.00" personId="{30168306-d716-4e83-9c73-62975a7daa01}" id="{718772fc-de3d-4f18-8a54-a128b0653bda}" done="0">
    <x18tc:text xml:space="preserve">Tournée 818 / ELIT -&gt; dépôts sauvage DEEE
1 tournée de moins le MERCREDI 05/03/2025</x18tc:text>
  </x18tc:threadedComment>
  <x18tc:threadedComment ref="F92" dT="2025-03-04T11:34:22.00" personId="{30168306-d716-4e83-9c73-62975a7daa01}" id="{6586df38-8a79-4a48-92bf-0b58afd7317f}" done="0">
    <x18tc:text xml:space="preserve">Express Polytrans du 03/03/2025 -&gt; dépôts sauvage DEEE
1 tournée de moins le MERCREDI 05/03/2025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sOleoniQtbCRk6aTKy2unvIGIoowmY0WP4GKYis5LK0/edit?gid=0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cUOihx_QrcWcKmD0zLhcYsIz-CfZxEfpYV5I3XYTs4/edit?gid=0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3" width="5.86"/>
    <col customWidth="1" min="4" max="4" width="25.57"/>
    <col customWidth="1" min="5" max="5" width="13.71"/>
    <col customWidth="1" min="6" max="6" width="16.57"/>
    <col customWidth="1" min="7" max="7" width="14.43"/>
    <col customWidth="1" min="8" max="11" width="4.43"/>
    <col customWidth="1" min="12" max="12" width="2.29"/>
    <col customWidth="1" min="13" max="14" width="5.86"/>
    <col customWidth="1" min="15" max="15" width="25.43"/>
    <col customWidth="1" min="16" max="16" width="17.0"/>
    <col customWidth="1" min="17" max="17" width="17.29"/>
    <col customWidth="1" min="18" max="18" width="14.43"/>
    <col customWidth="1" min="19" max="22" width="4.43"/>
    <col customWidth="1" min="23" max="23" width="2.29"/>
    <col customWidth="1" min="24" max="25" width="5.86"/>
    <col customWidth="1" min="26" max="26" width="24.43"/>
    <col customWidth="1" min="27" max="27" width="14.43"/>
    <col customWidth="1" min="28" max="28" width="16.57"/>
    <col customWidth="1" min="29" max="29" width="14.43"/>
    <col customWidth="1" min="30" max="30" width="5.14"/>
    <col customWidth="1" min="31" max="33" width="4.43"/>
    <col customWidth="1" min="34" max="34" width="2.29"/>
    <col customWidth="1" min="35" max="36" width="5.86"/>
    <col customWidth="1" min="37" max="37" width="26.43"/>
    <col customWidth="1" min="38" max="38" width="14.43"/>
    <col customWidth="1" min="39" max="39" width="20.14"/>
    <col customWidth="1" min="40" max="40" width="14.43"/>
    <col customWidth="1" min="41" max="44" width="4.43"/>
    <col customWidth="1" hidden="1" min="45" max="45" width="4.43"/>
    <col customWidth="1" min="46" max="46" width="4.43"/>
  </cols>
  <sheetData>
    <row r="1">
      <c r="A1" s="1"/>
      <c r="B1" s="2">
        <v>46177.0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  <c r="AB1" s="4"/>
      <c r="AC1" s="4"/>
      <c r="AD1" s="5"/>
      <c r="AE1" s="4"/>
      <c r="AF1" s="4"/>
      <c r="AG1" s="4"/>
      <c r="AH1" s="4"/>
      <c r="AI1" s="4"/>
      <c r="AJ1" s="6"/>
      <c r="AK1" s="4"/>
      <c r="AL1" s="4"/>
      <c r="AM1" s="4"/>
      <c r="AN1" s="4"/>
      <c r="AO1" s="4"/>
      <c r="AP1" s="4"/>
      <c r="AQ1" s="4"/>
      <c r="AR1" s="7"/>
      <c r="AS1" s="7"/>
      <c r="AT1" s="7"/>
    </row>
    <row r="2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10"/>
      <c r="L2" s="11"/>
      <c r="M2" s="12" t="s">
        <v>1</v>
      </c>
      <c r="N2" s="9"/>
      <c r="O2" s="9"/>
      <c r="P2" s="9"/>
      <c r="Q2" s="9"/>
      <c r="R2" s="9"/>
      <c r="S2" s="9"/>
      <c r="T2" s="9"/>
      <c r="U2" s="9"/>
      <c r="V2" s="10"/>
      <c r="W2" s="13"/>
      <c r="X2" s="8" t="s">
        <v>2</v>
      </c>
      <c r="Y2" s="9"/>
      <c r="Z2" s="9"/>
      <c r="AA2" s="9"/>
      <c r="AB2" s="9"/>
      <c r="AC2" s="9"/>
      <c r="AD2" s="9"/>
      <c r="AE2" s="9"/>
      <c r="AF2" s="9"/>
      <c r="AG2" s="10"/>
      <c r="AH2" s="13"/>
      <c r="AI2" s="14" t="s">
        <v>3</v>
      </c>
      <c r="AJ2" s="9"/>
      <c r="AK2" s="9"/>
      <c r="AL2" s="9"/>
      <c r="AM2" s="9"/>
      <c r="AN2" s="9"/>
      <c r="AO2" s="9"/>
      <c r="AP2" s="9"/>
      <c r="AQ2" s="9"/>
      <c r="AR2" s="10"/>
      <c r="AS2" s="15"/>
      <c r="AT2" s="15"/>
    </row>
    <row r="3" ht="19.5" customHeight="1">
      <c r="A3" s="16"/>
      <c r="B3" s="17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9" t="s">
        <v>10</v>
      </c>
      <c r="I3" s="19" t="s">
        <v>11</v>
      </c>
      <c r="J3" s="19" t="s">
        <v>12</v>
      </c>
      <c r="K3" s="20" t="s">
        <v>13</v>
      </c>
      <c r="L3" s="21"/>
      <c r="M3" s="22" t="s">
        <v>4</v>
      </c>
      <c r="N3" s="23" t="s">
        <v>5</v>
      </c>
      <c r="O3" s="24" t="s">
        <v>6</v>
      </c>
      <c r="P3" s="24" t="s">
        <v>7</v>
      </c>
      <c r="Q3" s="24" t="s">
        <v>8</v>
      </c>
      <c r="R3" s="25" t="s">
        <v>9</v>
      </c>
      <c r="S3" s="26" t="s">
        <v>10</v>
      </c>
      <c r="T3" s="27" t="s">
        <v>11</v>
      </c>
      <c r="U3" s="28" t="s">
        <v>12</v>
      </c>
      <c r="V3" s="29" t="s">
        <v>13</v>
      </c>
      <c r="W3" s="30"/>
      <c r="X3" s="17" t="s">
        <v>4</v>
      </c>
      <c r="Y3" s="18" t="s">
        <v>5</v>
      </c>
      <c r="Z3" s="18" t="s">
        <v>6</v>
      </c>
      <c r="AA3" s="18" t="s">
        <v>7</v>
      </c>
      <c r="AB3" s="18" t="s">
        <v>8</v>
      </c>
      <c r="AC3" s="18" t="s">
        <v>9</v>
      </c>
      <c r="AD3" s="19" t="s">
        <v>10</v>
      </c>
      <c r="AE3" s="19" t="s">
        <v>11</v>
      </c>
      <c r="AF3" s="19" t="s">
        <v>12</v>
      </c>
      <c r="AG3" s="20" t="s">
        <v>13</v>
      </c>
      <c r="AH3" s="30"/>
      <c r="AI3" s="24" t="s">
        <v>4</v>
      </c>
      <c r="AJ3" s="24" t="s">
        <v>5</v>
      </c>
      <c r="AK3" s="24" t="s">
        <v>6</v>
      </c>
      <c r="AL3" s="24" t="s">
        <v>7</v>
      </c>
      <c r="AM3" s="24" t="s">
        <v>8</v>
      </c>
      <c r="AN3" s="25" t="s">
        <v>14</v>
      </c>
      <c r="AO3" s="31" t="s">
        <v>10</v>
      </c>
      <c r="AP3" s="32" t="s">
        <v>11</v>
      </c>
      <c r="AQ3" s="32" t="s">
        <v>12</v>
      </c>
      <c r="AR3" s="33" t="s">
        <v>13</v>
      </c>
      <c r="AS3" s="34"/>
      <c r="AT3" s="34"/>
    </row>
    <row r="4">
      <c r="A4" s="35" t="s">
        <v>15</v>
      </c>
      <c r="B4" s="36" t="s">
        <v>16</v>
      </c>
      <c r="C4" s="37" t="s">
        <v>17</v>
      </c>
      <c r="D4" s="38" t="s">
        <v>18</v>
      </c>
      <c r="E4" s="39" t="s">
        <v>19</v>
      </c>
      <c r="F4" s="40" t="s">
        <v>20</v>
      </c>
      <c r="G4" s="41" t="s">
        <v>21</v>
      </c>
      <c r="H4" s="42" t="s">
        <v>22</v>
      </c>
      <c r="I4" s="43" t="s">
        <v>23</v>
      </c>
      <c r="J4" s="43" t="s">
        <v>24</v>
      </c>
      <c r="K4" s="44" t="s">
        <v>25</v>
      </c>
      <c r="L4" s="21"/>
      <c r="M4" s="45" t="s">
        <v>16</v>
      </c>
      <c r="N4" s="46" t="s">
        <v>26</v>
      </c>
      <c r="O4" s="47" t="s">
        <v>27</v>
      </c>
      <c r="P4" s="48" t="s">
        <v>28</v>
      </c>
      <c r="Q4" s="48" t="s">
        <v>29</v>
      </c>
      <c r="R4" s="49" t="s">
        <v>30</v>
      </c>
      <c r="S4" s="50" t="s">
        <v>31</v>
      </c>
      <c r="T4" s="51" t="s">
        <v>23</v>
      </c>
      <c r="U4" s="51" t="s">
        <v>24</v>
      </c>
      <c r="V4" s="52" t="s">
        <v>25</v>
      </c>
      <c r="W4" s="53"/>
      <c r="X4" s="37" t="s">
        <v>16</v>
      </c>
      <c r="Y4" s="37" t="s">
        <v>32</v>
      </c>
      <c r="Z4" s="54"/>
      <c r="AA4" s="48"/>
      <c r="AB4" s="55"/>
      <c r="AC4" s="56"/>
      <c r="AD4" s="57"/>
      <c r="AE4" s="51"/>
      <c r="AF4" s="51"/>
      <c r="AG4" s="52"/>
      <c r="AH4" s="58"/>
      <c r="AI4" s="59" t="s">
        <v>16</v>
      </c>
      <c r="AJ4" s="60" t="s">
        <v>33</v>
      </c>
      <c r="AK4" s="61"/>
      <c r="AL4" s="62"/>
      <c r="AM4" s="63"/>
      <c r="AN4" s="64"/>
      <c r="AO4" s="65"/>
      <c r="AP4" s="66"/>
      <c r="AQ4" s="67"/>
      <c r="AR4" s="68"/>
      <c r="AS4" s="69"/>
      <c r="AT4" s="69"/>
    </row>
    <row r="5">
      <c r="A5" s="48" t="s">
        <v>34</v>
      </c>
      <c r="B5" s="36" t="s">
        <v>35</v>
      </c>
      <c r="C5" s="37" t="s">
        <v>36</v>
      </c>
      <c r="D5" s="38" t="s">
        <v>37</v>
      </c>
      <c r="E5" s="40" t="s">
        <v>38</v>
      </c>
      <c r="F5" s="40" t="s">
        <v>39</v>
      </c>
      <c r="G5" s="41" t="s">
        <v>40</v>
      </c>
      <c r="H5" s="70"/>
      <c r="I5" s="71" t="s">
        <v>41</v>
      </c>
      <c r="J5" s="71" t="s">
        <v>24</v>
      </c>
      <c r="K5" s="44"/>
      <c r="L5" s="21"/>
      <c r="M5" s="45" t="s">
        <v>35</v>
      </c>
      <c r="N5" s="46" t="s">
        <v>42</v>
      </c>
      <c r="O5" s="47" t="s">
        <v>43</v>
      </c>
      <c r="P5" s="72" t="s">
        <v>44</v>
      </c>
      <c r="Q5" s="1" t="s">
        <v>45</v>
      </c>
      <c r="R5" s="49" t="s">
        <v>46</v>
      </c>
      <c r="S5" s="73" t="s">
        <v>22</v>
      </c>
      <c r="T5" s="74" t="s">
        <v>23</v>
      </c>
      <c r="U5" s="74" t="s">
        <v>24</v>
      </c>
      <c r="V5" s="75" t="s">
        <v>47</v>
      </c>
      <c r="W5" s="53"/>
      <c r="X5" s="37" t="s">
        <v>35</v>
      </c>
      <c r="Y5" s="37" t="s">
        <v>48</v>
      </c>
      <c r="Z5" s="47"/>
      <c r="AA5" s="76"/>
      <c r="AB5" s="39"/>
      <c r="AC5" s="77"/>
      <c r="AD5" s="78"/>
      <c r="AE5" s="74"/>
      <c r="AF5" s="74"/>
      <c r="AG5" s="75"/>
      <c r="AH5" s="53"/>
      <c r="AI5" s="60" t="s">
        <v>35</v>
      </c>
      <c r="AJ5" s="60" t="s">
        <v>49</v>
      </c>
      <c r="AK5" s="79"/>
      <c r="AL5" s="62"/>
      <c r="AM5" s="63"/>
      <c r="AN5" s="64"/>
      <c r="AO5" s="80"/>
      <c r="AP5" s="81"/>
      <c r="AQ5" s="82"/>
      <c r="AR5" s="83"/>
      <c r="AS5" s="69"/>
      <c r="AT5" s="69"/>
    </row>
    <row r="6">
      <c r="A6" s="48" t="s">
        <v>50</v>
      </c>
      <c r="B6" s="36" t="s">
        <v>51</v>
      </c>
      <c r="C6" s="37" t="s">
        <v>52</v>
      </c>
      <c r="D6" s="38" t="s">
        <v>53</v>
      </c>
      <c r="E6" s="39" t="s">
        <v>54</v>
      </c>
      <c r="F6" s="40" t="s">
        <v>55</v>
      </c>
      <c r="G6" s="41" t="s">
        <v>56</v>
      </c>
      <c r="H6" s="70" t="s">
        <v>57</v>
      </c>
      <c r="I6" s="71" t="s">
        <v>23</v>
      </c>
      <c r="J6" s="71" t="s">
        <v>24</v>
      </c>
      <c r="K6" s="84" t="s">
        <v>58</v>
      </c>
      <c r="L6" s="21"/>
      <c r="M6" s="45" t="s">
        <v>51</v>
      </c>
      <c r="N6" s="46" t="s">
        <v>59</v>
      </c>
      <c r="O6" s="47"/>
      <c r="P6" s="16"/>
      <c r="Q6" s="16"/>
      <c r="R6" s="16"/>
      <c r="S6" s="73"/>
      <c r="T6" s="74"/>
      <c r="U6" s="74"/>
      <c r="V6" s="75"/>
      <c r="W6" s="53"/>
      <c r="X6" s="85" t="s">
        <v>51</v>
      </c>
      <c r="Y6" s="85" t="s">
        <v>60</v>
      </c>
      <c r="Z6" s="86"/>
      <c r="AA6" s="87"/>
      <c r="AB6" s="39"/>
      <c r="AC6" s="88"/>
      <c r="AD6" s="78"/>
      <c r="AE6" s="74"/>
      <c r="AF6" s="74"/>
      <c r="AG6" s="75"/>
      <c r="AH6" s="89"/>
      <c r="AI6" s="60" t="s">
        <v>51</v>
      </c>
      <c r="AJ6" s="60" t="s">
        <v>61</v>
      </c>
      <c r="AK6" s="90"/>
      <c r="AL6" s="91"/>
      <c r="AM6" s="63"/>
      <c r="AN6" s="64"/>
      <c r="AO6" s="80"/>
      <c r="AP6" s="81"/>
      <c r="AQ6" s="82"/>
      <c r="AR6" s="83"/>
      <c r="AS6" s="69"/>
      <c r="AT6" s="69"/>
    </row>
    <row r="7">
      <c r="A7" s="48" t="s">
        <v>31</v>
      </c>
      <c r="B7" s="92" t="s">
        <v>62</v>
      </c>
      <c r="C7" s="59" t="s">
        <v>63</v>
      </c>
      <c r="D7" s="93" t="s">
        <v>64</v>
      </c>
      <c r="E7" s="94" t="s">
        <v>65</v>
      </c>
      <c r="F7" s="95" t="s">
        <v>66</v>
      </c>
      <c r="G7" s="96" t="s">
        <v>67</v>
      </c>
      <c r="H7" s="70" t="s">
        <v>68</v>
      </c>
      <c r="I7" s="71" t="s">
        <v>23</v>
      </c>
      <c r="J7" s="71" t="s">
        <v>24</v>
      </c>
      <c r="K7" s="44" t="s">
        <v>69</v>
      </c>
      <c r="L7" s="21"/>
      <c r="M7" s="97" t="s">
        <v>62</v>
      </c>
      <c r="N7" s="98" t="s">
        <v>70</v>
      </c>
      <c r="O7" s="95"/>
      <c r="P7" s="99"/>
      <c r="Q7" s="99"/>
      <c r="R7" s="100"/>
      <c r="S7" s="73"/>
      <c r="T7" s="74"/>
      <c r="U7" s="74"/>
      <c r="V7" s="75"/>
      <c r="W7" s="101"/>
      <c r="X7" s="59" t="s">
        <v>62</v>
      </c>
      <c r="Y7" s="59" t="s">
        <v>71</v>
      </c>
      <c r="Z7" s="95"/>
      <c r="AA7" s="102"/>
      <c r="AB7" s="103"/>
      <c r="AC7" s="104"/>
      <c r="AD7" s="78"/>
      <c r="AE7" s="74"/>
      <c r="AF7" s="74"/>
      <c r="AG7" s="75"/>
      <c r="AH7" s="53"/>
      <c r="AI7" s="105" t="s">
        <v>62</v>
      </c>
      <c r="AJ7" s="105" t="s">
        <v>72</v>
      </c>
      <c r="AK7" s="106"/>
      <c r="AL7" s="107"/>
      <c r="AM7" s="107"/>
      <c r="AN7" s="108"/>
      <c r="AO7" s="109"/>
      <c r="AP7" s="110"/>
      <c r="AQ7" s="111"/>
      <c r="AR7" s="112"/>
      <c r="AS7" s="113"/>
      <c r="AT7" s="113"/>
    </row>
    <row r="8">
      <c r="A8" s="48" t="s">
        <v>57</v>
      </c>
      <c r="B8" s="92" t="s">
        <v>73</v>
      </c>
      <c r="C8" s="114" t="s">
        <v>74</v>
      </c>
      <c r="D8" s="115" t="s">
        <v>75</v>
      </c>
      <c r="E8" s="94" t="s">
        <v>76</v>
      </c>
      <c r="F8" s="95" t="s">
        <v>77</v>
      </c>
      <c r="G8" s="96" t="s">
        <v>78</v>
      </c>
      <c r="H8" s="73" t="s">
        <v>22</v>
      </c>
      <c r="I8" s="74" t="s">
        <v>23</v>
      </c>
      <c r="J8" s="74" t="s">
        <v>24</v>
      </c>
      <c r="K8" s="116" t="s">
        <v>79</v>
      </c>
      <c r="L8" s="21"/>
      <c r="M8" s="97" t="s">
        <v>73</v>
      </c>
      <c r="N8" s="94" t="s">
        <v>80</v>
      </c>
      <c r="O8" s="95"/>
      <c r="P8" s="117"/>
      <c r="Q8" s="117"/>
      <c r="R8" s="118"/>
      <c r="S8" s="73"/>
      <c r="T8" s="74"/>
      <c r="U8" s="74"/>
      <c r="V8" s="75"/>
      <c r="W8" s="53"/>
      <c r="X8" s="59" t="s">
        <v>73</v>
      </c>
      <c r="Y8" s="59" t="s">
        <v>81</v>
      </c>
      <c r="Z8" s="119"/>
      <c r="AA8" s="63"/>
      <c r="AB8" s="90"/>
      <c r="AC8" s="120"/>
      <c r="AD8" s="78"/>
      <c r="AE8" s="74"/>
      <c r="AF8" s="74"/>
      <c r="AG8" s="75"/>
      <c r="AH8" s="53"/>
      <c r="AI8" s="105" t="s">
        <v>73</v>
      </c>
      <c r="AJ8" s="105" t="s">
        <v>82</v>
      </c>
      <c r="AK8" s="106"/>
      <c r="AL8" s="121"/>
      <c r="AM8" s="121"/>
      <c r="AN8" s="122"/>
      <c r="AO8" s="109"/>
      <c r="AP8" s="110"/>
      <c r="AQ8" s="111"/>
      <c r="AR8" s="112"/>
      <c r="AS8" s="69"/>
      <c r="AT8" s="69"/>
    </row>
    <row r="9">
      <c r="A9" s="35" t="s">
        <v>83</v>
      </c>
      <c r="B9" s="17" t="s">
        <v>84</v>
      </c>
      <c r="C9" s="123" t="s">
        <v>85</v>
      </c>
      <c r="D9" s="124" t="s">
        <v>86</v>
      </c>
      <c r="E9" s="124"/>
      <c r="F9" s="125"/>
      <c r="G9" s="126"/>
      <c r="H9" s="73"/>
      <c r="I9" s="74"/>
      <c r="J9" s="74"/>
      <c r="K9" s="116"/>
      <c r="L9" s="21"/>
      <c r="M9" s="127" t="s">
        <v>84</v>
      </c>
      <c r="N9" s="128" t="s">
        <v>87</v>
      </c>
      <c r="O9" s="124" t="s">
        <v>86</v>
      </c>
      <c r="P9" s="124"/>
      <c r="Q9" s="125"/>
      <c r="R9" s="129"/>
      <c r="S9" s="73"/>
      <c r="T9" s="74"/>
      <c r="U9" s="74"/>
      <c r="V9" s="75"/>
      <c r="W9" s="58"/>
      <c r="X9" s="123" t="s">
        <v>84</v>
      </c>
      <c r="Y9" s="123" t="s">
        <v>88</v>
      </c>
      <c r="Z9" s="124" t="s">
        <v>86</v>
      </c>
      <c r="AA9" s="124"/>
      <c r="AB9" s="125"/>
      <c r="AC9" s="130"/>
      <c r="AD9" s="131"/>
      <c r="AE9" s="74"/>
      <c r="AF9" s="74"/>
      <c r="AG9" s="75"/>
      <c r="AH9" s="53"/>
      <c r="AI9" s="105" t="s">
        <v>84</v>
      </c>
      <c r="AJ9" s="105" t="s">
        <v>89</v>
      </c>
      <c r="AK9" s="132" t="s">
        <v>86</v>
      </c>
      <c r="AL9" s="133"/>
      <c r="AM9" s="134"/>
      <c r="AN9" s="135"/>
      <c r="AO9" s="109"/>
      <c r="AP9" s="110"/>
      <c r="AQ9" s="111"/>
      <c r="AR9" s="112"/>
      <c r="AS9" s="69"/>
      <c r="AT9" s="69"/>
    </row>
    <row r="10">
      <c r="A10" s="35" t="s">
        <v>90</v>
      </c>
      <c r="B10" s="17" t="s">
        <v>91</v>
      </c>
      <c r="C10" s="123" t="s">
        <v>92</v>
      </c>
      <c r="D10" s="47" t="s">
        <v>93</v>
      </c>
      <c r="E10" s="40" t="s">
        <v>94</v>
      </c>
      <c r="F10" s="40" t="s">
        <v>95</v>
      </c>
      <c r="G10" s="136" t="s">
        <v>96</v>
      </c>
      <c r="H10" s="70" t="s">
        <v>22</v>
      </c>
      <c r="I10" s="71" t="s">
        <v>23</v>
      </c>
      <c r="J10" s="71" t="s">
        <v>24</v>
      </c>
      <c r="K10" s="44" t="s">
        <v>97</v>
      </c>
      <c r="L10" s="21"/>
      <c r="M10" s="127" t="s">
        <v>91</v>
      </c>
      <c r="N10" s="128" t="s">
        <v>98</v>
      </c>
      <c r="O10" s="137" t="s">
        <v>99</v>
      </c>
      <c r="P10" s="39" t="s">
        <v>100</v>
      </c>
      <c r="Q10" s="49" t="s">
        <v>101</v>
      </c>
      <c r="R10" s="49" t="s">
        <v>102</v>
      </c>
      <c r="S10" s="73" t="s">
        <v>57</v>
      </c>
      <c r="T10" s="74" t="s">
        <v>23</v>
      </c>
      <c r="U10" s="74" t="s">
        <v>24</v>
      </c>
      <c r="V10" s="75" t="s">
        <v>103</v>
      </c>
      <c r="W10" s="30"/>
      <c r="X10" s="138" t="s">
        <v>91</v>
      </c>
      <c r="Y10" s="138" t="s">
        <v>104</v>
      </c>
      <c r="Z10" s="106"/>
      <c r="AA10" s="40"/>
      <c r="AB10" s="72"/>
      <c r="AC10" s="41"/>
      <c r="AD10" s="131"/>
      <c r="AE10" s="74"/>
      <c r="AF10" s="74"/>
      <c r="AG10" s="75"/>
      <c r="AH10" s="30"/>
      <c r="AI10" s="139" t="s">
        <v>91</v>
      </c>
      <c r="AJ10" s="139" t="s">
        <v>105</v>
      </c>
      <c r="AK10" s="106"/>
      <c r="AL10" s="140"/>
      <c r="AM10" s="141"/>
      <c r="AN10" s="142"/>
      <c r="AO10" s="80"/>
      <c r="AP10" s="81"/>
      <c r="AQ10" s="82"/>
      <c r="AR10" s="83"/>
      <c r="AS10" s="69"/>
      <c r="AT10" s="69"/>
    </row>
    <row r="11" ht="15.75" customHeight="1">
      <c r="A11" s="35" t="s">
        <v>68</v>
      </c>
      <c r="B11" s="17" t="s">
        <v>106</v>
      </c>
      <c r="C11" s="123" t="s">
        <v>107</v>
      </c>
      <c r="D11" s="106" t="s">
        <v>93</v>
      </c>
      <c r="E11" s="39" t="s">
        <v>108</v>
      </c>
      <c r="F11" s="40" t="s">
        <v>109</v>
      </c>
      <c r="G11" s="143" t="s">
        <v>110</v>
      </c>
      <c r="H11" s="70" t="s">
        <v>22</v>
      </c>
      <c r="I11" s="71" t="s">
        <v>23</v>
      </c>
      <c r="J11" s="71" t="s">
        <v>24</v>
      </c>
      <c r="K11" s="44" t="s">
        <v>111</v>
      </c>
      <c r="L11" s="21"/>
      <c r="M11" s="127" t="s">
        <v>106</v>
      </c>
      <c r="N11" s="144" t="s">
        <v>112</v>
      </c>
      <c r="O11" s="137" t="s">
        <v>99</v>
      </c>
      <c r="P11" s="72" t="s">
        <v>113</v>
      </c>
      <c r="Q11" s="49" t="s">
        <v>114</v>
      </c>
      <c r="R11" s="49" t="s">
        <v>115</v>
      </c>
      <c r="S11" s="73" t="s">
        <v>22</v>
      </c>
      <c r="T11" s="74" t="s">
        <v>23</v>
      </c>
      <c r="U11" s="74" t="s">
        <v>24</v>
      </c>
      <c r="V11" s="75" t="s">
        <v>47</v>
      </c>
      <c r="W11" s="101"/>
      <c r="X11" s="123" t="s">
        <v>106</v>
      </c>
      <c r="Y11" s="123" t="s">
        <v>116</v>
      </c>
      <c r="Z11" s="137"/>
      <c r="AA11" s="145"/>
      <c r="AB11" s="145"/>
      <c r="AC11" s="41"/>
      <c r="AD11" s="131"/>
      <c r="AE11" s="74"/>
      <c r="AF11" s="74"/>
      <c r="AG11" s="75"/>
      <c r="AH11" s="146"/>
      <c r="AI11" s="105" t="s">
        <v>106</v>
      </c>
      <c r="AJ11" s="147" t="s">
        <v>117</v>
      </c>
      <c r="AK11" s="106"/>
      <c r="AL11" s="148"/>
      <c r="AM11" s="149"/>
      <c r="AN11" s="150"/>
      <c r="AO11" s="80"/>
      <c r="AP11" s="81"/>
      <c r="AQ11" s="82"/>
      <c r="AR11" s="83"/>
      <c r="AS11" s="69"/>
      <c r="AT11" s="69"/>
    </row>
    <row r="12">
      <c r="A12" s="35" t="s">
        <v>118</v>
      </c>
      <c r="B12" s="17" t="s">
        <v>119</v>
      </c>
      <c r="C12" s="123" t="s">
        <v>120</v>
      </c>
      <c r="D12" s="106" t="s">
        <v>121</v>
      </c>
      <c r="E12" s="39" t="s">
        <v>122</v>
      </c>
      <c r="F12" s="39" t="s">
        <v>123</v>
      </c>
      <c r="G12" s="151" t="s">
        <v>124</v>
      </c>
      <c r="H12" s="73" t="s">
        <v>31</v>
      </c>
      <c r="I12" s="74" t="s">
        <v>23</v>
      </c>
      <c r="J12" s="74" t="s">
        <v>24</v>
      </c>
      <c r="K12" s="116" t="s">
        <v>47</v>
      </c>
      <c r="L12" s="21"/>
      <c r="M12" s="127" t="s">
        <v>119</v>
      </c>
      <c r="N12" s="144" t="s">
        <v>125</v>
      </c>
      <c r="O12" s="137" t="s">
        <v>126</v>
      </c>
      <c r="P12" s="40" t="s">
        <v>127</v>
      </c>
      <c r="Q12" s="152" t="s">
        <v>128</v>
      </c>
      <c r="R12" s="41" t="s">
        <v>129</v>
      </c>
      <c r="S12" s="73" t="s">
        <v>90</v>
      </c>
      <c r="T12" s="74" t="s">
        <v>23</v>
      </c>
      <c r="U12" s="74" t="s">
        <v>24</v>
      </c>
      <c r="V12" s="75" t="s">
        <v>103</v>
      </c>
      <c r="W12" s="53"/>
      <c r="X12" s="123" t="s">
        <v>119</v>
      </c>
      <c r="Y12" s="123" t="s">
        <v>130</v>
      </c>
      <c r="Z12" s="137"/>
      <c r="AA12" s="39"/>
      <c r="AB12" s="48"/>
      <c r="AC12" s="41"/>
      <c r="AD12" s="131"/>
      <c r="AE12" s="74"/>
      <c r="AF12" s="74"/>
      <c r="AG12" s="75"/>
      <c r="AH12" s="53"/>
      <c r="AI12" s="105" t="s">
        <v>119</v>
      </c>
      <c r="AJ12" s="153" t="s">
        <v>131</v>
      </c>
      <c r="AK12" s="137"/>
      <c r="AL12" s="154"/>
      <c r="AM12" s="155"/>
      <c r="AN12" s="122"/>
      <c r="AO12" s="109"/>
      <c r="AP12" s="110"/>
      <c r="AQ12" s="111"/>
      <c r="AR12" s="112"/>
      <c r="AS12" s="69"/>
      <c r="AT12" s="69"/>
    </row>
    <row r="13" ht="15.0" customHeight="1">
      <c r="A13" s="35" t="s">
        <v>132</v>
      </c>
      <c r="B13" s="17" t="s">
        <v>133</v>
      </c>
      <c r="C13" s="123" t="s">
        <v>134</v>
      </c>
      <c r="D13" s="106" t="s">
        <v>121</v>
      </c>
      <c r="E13" s="39" t="s">
        <v>135</v>
      </c>
      <c r="F13" s="40" t="s">
        <v>136</v>
      </c>
      <c r="G13" s="156" t="s">
        <v>137</v>
      </c>
      <c r="H13" s="70" t="s">
        <v>22</v>
      </c>
      <c r="I13" s="71" t="s">
        <v>23</v>
      </c>
      <c r="J13" s="71" t="s">
        <v>24</v>
      </c>
      <c r="K13" s="44" t="s">
        <v>103</v>
      </c>
      <c r="L13" s="21"/>
      <c r="M13" s="127" t="s">
        <v>133</v>
      </c>
      <c r="N13" s="144" t="s">
        <v>138</v>
      </c>
      <c r="O13" s="137" t="s">
        <v>126</v>
      </c>
      <c r="P13" s="145" t="s">
        <v>139</v>
      </c>
      <c r="Q13" s="157" t="s">
        <v>140</v>
      </c>
      <c r="R13" s="49" t="s">
        <v>141</v>
      </c>
      <c r="S13" s="73" t="s">
        <v>118</v>
      </c>
      <c r="T13" s="74" t="s">
        <v>23</v>
      </c>
      <c r="U13" s="74" t="s">
        <v>24</v>
      </c>
      <c r="V13" s="158" t="s">
        <v>47</v>
      </c>
      <c r="W13" s="58"/>
      <c r="X13" s="123" t="s">
        <v>133</v>
      </c>
      <c r="Y13" s="123" t="s">
        <v>142</v>
      </c>
      <c r="Z13" s="137"/>
      <c r="AA13" s="40"/>
      <c r="AB13" s="159"/>
      <c r="AC13" s="41"/>
      <c r="AD13" s="131"/>
      <c r="AE13" s="74"/>
      <c r="AF13" s="74"/>
      <c r="AG13" s="75"/>
      <c r="AH13" s="53"/>
      <c r="AI13" s="160">
        <v>55.0</v>
      </c>
      <c r="AJ13" s="153" t="s">
        <v>143</v>
      </c>
      <c r="AK13" s="106"/>
      <c r="AL13" s="148"/>
      <c r="AM13" s="161"/>
      <c r="AN13" s="162"/>
      <c r="AO13" s="80"/>
      <c r="AP13" s="81"/>
      <c r="AQ13" s="82"/>
      <c r="AR13" s="83"/>
      <c r="AS13" s="69"/>
      <c r="AT13" s="69"/>
    </row>
    <row r="14" ht="15.0" customHeight="1">
      <c r="A14" s="35" t="s">
        <v>144</v>
      </c>
      <c r="B14" s="17" t="s">
        <v>145</v>
      </c>
      <c r="C14" s="123" t="s">
        <v>146</v>
      </c>
      <c r="D14" s="137" t="s">
        <v>147</v>
      </c>
      <c r="E14" s="40" t="s">
        <v>148</v>
      </c>
      <c r="F14" s="39" t="s">
        <v>149</v>
      </c>
      <c r="G14" s="163" t="s">
        <v>150</v>
      </c>
      <c r="H14" s="73" t="s">
        <v>22</v>
      </c>
      <c r="I14" s="74" t="s">
        <v>23</v>
      </c>
      <c r="J14" s="74" t="s">
        <v>24</v>
      </c>
      <c r="K14" s="116" t="s">
        <v>144</v>
      </c>
      <c r="L14" s="21"/>
      <c r="M14" s="127" t="s">
        <v>145</v>
      </c>
      <c r="N14" s="144" t="s">
        <v>151</v>
      </c>
      <c r="O14" s="137" t="s">
        <v>152</v>
      </c>
      <c r="P14" s="39" t="s">
        <v>153</v>
      </c>
      <c r="Q14" s="49" t="s">
        <v>154</v>
      </c>
      <c r="R14" s="41" t="s">
        <v>155</v>
      </c>
      <c r="S14" s="70" t="s">
        <v>22</v>
      </c>
      <c r="T14" s="71" t="s">
        <v>23</v>
      </c>
      <c r="U14" s="71" t="s">
        <v>24</v>
      </c>
      <c r="V14" s="84" t="s">
        <v>47</v>
      </c>
      <c r="W14" s="101"/>
      <c r="X14" s="123" t="s">
        <v>145</v>
      </c>
      <c r="Y14" s="123" t="s">
        <v>156</v>
      </c>
      <c r="Z14" s="106"/>
      <c r="AA14" s="164"/>
      <c r="AB14" s="137"/>
      <c r="AC14" s="41"/>
      <c r="AD14" s="131"/>
      <c r="AE14" s="74"/>
      <c r="AF14" s="74"/>
      <c r="AG14" s="75"/>
      <c r="AH14" s="165">
        <v>17.0</v>
      </c>
      <c r="AI14" s="105" t="s">
        <v>145</v>
      </c>
      <c r="AJ14" s="166" t="s">
        <v>157</v>
      </c>
      <c r="AK14" s="106"/>
      <c r="AL14" s="149"/>
      <c r="AM14" s="149"/>
      <c r="AN14" s="167"/>
      <c r="AO14" s="80"/>
      <c r="AP14" s="81"/>
      <c r="AQ14" s="82"/>
      <c r="AR14" s="83"/>
      <c r="AS14" s="69"/>
      <c r="AT14" s="69"/>
    </row>
    <row r="15" ht="15.0" customHeight="1">
      <c r="A15" s="35" t="s">
        <v>25</v>
      </c>
      <c r="B15" s="17" t="s">
        <v>158</v>
      </c>
      <c r="C15" s="123" t="s">
        <v>159</v>
      </c>
      <c r="D15" s="137" t="s">
        <v>160</v>
      </c>
      <c r="E15" s="41" t="s">
        <v>161</v>
      </c>
      <c r="F15" s="39" t="s">
        <v>162</v>
      </c>
      <c r="G15" s="39" t="s">
        <v>163</v>
      </c>
      <c r="H15" s="73" t="s">
        <v>68</v>
      </c>
      <c r="I15" s="74" t="s">
        <v>23</v>
      </c>
      <c r="J15" s="74" t="s">
        <v>24</v>
      </c>
      <c r="K15" s="116" t="s">
        <v>25</v>
      </c>
      <c r="L15" s="168"/>
      <c r="M15" s="127" t="s">
        <v>158</v>
      </c>
      <c r="N15" s="144" t="s">
        <v>164</v>
      </c>
      <c r="O15" s="169" t="s">
        <v>152</v>
      </c>
      <c r="P15" s="170" t="s">
        <v>165</v>
      </c>
      <c r="Q15" s="171" t="s">
        <v>166</v>
      </c>
      <c r="R15" s="41" t="s">
        <v>167</v>
      </c>
      <c r="S15" s="73" t="s">
        <v>68</v>
      </c>
      <c r="T15" s="74" t="s">
        <v>168</v>
      </c>
      <c r="U15" s="74" t="s">
        <v>24</v>
      </c>
      <c r="V15" s="75" t="s">
        <v>97</v>
      </c>
      <c r="W15" s="53"/>
      <c r="X15" s="138" t="s">
        <v>158</v>
      </c>
      <c r="Y15" s="123" t="s">
        <v>169</v>
      </c>
      <c r="Z15" s="137"/>
      <c r="AA15" s="164"/>
      <c r="AB15" s="137"/>
      <c r="AC15" s="172"/>
      <c r="AD15" s="131"/>
      <c r="AE15" s="74"/>
      <c r="AF15" s="74"/>
      <c r="AG15" s="75"/>
      <c r="AH15" s="53"/>
      <c r="AI15" s="173" t="s">
        <v>158</v>
      </c>
      <c r="AJ15" s="147" t="s">
        <v>170</v>
      </c>
      <c r="AK15" s="106"/>
      <c r="AL15" s="174"/>
      <c r="AM15" s="174"/>
      <c r="AN15" s="150"/>
      <c r="AO15" s="175"/>
      <c r="AP15" s="176"/>
      <c r="AQ15" s="177"/>
      <c r="AR15" s="178"/>
      <c r="AS15" s="179"/>
      <c r="AT15" s="179"/>
    </row>
    <row r="16">
      <c r="A16" s="35" t="s">
        <v>47</v>
      </c>
      <c r="B16" s="17" t="s">
        <v>171</v>
      </c>
      <c r="C16" s="123" t="s">
        <v>172</v>
      </c>
      <c r="D16" s="180" t="s">
        <v>173</v>
      </c>
      <c r="E16" s="171" t="s">
        <v>174</v>
      </c>
      <c r="F16" s="39" t="s">
        <v>175</v>
      </c>
      <c r="G16" s="39" t="s">
        <v>176</v>
      </c>
      <c r="H16" s="73"/>
      <c r="I16" s="74" t="s">
        <v>168</v>
      </c>
      <c r="J16" s="74" t="s">
        <v>24</v>
      </c>
      <c r="K16" s="116" t="s">
        <v>97</v>
      </c>
      <c r="L16" s="181"/>
      <c r="M16" s="127" t="s">
        <v>171</v>
      </c>
      <c r="N16" s="128" t="s">
        <v>177</v>
      </c>
      <c r="O16" s="137" t="s">
        <v>178</v>
      </c>
      <c r="P16" s="48" t="s">
        <v>179</v>
      </c>
      <c r="Q16" s="182" t="s">
        <v>180</v>
      </c>
      <c r="R16" s="41" t="s">
        <v>181</v>
      </c>
      <c r="S16" s="73" t="s">
        <v>83</v>
      </c>
      <c r="T16" s="74" t="s">
        <v>23</v>
      </c>
      <c r="U16" s="74" t="s">
        <v>24</v>
      </c>
      <c r="V16" s="75" t="s">
        <v>103</v>
      </c>
      <c r="W16" s="53"/>
      <c r="X16" s="138" t="s">
        <v>171</v>
      </c>
      <c r="Y16" s="183"/>
      <c r="Z16" s="184"/>
      <c r="AA16" s="185"/>
      <c r="AB16" s="184"/>
      <c r="AC16" s="186"/>
      <c r="AD16" s="78"/>
      <c r="AE16" s="74"/>
      <c r="AF16" s="74"/>
      <c r="AG16" s="75"/>
      <c r="AH16" s="53"/>
      <c r="AI16" s="173" t="s">
        <v>171</v>
      </c>
      <c r="AJ16" s="187"/>
      <c r="AK16" s="188"/>
      <c r="AL16" s="183"/>
      <c r="AM16" s="189"/>
      <c r="AN16" s="190"/>
      <c r="AO16" s="80"/>
      <c r="AP16" s="81"/>
      <c r="AQ16" s="82"/>
      <c r="AR16" s="83"/>
      <c r="AS16" s="69"/>
      <c r="AT16" s="69"/>
    </row>
    <row r="17">
      <c r="A17" s="35" t="s">
        <v>58</v>
      </c>
      <c r="B17" s="17" t="s">
        <v>182</v>
      </c>
      <c r="C17" s="191" t="s">
        <v>183</v>
      </c>
      <c r="D17" s="132"/>
      <c r="E17" s="124"/>
      <c r="F17" s="192"/>
      <c r="G17" s="192"/>
      <c r="H17" s="73"/>
      <c r="I17" s="74"/>
      <c r="J17" s="74"/>
      <c r="K17" s="116"/>
      <c r="L17" s="21"/>
      <c r="M17" s="127" t="s">
        <v>182</v>
      </c>
      <c r="N17" s="128" t="s">
        <v>184</v>
      </c>
      <c r="O17" s="137" t="s">
        <v>178</v>
      </c>
      <c r="P17" s="137" t="s">
        <v>185</v>
      </c>
      <c r="Q17" s="193" t="s">
        <v>186</v>
      </c>
      <c r="R17" s="41" t="s">
        <v>187</v>
      </c>
      <c r="S17" s="73"/>
      <c r="T17" s="74" t="s">
        <v>168</v>
      </c>
      <c r="U17" s="74" t="s">
        <v>24</v>
      </c>
      <c r="V17" s="75" t="s">
        <v>144</v>
      </c>
      <c r="W17" s="53"/>
      <c r="X17" s="138" t="s">
        <v>182</v>
      </c>
      <c r="Y17" s="123" t="s">
        <v>188</v>
      </c>
      <c r="Z17" s="137"/>
      <c r="AA17" s="194"/>
      <c r="AB17" s="194"/>
      <c r="AC17" s="195"/>
      <c r="AD17" s="78"/>
      <c r="AE17" s="74"/>
      <c r="AF17" s="74"/>
      <c r="AG17" s="75"/>
      <c r="AH17" s="53"/>
      <c r="AI17" s="173" t="s">
        <v>182</v>
      </c>
      <c r="AJ17" s="196"/>
      <c r="AK17" s="184"/>
      <c r="AL17" s="183"/>
      <c r="AM17" s="183"/>
      <c r="AN17" s="186"/>
      <c r="AO17" s="80"/>
      <c r="AP17" s="81"/>
      <c r="AQ17" s="82"/>
      <c r="AR17" s="83"/>
      <c r="AS17" s="69"/>
      <c r="AT17" s="69"/>
    </row>
    <row r="18" ht="15.0" customHeight="1">
      <c r="A18" s="35" t="s">
        <v>97</v>
      </c>
      <c r="B18" s="17" t="s">
        <v>189</v>
      </c>
      <c r="C18" s="123" t="s">
        <v>190</v>
      </c>
      <c r="D18" s="180" t="s">
        <v>191</v>
      </c>
      <c r="E18" s="197" t="s">
        <v>192</v>
      </c>
      <c r="F18" s="39" t="s">
        <v>193</v>
      </c>
      <c r="G18" s="39" t="s">
        <v>194</v>
      </c>
      <c r="H18" s="73" t="s">
        <v>90</v>
      </c>
      <c r="I18" s="74" t="s">
        <v>168</v>
      </c>
      <c r="J18" s="74" t="s">
        <v>24</v>
      </c>
      <c r="K18" s="116" t="s">
        <v>47</v>
      </c>
      <c r="L18" s="181"/>
      <c r="M18" s="127" t="s">
        <v>189</v>
      </c>
      <c r="N18" s="128" t="s">
        <v>195</v>
      </c>
      <c r="O18" s="106" t="s">
        <v>147</v>
      </c>
      <c r="P18" s="194" t="s">
        <v>196</v>
      </c>
      <c r="Q18" s="143" t="s">
        <v>197</v>
      </c>
      <c r="R18" s="41" t="s">
        <v>198</v>
      </c>
      <c r="S18" s="73" t="s">
        <v>83</v>
      </c>
      <c r="T18" s="74" t="s">
        <v>199</v>
      </c>
      <c r="U18" s="74" t="s">
        <v>24</v>
      </c>
      <c r="V18" s="75" t="s">
        <v>47</v>
      </c>
      <c r="W18" s="53"/>
      <c r="X18" s="138" t="s">
        <v>189</v>
      </c>
      <c r="Y18" s="191" t="s">
        <v>200</v>
      </c>
      <c r="Z18" s="137"/>
      <c r="AA18" s="145"/>
      <c r="AB18" s="1"/>
      <c r="AC18" s="163"/>
      <c r="AD18" s="78"/>
      <c r="AE18" s="74"/>
      <c r="AF18" s="74"/>
      <c r="AG18" s="75"/>
      <c r="AH18" s="198"/>
      <c r="AI18" s="173" t="s">
        <v>189</v>
      </c>
      <c r="AJ18" s="147" t="s">
        <v>201</v>
      </c>
      <c r="AK18" s="137"/>
      <c r="AL18" s="154"/>
      <c r="AM18" s="155"/>
      <c r="AN18" s="122"/>
      <c r="AO18" s="175"/>
      <c r="AP18" s="176"/>
      <c r="AQ18" s="177"/>
      <c r="AR18" s="178"/>
      <c r="AS18" s="179"/>
      <c r="AT18" s="179"/>
    </row>
    <row r="19" ht="14.25" customHeight="1">
      <c r="A19" s="35" t="s">
        <v>202</v>
      </c>
      <c r="B19" s="17" t="s">
        <v>203</v>
      </c>
      <c r="C19" s="199" t="s">
        <v>204</v>
      </c>
      <c r="D19" s="200" t="s">
        <v>205</v>
      </c>
      <c r="E19" s="39" t="s">
        <v>206</v>
      </c>
      <c r="F19" s="40" t="s">
        <v>207</v>
      </c>
      <c r="G19" s="39" t="s">
        <v>208</v>
      </c>
      <c r="H19" s="73" t="s">
        <v>90</v>
      </c>
      <c r="I19" s="74" t="s">
        <v>199</v>
      </c>
      <c r="J19" s="74" t="s">
        <v>24</v>
      </c>
      <c r="K19" s="116" t="s">
        <v>25</v>
      </c>
      <c r="L19" s="21"/>
      <c r="M19" s="127" t="s">
        <v>203</v>
      </c>
      <c r="N19" s="128" t="s">
        <v>209</v>
      </c>
      <c r="O19" s="106" t="s">
        <v>210</v>
      </c>
      <c r="P19" s="40" t="s">
        <v>211</v>
      </c>
      <c r="Q19" s="40" t="s">
        <v>212</v>
      </c>
      <c r="R19" s="201" t="s">
        <v>213</v>
      </c>
      <c r="S19" s="73" t="s">
        <v>68</v>
      </c>
      <c r="T19" s="74" t="s">
        <v>168</v>
      </c>
      <c r="U19" s="74" t="s">
        <v>24</v>
      </c>
      <c r="V19" s="75" t="s">
        <v>58</v>
      </c>
      <c r="W19" s="53"/>
      <c r="X19" s="138" t="s">
        <v>203</v>
      </c>
      <c r="Y19" s="123" t="s">
        <v>214</v>
      </c>
      <c r="Z19" s="200"/>
      <c r="AA19" s="47"/>
      <c r="AB19" s="202"/>
      <c r="AC19" s="203"/>
      <c r="AD19" s="78"/>
      <c r="AE19" s="74"/>
      <c r="AF19" s="74"/>
      <c r="AG19" s="75"/>
      <c r="AH19" s="53"/>
      <c r="AI19" s="173" t="s">
        <v>203</v>
      </c>
      <c r="AJ19" s="147" t="s">
        <v>215</v>
      </c>
      <c r="AK19" s="204"/>
      <c r="AL19" s="149"/>
      <c r="AM19" s="149"/>
      <c r="AN19" s="167"/>
      <c r="AO19" s="80"/>
      <c r="AP19" s="81"/>
      <c r="AQ19" s="82"/>
      <c r="AR19" s="83"/>
      <c r="AS19" s="69"/>
      <c r="AT19" s="69"/>
    </row>
    <row r="20" ht="13.5" customHeight="1">
      <c r="A20" s="35" t="s">
        <v>103</v>
      </c>
      <c r="B20" s="17" t="s">
        <v>216</v>
      </c>
      <c r="C20" s="123" t="s">
        <v>217</v>
      </c>
      <c r="D20" s="200" t="s">
        <v>205</v>
      </c>
      <c r="E20" s="39" t="s">
        <v>218</v>
      </c>
      <c r="F20" s="39" t="s">
        <v>219</v>
      </c>
      <c r="G20" s="39" t="s">
        <v>220</v>
      </c>
      <c r="H20" s="73"/>
      <c r="I20" s="74" t="s">
        <v>168</v>
      </c>
      <c r="J20" s="74" t="s">
        <v>24</v>
      </c>
      <c r="K20" s="116" t="s">
        <v>25</v>
      </c>
      <c r="L20" s="21"/>
      <c r="M20" s="127" t="s">
        <v>216</v>
      </c>
      <c r="N20" s="128" t="s">
        <v>221</v>
      </c>
      <c r="O20" s="106" t="s">
        <v>222</v>
      </c>
      <c r="P20" s="48" t="s">
        <v>223</v>
      </c>
      <c r="Q20" s="49" t="s">
        <v>224</v>
      </c>
      <c r="R20" s="41" t="s">
        <v>225</v>
      </c>
      <c r="S20" s="73" t="s">
        <v>132</v>
      </c>
      <c r="T20" s="74" t="s">
        <v>168</v>
      </c>
      <c r="U20" s="74" t="s">
        <v>24</v>
      </c>
      <c r="V20" s="75" t="s">
        <v>47</v>
      </c>
      <c r="W20" s="53"/>
      <c r="X20" s="123" t="s">
        <v>216</v>
      </c>
      <c r="Y20" s="138" t="s">
        <v>226</v>
      </c>
      <c r="Z20" s="205"/>
      <c r="AA20" s="206"/>
      <c r="AB20" s="206"/>
      <c r="AC20" s="163"/>
      <c r="AD20" s="78"/>
      <c r="AE20" s="74"/>
      <c r="AF20" s="74"/>
      <c r="AG20" s="75"/>
      <c r="AH20" s="53"/>
      <c r="AI20" s="173" t="s">
        <v>216</v>
      </c>
      <c r="AJ20" s="147" t="s">
        <v>227</v>
      </c>
      <c r="AK20" s="204"/>
      <c r="AL20" s="174"/>
      <c r="AM20" s="149"/>
      <c r="AN20" s="207"/>
      <c r="AO20" s="80"/>
      <c r="AP20" s="81"/>
      <c r="AQ20" s="82"/>
      <c r="AR20" s="83"/>
      <c r="AS20" s="69"/>
      <c r="AT20" s="69"/>
    </row>
    <row r="21" ht="15.0" customHeight="1">
      <c r="A21" s="35" t="s">
        <v>111</v>
      </c>
      <c r="B21" s="208">
        <v>68.0</v>
      </c>
      <c r="C21" s="123" t="s">
        <v>228</v>
      </c>
      <c r="D21" s="180" t="s">
        <v>229</v>
      </c>
      <c r="E21" s="164" t="s">
        <v>230</v>
      </c>
      <c r="F21" s="40" t="s">
        <v>231</v>
      </c>
      <c r="G21" s="163" t="s">
        <v>232</v>
      </c>
      <c r="H21" s="73" t="s">
        <v>118</v>
      </c>
      <c r="I21" s="74" t="s">
        <v>168</v>
      </c>
      <c r="J21" s="74" t="s">
        <v>24</v>
      </c>
      <c r="K21" s="116" t="s">
        <v>25</v>
      </c>
      <c r="L21" s="21"/>
      <c r="M21" s="127" t="s">
        <v>233</v>
      </c>
      <c r="N21" s="128" t="s">
        <v>234</v>
      </c>
      <c r="O21" s="106" t="s">
        <v>235</v>
      </c>
      <c r="P21" s="194" t="s">
        <v>236</v>
      </c>
      <c r="Q21" s="41" t="s">
        <v>237</v>
      </c>
      <c r="R21" s="41" t="s">
        <v>238</v>
      </c>
      <c r="S21" s="73"/>
      <c r="T21" s="74" t="s">
        <v>168</v>
      </c>
      <c r="U21" s="74" t="s">
        <v>24</v>
      </c>
      <c r="V21" s="75" t="s">
        <v>47</v>
      </c>
      <c r="W21" s="53"/>
      <c r="X21" s="123" t="s">
        <v>233</v>
      </c>
      <c r="Y21" s="209" t="s">
        <v>239</v>
      </c>
      <c r="Z21" s="106"/>
      <c r="AA21" s="210"/>
      <c r="AB21" s="170"/>
      <c r="AC21" s="163"/>
      <c r="AD21" s="78"/>
      <c r="AE21" s="74"/>
      <c r="AF21" s="74"/>
      <c r="AG21" s="75"/>
      <c r="AH21" s="53"/>
      <c r="AI21" s="128" t="s">
        <v>233</v>
      </c>
      <c r="AJ21" s="147" t="s">
        <v>240</v>
      </c>
      <c r="AK21" s="204"/>
      <c r="AL21" s="149"/>
      <c r="AM21" s="174"/>
      <c r="AN21" s="167"/>
      <c r="AO21" s="80"/>
      <c r="AP21" s="81"/>
      <c r="AQ21" s="82"/>
      <c r="AR21" s="83"/>
      <c r="AS21" s="69"/>
      <c r="AT21" s="69"/>
    </row>
    <row r="22" ht="15.75" customHeight="1">
      <c r="A22" s="35" t="s">
        <v>241</v>
      </c>
      <c r="B22" s="17" t="s">
        <v>242</v>
      </c>
      <c r="C22" s="123" t="s">
        <v>243</v>
      </c>
      <c r="D22" s="180" t="s">
        <v>229</v>
      </c>
      <c r="E22" s="40" t="s">
        <v>244</v>
      </c>
      <c r="F22" s="39" t="s">
        <v>245</v>
      </c>
      <c r="G22" s="163" t="s">
        <v>246</v>
      </c>
      <c r="H22" s="73"/>
      <c r="I22" s="74" t="s">
        <v>168</v>
      </c>
      <c r="J22" s="74" t="s">
        <v>24</v>
      </c>
      <c r="K22" s="116" t="s">
        <v>111</v>
      </c>
      <c r="L22" s="21"/>
      <c r="M22" s="211" t="s">
        <v>242</v>
      </c>
      <c r="N22" s="144" t="s">
        <v>247</v>
      </c>
      <c r="O22" s="137" t="s">
        <v>248</v>
      </c>
      <c r="P22" s="40" t="s">
        <v>249</v>
      </c>
      <c r="Q22" s="39" t="s">
        <v>250</v>
      </c>
      <c r="R22" s="39" t="s">
        <v>251</v>
      </c>
      <c r="S22" s="73"/>
      <c r="T22" s="74" t="s">
        <v>168</v>
      </c>
      <c r="U22" s="74" t="s">
        <v>24</v>
      </c>
      <c r="V22" s="75" t="s">
        <v>132</v>
      </c>
      <c r="W22" s="212">
        <v>4.0</v>
      </c>
      <c r="X22" s="213" t="s">
        <v>242</v>
      </c>
      <c r="Y22" s="191" t="s">
        <v>252</v>
      </c>
      <c r="Z22" s="106"/>
      <c r="AA22" s="214"/>
      <c r="AB22" s="137"/>
      <c r="AC22" s="163"/>
      <c r="AD22" s="78"/>
      <c r="AE22" s="74"/>
      <c r="AF22" s="74"/>
      <c r="AG22" s="75"/>
      <c r="AH22" s="53"/>
      <c r="AI22" s="147" t="s">
        <v>242</v>
      </c>
      <c r="AJ22" s="173" t="s">
        <v>253</v>
      </c>
      <c r="AK22" s="204"/>
      <c r="AL22" s="174"/>
      <c r="AM22" s="174"/>
      <c r="AN22" s="167"/>
      <c r="AO22" s="80"/>
      <c r="AP22" s="81"/>
      <c r="AQ22" s="82"/>
      <c r="AR22" s="83"/>
      <c r="AS22" s="69"/>
      <c r="AT22" s="69"/>
    </row>
    <row r="23" ht="15.75" customHeight="1">
      <c r="A23" s="35" t="s">
        <v>69</v>
      </c>
      <c r="B23" s="215" t="s">
        <v>254</v>
      </c>
      <c r="C23" s="123" t="s">
        <v>255</v>
      </c>
      <c r="D23" s="200" t="s">
        <v>256</v>
      </c>
      <c r="E23" s="216" t="s">
        <v>257</v>
      </c>
      <c r="F23" s="216" t="s">
        <v>258</v>
      </c>
      <c r="G23" s="156" t="s">
        <v>259</v>
      </c>
      <c r="H23" s="73" t="s">
        <v>90</v>
      </c>
      <c r="I23" s="74" t="s">
        <v>168</v>
      </c>
      <c r="J23" s="74" t="s">
        <v>24</v>
      </c>
      <c r="K23" s="116" t="s">
        <v>144</v>
      </c>
      <c r="L23" s="217"/>
      <c r="M23" s="211" t="s">
        <v>254</v>
      </c>
      <c r="N23" s="144" t="s">
        <v>260</v>
      </c>
      <c r="O23" s="137"/>
      <c r="P23" s="48"/>
      <c r="Q23" s="49"/>
      <c r="R23" s="49"/>
      <c r="S23" s="73"/>
      <c r="T23" s="74"/>
      <c r="U23" s="74"/>
      <c r="V23" s="75"/>
      <c r="W23" s="218"/>
      <c r="X23" s="213" t="s">
        <v>254</v>
      </c>
      <c r="Y23" s="209" t="s">
        <v>261</v>
      </c>
      <c r="Z23" s="106"/>
      <c r="AA23" s="194"/>
      <c r="AB23" s="137"/>
      <c r="AC23" s="163"/>
      <c r="AD23" s="78"/>
      <c r="AE23" s="74"/>
      <c r="AF23" s="74"/>
      <c r="AG23" s="75"/>
      <c r="AH23" s="219"/>
      <c r="AI23" s="147" t="s">
        <v>254</v>
      </c>
      <c r="AJ23" s="173" t="s">
        <v>262</v>
      </c>
      <c r="AK23" s="204"/>
      <c r="AL23" s="174"/>
      <c r="AM23" s="149"/>
      <c r="AN23" s="207"/>
      <c r="AO23" s="80"/>
      <c r="AP23" s="81"/>
      <c r="AQ23" s="82"/>
      <c r="AR23" s="83"/>
      <c r="AS23" s="69"/>
      <c r="AT23" s="69"/>
    </row>
    <row r="24" ht="15.0" customHeight="1">
      <c r="A24" s="35" t="s">
        <v>263</v>
      </c>
      <c r="B24" s="17" t="s">
        <v>264</v>
      </c>
      <c r="C24" s="123" t="s">
        <v>265</v>
      </c>
      <c r="D24" s="200" t="s">
        <v>256</v>
      </c>
      <c r="E24" s="164" t="s">
        <v>266</v>
      </c>
      <c r="F24" s="216" t="s">
        <v>267</v>
      </c>
      <c r="G24" s="156" t="s">
        <v>268</v>
      </c>
      <c r="H24" s="73"/>
      <c r="I24" s="74"/>
      <c r="J24" s="74"/>
      <c r="K24" s="116"/>
      <c r="L24" s="217"/>
      <c r="M24" s="211" t="s">
        <v>264</v>
      </c>
      <c r="N24" s="144" t="s">
        <v>269</v>
      </c>
      <c r="O24" s="106"/>
      <c r="P24" s="159"/>
      <c r="Q24" s="49"/>
      <c r="R24" s="49"/>
      <c r="S24" s="73"/>
      <c r="T24" s="74"/>
      <c r="U24" s="74"/>
      <c r="V24" s="75"/>
      <c r="W24" s="53"/>
      <c r="X24" s="213" t="s">
        <v>264</v>
      </c>
      <c r="Y24" s="209" t="s">
        <v>270</v>
      </c>
      <c r="Z24" s="106"/>
      <c r="AA24" s="137"/>
      <c r="AB24" s="137"/>
      <c r="AC24" s="163"/>
      <c r="AD24" s="78"/>
      <c r="AE24" s="74"/>
      <c r="AF24" s="74"/>
      <c r="AG24" s="75"/>
      <c r="AH24" s="53"/>
      <c r="AI24" s="147" t="s">
        <v>264</v>
      </c>
      <c r="AJ24" s="173" t="s">
        <v>271</v>
      </c>
      <c r="AK24" s="220"/>
      <c r="AL24" s="174"/>
      <c r="AM24" s="221"/>
      <c r="AN24" s="167"/>
      <c r="AO24" s="80"/>
      <c r="AP24" s="81"/>
      <c r="AQ24" s="82"/>
      <c r="AR24" s="83"/>
      <c r="AS24" s="69"/>
      <c r="AT24" s="69"/>
    </row>
    <row r="25">
      <c r="A25" s="35" t="s">
        <v>272</v>
      </c>
      <c r="B25" s="17" t="s">
        <v>273</v>
      </c>
      <c r="C25" s="123" t="s">
        <v>274</v>
      </c>
      <c r="D25" s="106" t="s">
        <v>275</v>
      </c>
      <c r="E25" s="170" t="s">
        <v>276</v>
      </c>
      <c r="F25" s="40" t="s">
        <v>277</v>
      </c>
      <c r="G25" s="163" t="s">
        <v>278</v>
      </c>
      <c r="H25" s="70"/>
      <c r="I25" s="71" t="s">
        <v>279</v>
      </c>
      <c r="J25" s="71" t="s">
        <v>24</v>
      </c>
      <c r="K25" s="44" t="s">
        <v>58</v>
      </c>
      <c r="L25" s="21"/>
      <c r="M25" s="211" t="s">
        <v>273</v>
      </c>
      <c r="N25" s="144" t="s">
        <v>280</v>
      </c>
      <c r="O25" s="106"/>
      <c r="P25" s="72"/>
      <c r="Q25" s="49"/>
      <c r="R25" s="49"/>
      <c r="S25" s="73"/>
      <c r="T25" s="74"/>
      <c r="U25" s="74"/>
      <c r="V25" s="75"/>
      <c r="W25" s="53"/>
      <c r="X25" s="213" t="s">
        <v>273</v>
      </c>
      <c r="Y25" s="209" t="s">
        <v>281</v>
      </c>
      <c r="Z25" s="106"/>
      <c r="AA25" s="194"/>
      <c r="AB25" s="194"/>
      <c r="AC25" s="163"/>
      <c r="AD25" s="78"/>
      <c r="AE25" s="74"/>
      <c r="AF25" s="74"/>
      <c r="AG25" s="75"/>
      <c r="AH25" s="165" t="s">
        <v>282</v>
      </c>
      <c r="AI25" s="147" t="s">
        <v>273</v>
      </c>
      <c r="AJ25" s="173" t="s">
        <v>283</v>
      </c>
      <c r="AK25" s="220"/>
      <c r="AL25" s="174"/>
      <c r="AM25" s="174"/>
      <c r="AN25" s="222"/>
      <c r="AO25" s="80"/>
      <c r="AP25" s="81"/>
      <c r="AQ25" s="82"/>
      <c r="AR25" s="83"/>
      <c r="AS25" s="69"/>
      <c r="AT25" s="69"/>
    </row>
    <row r="26" ht="13.5" customHeight="1">
      <c r="A26" s="35" t="s">
        <v>284</v>
      </c>
      <c r="B26" s="215" t="s">
        <v>285</v>
      </c>
      <c r="C26" s="123" t="s">
        <v>286</v>
      </c>
      <c r="D26" s="106" t="s">
        <v>275</v>
      </c>
      <c r="E26" s="170" t="s">
        <v>287</v>
      </c>
      <c r="F26" s="40" t="s">
        <v>288</v>
      </c>
      <c r="G26" s="163" t="s">
        <v>289</v>
      </c>
      <c r="H26" s="73" t="s">
        <v>132</v>
      </c>
      <c r="I26" s="74" t="s">
        <v>23</v>
      </c>
      <c r="J26" s="74" t="s">
        <v>24</v>
      </c>
      <c r="K26" s="116" t="s">
        <v>25</v>
      </c>
      <c r="L26" s="217"/>
      <c r="M26" s="223" t="s">
        <v>285</v>
      </c>
      <c r="N26" s="166" t="s">
        <v>290</v>
      </c>
      <c r="O26" s="54"/>
      <c r="P26" s="39"/>
      <c r="Q26" s="49"/>
      <c r="R26" s="49"/>
      <c r="S26" s="73"/>
      <c r="T26" s="74"/>
      <c r="U26" s="74"/>
      <c r="V26" s="75"/>
      <c r="W26" s="224"/>
      <c r="X26" s="213" t="s">
        <v>285</v>
      </c>
      <c r="Y26" s="209" t="s">
        <v>291</v>
      </c>
      <c r="Z26" s="106"/>
      <c r="AA26" s="194"/>
      <c r="AB26" s="194"/>
      <c r="AC26" s="163"/>
      <c r="AD26" s="78"/>
      <c r="AE26" s="74"/>
      <c r="AF26" s="74"/>
      <c r="AG26" s="75"/>
      <c r="AH26" s="224"/>
      <c r="AI26" s="147" t="s">
        <v>285</v>
      </c>
      <c r="AJ26" s="173" t="s">
        <v>292</v>
      </c>
      <c r="AK26" s="225"/>
      <c r="AL26" s="174"/>
      <c r="AM26" s="174"/>
      <c r="AN26" s="167"/>
      <c r="AO26" s="80"/>
      <c r="AP26" s="81"/>
      <c r="AQ26" s="82"/>
      <c r="AR26" s="83"/>
      <c r="AS26" s="69"/>
      <c r="AT26" s="69"/>
    </row>
    <row r="27" ht="15.0" customHeight="1">
      <c r="A27" s="35" t="s">
        <v>79</v>
      </c>
      <c r="B27" s="226" t="s">
        <v>293</v>
      </c>
      <c r="C27" s="227" t="s">
        <v>294</v>
      </c>
      <c r="D27" s="228" t="s">
        <v>295</v>
      </c>
      <c r="E27" s="229" t="s">
        <v>296</v>
      </c>
      <c r="F27" s="229" t="s">
        <v>297</v>
      </c>
      <c r="G27" s="230" t="s">
        <v>298</v>
      </c>
      <c r="H27" s="73" t="s">
        <v>90</v>
      </c>
      <c r="I27" s="74" t="s">
        <v>23</v>
      </c>
      <c r="J27" s="74" t="s">
        <v>24</v>
      </c>
      <c r="K27" s="116" t="s">
        <v>90</v>
      </c>
      <c r="L27" s="217"/>
      <c r="M27" s="231" t="s">
        <v>293</v>
      </c>
      <c r="N27" s="232" t="s">
        <v>299</v>
      </c>
      <c r="O27" s="228" t="s">
        <v>300</v>
      </c>
      <c r="P27" s="233" t="s">
        <v>301</v>
      </c>
      <c r="Q27" s="234" t="s">
        <v>302</v>
      </c>
      <c r="R27" s="235" t="s">
        <v>303</v>
      </c>
      <c r="S27" s="73"/>
      <c r="T27" s="74" t="s">
        <v>168</v>
      </c>
      <c r="U27" s="74" t="s">
        <v>24</v>
      </c>
      <c r="V27" s="75" t="s">
        <v>31</v>
      </c>
      <c r="W27" s="236"/>
      <c r="X27" s="237" t="s">
        <v>293</v>
      </c>
      <c r="Y27" s="238" t="s">
        <v>304</v>
      </c>
      <c r="Z27" s="239"/>
      <c r="AA27" s="240"/>
      <c r="AB27" s="241"/>
      <c r="AC27" s="242"/>
      <c r="AD27" s="131"/>
      <c r="AE27" s="74"/>
      <c r="AF27" s="74"/>
      <c r="AG27" s="75"/>
      <c r="AH27" s="236"/>
      <c r="AI27" s="243" t="s">
        <v>293</v>
      </c>
      <c r="AJ27" s="105" t="s">
        <v>305</v>
      </c>
      <c r="AK27" s="225"/>
      <c r="AL27" s="244"/>
      <c r="AM27" s="245"/>
      <c r="AN27" s="150"/>
      <c r="AO27" s="80"/>
      <c r="AP27" s="81"/>
      <c r="AQ27" s="82"/>
      <c r="AR27" s="83"/>
      <c r="AS27" s="69"/>
      <c r="AT27" s="69"/>
    </row>
    <row r="28" ht="15.0" customHeight="1">
      <c r="A28" s="35" t="s">
        <v>306</v>
      </c>
      <c r="B28" s="246" t="s">
        <v>307</v>
      </c>
      <c r="C28" s="247" t="s">
        <v>308</v>
      </c>
      <c r="D28" s="248" t="s">
        <v>309</v>
      </c>
      <c r="E28" s="249" t="s">
        <v>310</v>
      </c>
      <c r="F28" s="250" t="s">
        <v>311</v>
      </c>
      <c r="G28" s="251" t="s">
        <v>312</v>
      </c>
      <c r="H28" s="252" t="s">
        <v>50</v>
      </c>
      <c r="I28" s="253" t="s">
        <v>23</v>
      </c>
      <c r="J28" s="253" t="s">
        <v>24</v>
      </c>
      <c r="K28" s="254" t="s">
        <v>31</v>
      </c>
      <c r="L28" s="255"/>
      <c r="M28" s="256" t="s">
        <v>307</v>
      </c>
      <c r="N28" s="257" t="s">
        <v>313</v>
      </c>
      <c r="O28" s="258" t="s">
        <v>314</v>
      </c>
      <c r="P28" s="259" t="s">
        <v>315</v>
      </c>
      <c r="Q28" s="260" t="s">
        <v>316</v>
      </c>
      <c r="R28" s="261" t="s">
        <v>317</v>
      </c>
      <c r="S28" s="252"/>
      <c r="T28" s="253" t="s">
        <v>168</v>
      </c>
      <c r="U28" s="253" t="s">
        <v>24</v>
      </c>
      <c r="V28" s="262" t="s">
        <v>31</v>
      </c>
      <c r="W28" s="263"/>
      <c r="X28" s="264" t="s">
        <v>307</v>
      </c>
      <c r="Y28" s="265" t="s">
        <v>318</v>
      </c>
      <c r="Z28" s="266"/>
      <c r="AA28" s="259"/>
      <c r="AB28" s="267"/>
      <c r="AC28" s="268"/>
      <c r="AD28" s="269"/>
      <c r="AE28" s="270"/>
      <c r="AF28" s="270"/>
      <c r="AG28" s="271"/>
      <c r="AH28" s="263"/>
      <c r="AI28" s="272" t="s">
        <v>307</v>
      </c>
      <c r="AJ28" s="272" t="s">
        <v>319</v>
      </c>
      <c r="AK28" s="273"/>
      <c r="AL28" s="274"/>
      <c r="AM28" s="274"/>
      <c r="AN28" s="275"/>
      <c r="AO28" s="276"/>
      <c r="AP28" s="277"/>
      <c r="AQ28" s="278"/>
      <c r="AR28" s="279"/>
      <c r="AS28" s="69"/>
      <c r="AT28" s="69"/>
    </row>
    <row r="29" ht="15.0" customHeight="1">
      <c r="A29" s="280"/>
      <c r="B29" s="281"/>
      <c r="C29" s="281"/>
      <c r="D29" s="282"/>
      <c r="E29" s="281"/>
      <c r="F29" s="283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5"/>
      <c r="AC29" s="286"/>
      <c r="AD29" s="287"/>
      <c r="AE29" s="287"/>
      <c r="AF29" s="287"/>
      <c r="AG29" s="287"/>
      <c r="AH29" s="288"/>
      <c r="AI29" s="289"/>
      <c r="AJ29" s="289"/>
      <c r="AK29" s="290"/>
      <c r="AL29" s="290"/>
      <c r="AM29" s="290"/>
      <c r="AN29" s="291" t="s">
        <v>320</v>
      </c>
      <c r="AO29" s="290"/>
      <c r="AP29" s="290"/>
      <c r="AQ29" s="290"/>
      <c r="AR29" s="290"/>
      <c r="AS29" s="290"/>
      <c r="AT29" s="290"/>
    </row>
    <row r="30" ht="137.25" customHeight="1">
      <c r="A30" s="292"/>
      <c r="B30" s="293"/>
      <c r="C30" s="282"/>
      <c r="D30" s="294"/>
      <c r="E30" s="293"/>
      <c r="F30" s="295" t="s">
        <v>321</v>
      </c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5"/>
      <c r="AC30" s="296"/>
      <c r="AD30" s="297"/>
      <c r="AE30" s="297"/>
      <c r="AF30" s="297"/>
      <c r="AG30" s="297"/>
      <c r="AH30" s="298"/>
      <c r="AI30" s="299" t="s">
        <v>322</v>
      </c>
      <c r="AJ30" s="3"/>
      <c r="AK30" s="3"/>
      <c r="AL30" s="3"/>
      <c r="AM30" s="3"/>
      <c r="AN30" s="3"/>
      <c r="AO30" s="3"/>
      <c r="AP30" s="3"/>
      <c r="AQ30" s="3"/>
      <c r="AR30" s="300"/>
      <c r="AS30" s="301"/>
      <c r="AT30" s="301"/>
    </row>
    <row r="31" ht="42.0" customHeight="1">
      <c r="A31" s="302"/>
      <c r="B31" s="303" t="s">
        <v>323</v>
      </c>
      <c r="C31" s="304"/>
      <c r="D31" s="304"/>
      <c r="E31" s="305"/>
      <c r="F31" s="306" t="s">
        <v>324</v>
      </c>
      <c r="G31" s="307" t="s">
        <v>325</v>
      </c>
      <c r="H31" s="308"/>
      <c r="I31" s="308"/>
      <c r="J31" s="308"/>
      <c r="K31" s="308"/>
      <c r="L31" s="308"/>
      <c r="M31" s="309"/>
      <c r="N31" s="310"/>
      <c r="O31" s="311" t="s">
        <v>326</v>
      </c>
      <c r="P31" s="312"/>
      <c r="Q31" s="306" t="s">
        <v>324</v>
      </c>
      <c r="R31" s="313" t="s">
        <v>325</v>
      </c>
      <c r="S31" s="308"/>
      <c r="T31" s="308"/>
      <c r="U31" s="308"/>
      <c r="V31" s="308"/>
      <c r="W31" s="308"/>
      <c r="X31" s="314"/>
      <c r="Y31" s="310"/>
      <c r="Z31" s="315" t="s">
        <v>326</v>
      </c>
      <c r="AA31" s="316"/>
      <c r="AB31" s="317" t="s">
        <v>324</v>
      </c>
      <c r="AC31" s="318" t="s">
        <v>325</v>
      </c>
      <c r="AD31" s="294"/>
      <c r="AE31" s="308"/>
      <c r="AF31" s="308"/>
      <c r="AG31" s="308"/>
      <c r="AH31" s="290"/>
      <c r="AI31" s="319"/>
      <c r="AJ31" s="319"/>
      <c r="AK31" s="319"/>
      <c r="AL31" s="319"/>
      <c r="AM31" s="319"/>
      <c r="AN31" s="319"/>
      <c r="AO31" s="319"/>
      <c r="AP31" s="319"/>
      <c r="AQ31" s="319"/>
      <c r="AR31" s="320"/>
      <c r="AS31" s="301"/>
      <c r="AT31" s="301"/>
    </row>
    <row r="32" ht="15.75" customHeight="1">
      <c r="A32" s="321"/>
      <c r="B32" s="322">
        <v>1.0</v>
      </c>
      <c r="C32" s="323"/>
      <c r="D32" s="324" t="s">
        <v>205</v>
      </c>
      <c r="E32" s="325">
        <v>2.0</v>
      </c>
      <c r="F32" s="326"/>
      <c r="G32" s="327">
        <v>2.0</v>
      </c>
      <c r="H32" s="328"/>
      <c r="I32" s="328"/>
      <c r="J32" s="328"/>
      <c r="K32" s="328"/>
      <c r="L32" s="328"/>
      <c r="M32" s="329">
        <v>1.0</v>
      </c>
      <c r="N32" s="323"/>
      <c r="O32" s="330" t="s">
        <v>18</v>
      </c>
      <c r="P32" s="331">
        <v>1.0</v>
      </c>
      <c r="Q32" s="332"/>
      <c r="R32" s="333">
        <v>1.0</v>
      </c>
      <c r="S32" s="328"/>
      <c r="T32" s="328"/>
      <c r="U32" s="328"/>
      <c r="V32" s="328"/>
      <c r="W32" s="328"/>
      <c r="X32" s="329">
        <v>1.0</v>
      </c>
      <c r="Y32" s="323"/>
      <c r="Z32" s="334" t="s">
        <v>295</v>
      </c>
      <c r="AA32" s="335">
        <v>2.0</v>
      </c>
      <c r="AB32" s="332">
        <v>2.0</v>
      </c>
      <c r="AC32" s="333">
        <v>1.0</v>
      </c>
      <c r="AD32" s="336"/>
      <c r="AE32" s="337"/>
      <c r="AF32" s="337"/>
      <c r="AG32" s="337"/>
      <c r="AH32" s="338"/>
      <c r="AI32" s="339" t="s">
        <v>4</v>
      </c>
      <c r="AJ32" s="340" t="s">
        <v>5</v>
      </c>
      <c r="AK32" s="340" t="s">
        <v>6</v>
      </c>
      <c r="AL32" s="340" t="s">
        <v>7</v>
      </c>
      <c r="AM32" s="340" t="s">
        <v>8</v>
      </c>
      <c r="AN32" s="340" t="s">
        <v>9</v>
      </c>
      <c r="AO32" s="341" t="s">
        <v>10</v>
      </c>
      <c r="AP32" s="341" t="s">
        <v>11</v>
      </c>
      <c r="AQ32" s="341" t="s">
        <v>12</v>
      </c>
      <c r="AR32" s="20" t="s">
        <v>13</v>
      </c>
      <c r="AS32" s="342"/>
      <c r="AT32" s="343"/>
    </row>
    <row r="33" ht="15.75" customHeight="1">
      <c r="A33" s="344"/>
      <c r="B33" s="345">
        <v>2.0</v>
      </c>
      <c r="C33" s="346"/>
      <c r="D33" s="347" t="s">
        <v>229</v>
      </c>
      <c r="E33" s="325">
        <v>2.0</v>
      </c>
      <c r="F33" s="326">
        <v>3.0</v>
      </c>
      <c r="G33" s="327">
        <v>2.0</v>
      </c>
      <c r="H33" s="328"/>
      <c r="I33" s="328"/>
      <c r="J33" s="328"/>
      <c r="K33" s="328"/>
      <c r="L33" s="328"/>
      <c r="M33" s="348">
        <v>2.0</v>
      </c>
      <c r="N33" s="346"/>
      <c r="O33" s="349" t="s">
        <v>327</v>
      </c>
      <c r="P33" s="350"/>
      <c r="Q33" s="332"/>
      <c r="R33" s="333">
        <v>1.0</v>
      </c>
      <c r="S33" s="351"/>
      <c r="T33" s="351"/>
      <c r="U33" s="351"/>
      <c r="V33" s="351"/>
      <c r="W33" s="352"/>
      <c r="X33" s="329">
        <v>2.0</v>
      </c>
      <c r="Y33" s="323"/>
      <c r="Z33" s="334" t="s">
        <v>309</v>
      </c>
      <c r="AA33" s="335">
        <v>1.0</v>
      </c>
      <c r="AB33" s="332"/>
      <c r="AC33" s="333">
        <v>1.0</v>
      </c>
      <c r="AD33" s="336"/>
      <c r="AE33" s="337"/>
      <c r="AF33" s="337"/>
      <c r="AG33" s="337"/>
      <c r="AH33" s="338"/>
      <c r="AI33" s="353" t="s">
        <v>307</v>
      </c>
      <c r="AJ33" s="354" t="s">
        <v>318</v>
      </c>
      <c r="AK33" s="137" t="s">
        <v>295</v>
      </c>
      <c r="AL33" s="1" t="s">
        <v>328</v>
      </c>
      <c r="AM33" s="1" t="s">
        <v>329</v>
      </c>
      <c r="AN33" s="88" t="s">
        <v>330</v>
      </c>
      <c r="AO33" s="355"/>
      <c r="AP33" s="356"/>
      <c r="AQ33" s="356"/>
      <c r="AR33" s="357"/>
      <c r="AS33" s="358"/>
      <c r="AT33" s="343"/>
    </row>
    <row r="34" ht="15.75" customHeight="1">
      <c r="A34" s="359"/>
      <c r="B34" s="345">
        <v>3.0</v>
      </c>
      <c r="C34" s="346"/>
      <c r="D34" s="347" t="s">
        <v>256</v>
      </c>
      <c r="E34" s="325">
        <v>2.0</v>
      </c>
      <c r="F34" s="326"/>
      <c r="G34" s="327">
        <v>2.0</v>
      </c>
      <c r="H34" s="328"/>
      <c r="I34" s="328"/>
      <c r="J34" s="360"/>
      <c r="K34" s="328"/>
      <c r="L34" s="328"/>
      <c r="M34" s="348">
        <v>3.0</v>
      </c>
      <c r="N34" s="346"/>
      <c r="O34" s="349" t="s">
        <v>37</v>
      </c>
      <c r="P34" s="331">
        <v>1.0</v>
      </c>
      <c r="Q34" s="332"/>
      <c r="R34" s="333">
        <v>1.0</v>
      </c>
      <c r="S34" s="351"/>
      <c r="T34" s="351"/>
      <c r="U34" s="351"/>
      <c r="V34" s="351"/>
      <c r="W34" s="352"/>
      <c r="X34" s="361">
        <v>3.0</v>
      </c>
      <c r="Y34" s="346"/>
      <c r="Z34" s="362" t="s">
        <v>331</v>
      </c>
      <c r="AA34" s="350"/>
      <c r="AB34" s="332">
        <v>1.0</v>
      </c>
      <c r="AC34" s="333">
        <v>1.0</v>
      </c>
      <c r="AD34" s="336"/>
      <c r="AE34" s="337"/>
      <c r="AF34" s="337"/>
      <c r="AG34" s="337"/>
      <c r="AH34" s="338"/>
      <c r="AI34" s="363" t="s">
        <v>35</v>
      </c>
      <c r="AJ34" s="364" t="s">
        <v>332</v>
      </c>
      <c r="AK34" s="47"/>
      <c r="AL34" s="1"/>
      <c r="AM34" s="1"/>
      <c r="AN34" s="163"/>
      <c r="AO34" s="365"/>
      <c r="AP34" s="366"/>
      <c r="AQ34" s="366"/>
      <c r="AR34" s="367"/>
      <c r="AS34" s="368"/>
      <c r="AT34" s="368"/>
    </row>
    <row r="35" ht="15.75" customHeight="1">
      <c r="A35" s="359"/>
      <c r="B35" s="369">
        <v>4.0</v>
      </c>
      <c r="C35" s="346"/>
      <c r="D35" s="347" t="s">
        <v>333</v>
      </c>
      <c r="E35" s="370"/>
      <c r="F35" s="326" t="s">
        <v>334</v>
      </c>
      <c r="G35" s="327">
        <v>2.0</v>
      </c>
      <c r="H35" s="328"/>
      <c r="I35" s="328"/>
      <c r="J35" s="328"/>
      <c r="K35" s="328"/>
      <c r="L35" s="328"/>
      <c r="M35" s="361">
        <v>4.0</v>
      </c>
      <c r="N35" s="346"/>
      <c r="O35" s="371" t="s">
        <v>53</v>
      </c>
      <c r="P35" s="331">
        <v>1.0</v>
      </c>
      <c r="Q35" s="332">
        <v>2.0</v>
      </c>
      <c r="R35" s="333">
        <v>1.0</v>
      </c>
      <c r="S35" s="328"/>
      <c r="T35" s="328"/>
      <c r="U35" s="328"/>
      <c r="V35" s="328"/>
      <c r="W35" s="372"/>
      <c r="X35" s="361">
        <v>4.0</v>
      </c>
      <c r="Y35" s="346"/>
      <c r="Z35" s="362" t="s">
        <v>300</v>
      </c>
      <c r="AA35" s="335">
        <v>1.0</v>
      </c>
      <c r="AB35" s="332">
        <v>3.0</v>
      </c>
      <c r="AC35" s="333">
        <v>1.0</v>
      </c>
      <c r="AD35" s="373"/>
      <c r="AE35" s="337"/>
      <c r="AF35" s="337"/>
      <c r="AG35" s="337"/>
      <c r="AH35" s="338"/>
      <c r="AI35" s="363" t="s">
        <v>51</v>
      </c>
      <c r="AJ35" s="364" t="s">
        <v>335</v>
      </c>
      <c r="AK35" s="137"/>
      <c r="AL35" s="48"/>
      <c r="AM35" s="374"/>
      <c r="AN35" s="163"/>
      <c r="AO35" s="375"/>
      <c r="AP35" s="74"/>
      <c r="AQ35" s="74"/>
      <c r="AR35" s="75"/>
      <c r="AS35" s="376"/>
      <c r="AT35" s="376"/>
    </row>
    <row r="36" ht="15.75" customHeight="1">
      <c r="A36" s="359"/>
      <c r="B36" s="345">
        <v>5.0</v>
      </c>
      <c r="C36" s="346"/>
      <c r="D36" s="347" t="s">
        <v>275</v>
      </c>
      <c r="E36" s="377">
        <v>2.0</v>
      </c>
      <c r="F36" s="326"/>
      <c r="G36" s="327">
        <v>2.0</v>
      </c>
      <c r="H36" s="328"/>
      <c r="I36" s="378"/>
      <c r="J36" s="378"/>
      <c r="K36" s="378"/>
      <c r="L36" s="378"/>
      <c r="M36" s="361">
        <v>5.0</v>
      </c>
      <c r="N36" s="346"/>
      <c r="O36" s="371" t="s">
        <v>336</v>
      </c>
      <c r="P36" s="350"/>
      <c r="Q36" s="332"/>
      <c r="R36" s="333">
        <v>1.0</v>
      </c>
      <c r="S36" s="328"/>
      <c r="T36" s="328"/>
      <c r="U36" s="328"/>
      <c r="V36" s="328"/>
      <c r="W36" s="372"/>
      <c r="X36" s="379">
        <v>5.0</v>
      </c>
      <c r="Y36" s="346"/>
      <c r="Z36" s="124" t="s">
        <v>314</v>
      </c>
      <c r="AA36" s="335">
        <v>1.0</v>
      </c>
      <c r="AB36" s="332"/>
      <c r="AC36" s="333">
        <v>1.0</v>
      </c>
      <c r="AD36" s="336"/>
      <c r="AE36" s="337"/>
      <c r="AF36" s="337"/>
      <c r="AG36" s="337"/>
      <c r="AH36" s="338"/>
      <c r="AI36" s="380" t="s">
        <v>62</v>
      </c>
      <c r="AJ36" s="209" t="s">
        <v>337</v>
      </c>
      <c r="AK36" s="106" t="s">
        <v>222</v>
      </c>
      <c r="AL36" s="145" t="s">
        <v>338</v>
      </c>
      <c r="AM36" s="1" t="s">
        <v>339</v>
      </c>
      <c r="AN36" s="163" t="s">
        <v>340</v>
      </c>
      <c r="AO36" s="365"/>
      <c r="AP36" s="366"/>
      <c r="AQ36" s="366"/>
      <c r="AR36" s="367"/>
      <c r="AS36" s="368"/>
      <c r="AT36" s="368"/>
    </row>
    <row r="37" ht="15.75" customHeight="1">
      <c r="A37" s="381"/>
      <c r="B37" s="382">
        <v>6.0</v>
      </c>
      <c r="C37" s="346"/>
      <c r="D37" s="383" t="s">
        <v>99</v>
      </c>
      <c r="E37" s="325">
        <v>2.0</v>
      </c>
      <c r="F37" s="326" t="s">
        <v>341</v>
      </c>
      <c r="G37" s="327">
        <v>2.0</v>
      </c>
      <c r="H37" s="328"/>
      <c r="I37" s="384"/>
      <c r="J37" s="384"/>
      <c r="K37" s="384"/>
      <c r="L37" s="384"/>
      <c r="M37" s="385">
        <v>6.0</v>
      </c>
      <c r="N37" s="346"/>
      <c r="O37" s="371" t="s">
        <v>27</v>
      </c>
      <c r="P37" s="331">
        <v>1.0</v>
      </c>
      <c r="Q37" s="332"/>
      <c r="R37" s="386">
        <v>1.0</v>
      </c>
      <c r="S37" s="384"/>
      <c r="T37" s="387"/>
      <c r="U37" s="384"/>
      <c r="V37" s="384"/>
      <c r="W37" s="388"/>
      <c r="X37" s="379">
        <v>6.0</v>
      </c>
      <c r="Y37" s="346"/>
      <c r="Z37" s="124"/>
      <c r="AA37" s="335"/>
      <c r="AB37" s="332"/>
      <c r="AC37" s="333">
        <v>1.0</v>
      </c>
      <c r="AD37" s="389"/>
      <c r="AE37" s="384"/>
      <c r="AF37" s="384"/>
      <c r="AG37" s="384"/>
      <c r="AH37" s="390"/>
      <c r="AI37" s="380" t="s">
        <v>73</v>
      </c>
      <c r="AJ37" s="209" t="s">
        <v>342</v>
      </c>
      <c r="AK37" s="106" t="s">
        <v>235</v>
      </c>
      <c r="AL37" s="145" t="s">
        <v>343</v>
      </c>
      <c r="AM37" s="145" t="s">
        <v>344</v>
      </c>
      <c r="AN37" s="163" t="s">
        <v>345</v>
      </c>
      <c r="AO37" s="365"/>
      <c r="AP37" s="366"/>
      <c r="AQ37" s="366"/>
      <c r="AR37" s="367"/>
      <c r="AS37" s="368"/>
      <c r="AT37" s="368"/>
    </row>
    <row r="38" ht="15.75" customHeight="1">
      <c r="A38" s="359"/>
      <c r="B38" s="391">
        <v>7.0</v>
      </c>
      <c r="C38" s="346"/>
      <c r="D38" s="383" t="s">
        <v>126</v>
      </c>
      <c r="E38" s="325">
        <v>2.0</v>
      </c>
      <c r="F38" s="326">
        <v>3.0</v>
      </c>
      <c r="G38" s="163" t="s">
        <v>50</v>
      </c>
      <c r="H38" s="328"/>
      <c r="I38" s="384"/>
      <c r="J38" s="384"/>
      <c r="K38" s="384"/>
      <c r="L38" s="384"/>
      <c r="M38" s="392">
        <v>7.0</v>
      </c>
      <c r="N38" s="346"/>
      <c r="O38" s="393" t="s">
        <v>43</v>
      </c>
      <c r="P38" s="331">
        <v>1.0</v>
      </c>
      <c r="Q38" s="332"/>
      <c r="R38" s="386">
        <v>1.0</v>
      </c>
      <c r="S38" s="384"/>
      <c r="T38" s="384"/>
      <c r="U38" s="384"/>
      <c r="V38" s="384"/>
      <c r="W38" s="388"/>
      <c r="X38" s="394" t="s">
        <v>346</v>
      </c>
      <c r="Y38" s="395"/>
      <c r="Z38" s="396"/>
      <c r="AA38" s="397">
        <f>SUM(AA32:AA37)</f>
        <v>5</v>
      </c>
      <c r="AB38" s="387"/>
      <c r="AC38" s="387"/>
      <c r="AD38" s="389"/>
      <c r="AE38" s="384"/>
      <c r="AF38" s="384"/>
      <c r="AG38" s="384"/>
      <c r="AH38" s="390"/>
      <c r="AI38" s="398" t="s">
        <v>84</v>
      </c>
      <c r="AJ38" s="209" t="s">
        <v>347</v>
      </c>
      <c r="AK38" s="106" t="s">
        <v>160</v>
      </c>
      <c r="AL38" s="48" t="s">
        <v>65</v>
      </c>
      <c r="AM38" s="48" t="s">
        <v>348</v>
      </c>
      <c r="AN38" s="88" t="s">
        <v>349</v>
      </c>
      <c r="AO38" s="365" t="s">
        <v>83</v>
      </c>
      <c r="AP38" s="366" t="s">
        <v>350</v>
      </c>
      <c r="AQ38" s="366" t="s">
        <v>24</v>
      </c>
      <c r="AR38" s="367" t="s">
        <v>47</v>
      </c>
      <c r="AS38" s="368"/>
      <c r="AT38" s="368"/>
    </row>
    <row r="39" ht="15.0" customHeight="1">
      <c r="A39" s="359"/>
      <c r="B39" s="391">
        <v>8.0</v>
      </c>
      <c r="C39" s="346"/>
      <c r="D39" s="383" t="s">
        <v>152</v>
      </c>
      <c r="E39" s="325">
        <v>2.0</v>
      </c>
      <c r="F39" s="326"/>
      <c r="G39" s="163" t="s">
        <v>50</v>
      </c>
      <c r="H39" s="328"/>
      <c r="I39" s="384"/>
      <c r="J39" s="384"/>
      <c r="K39" s="384"/>
      <c r="L39" s="384"/>
      <c r="M39" s="392">
        <v>8.0</v>
      </c>
      <c r="N39" s="346"/>
      <c r="O39" s="393" t="s">
        <v>351</v>
      </c>
      <c r="P39" s="331"/>
      <c r="Q39" s="332"/>
      <c r="R39" s="333">
        <v>1.0</v>
      </c>
      <c r="S39" s="351"/>
      <c r="T39" s="351"/>
      <c r="U39" s="351"/>
      <c r="V39" s="351"/>
      <c r="W39" s="352"/>
      <c r="X39" s="399"/>
      <c r="Y39" s="384"/>
      <c r="Z39" s="384"/>
      <c r="AA39" s="387"/>
      <c r="AB39" s="384"/>
      <c r="AC39" s="384"/>
      <c r="AD39" s="400"/>
      <c r="AE39" s="351"/>
      <c r="AF39" s="351"/>
      <c r="AG39" s="351"/>
      <c r="AH39" s="146"/>
      <c r="AI39" s="380" t="s">
        <v>91</v>
      </c>
      <c r="AJ39" s="209" t="s">
        <v>352</v>
      </c>
      <c r="AK39" s="137" t="s">
        <v>353</v>
      </c>
      <c r="AL39" s="1" t="s">
        <v>354</v>
      </c>
      <c r="AM39" s="1" t="s">
        <v>355</v>
      </c>
      <c r="AN39" s="163" t="s">
        <v>356</v>
      </c>
      <c r="AO39" s="375" t="s">
        <v>31</v>
      </c>
      <c r="AP39" s="74" t="s">
        <v>357</v>
      </c>
      <c r="AQ39" s="74" t="s">
        <v>24</v>
      </c>
      <c r="AR39" s="75" t="s">
        <v>202</v>
      </c>
      <c r="AS39" s="376"/>
      <c r="AT39" s="376"/>
    </row>
    <row r="40" ht="15.75" customHeight="1">
      <c r="A40" s="401"/>
      <c r="B40" s="391">
        <v>9.0</v>
      </c>
      <c r="C40" s="346"/>
      <c r="D40" s="383" t="s">
        <v>178</v>
      </c>
      <c r="E40" s="325">
        <v>2.0</v>
      </c>
      <c r="F40" s="326">
        <v>2.0</v>
      </c>
      <c r="G40" s="327">
        <v>2.0</v>
      </c>
      <c r="H40" s="328"/>
      <c r="I40" s="402"/>
      <c r="J40" s="402"/>
      <c r="K40" s="402"/>
      <c r="L40" s="402"/>
      <c r="M40" s="403" t="s">
        <v>118</v>
      </c>
      <c r="N40" s="346"/>
      <c r="O40" s="393" t="s">
        <v>358</v>
      </c>
      <c r="P40" s="404"/>
      <c r="Q40" s="405">
        <v>2.0</v>
      </c>
      <c r="R40" s="402"/>
      <c r="S40" s="402"/>
      <c r="T40" s="402"/>
      <c r="U40" s="402"/>
      <c r="V40" s="402"/>
      <c r="W40" s="406"/>
      <c r="X40" s="402"/>
      <c r="Y40" s="402"/>
      <c r="Z40" s="402"/>
      <c r="AA40" s="402"/>
      <c r="AB40" s="402"/>
      <c r="AC40" s="402"/>
      <c r="AD40" s="389"/>
      <c r="AE40" s="399"/>
      <c r="AF40" s="399"/>
      <c r="AG40" s="399"/>
      <c r="AH40" s="407"/>
      <c r="AI40" s="398" t="s">
        <v>106</v>
      </c>
      <c r="AJ40" s="138" t="s">
        <v>359</v>
      </c>
      <c r="AK40" s="106"/>
      <c r="AL40" s="48"/>
      <c r="AM40" s="374"/>
      <c r="AN40" s="163"/>
      <c r="AO40" s="408"/>
      <c r="AP40" s="409"/>
      <c r="AQ40" s="410"/>
      <c r="AR40" s="411"/>
      <c r="AS40" s="412"/>
      <c r="AT40" s="412"/>
    </row>
    <row r="41" ht="15.75" customHeight="1">
      <c r="A41" s="413"/>
      <c r="B41" s="391">
        <v>10.0</v>
      </c>
      <c r="C41" s="346"/>
      <c r="D41" s="383" t="s">
        <v>360</v>
      </c>
      <c r="E41" s="414"/>
      <c r="F41" s="326"/>
      <c r="G41" s="163" t="s">
        <v>34</v>
      </c>
      <c r="H41" s="328"/>
      <c r="I41" s="402"/>
      <c r="J41" s="402"/>
      <c r="K41" s="402"/>
      <c r="L41" s="402"/>
      <c r="M41" s="415"/>
      <c r="N41" s="346"/>
      <c r="O41" s="416"/>
      <c r="P41" s="417"/>
      <c r="Q41" s="402"/>
      <c r="R41" s="406"/>
      <c r="S41" s="351"/>
      <c r="T41" s="351"/>
      <c r="U41" s="351"/>
      <c r="V41" s="351"/>
      <c r="W41" s="406"/>
      <c r="X41" s="418"/>
      <c r="Y41" s="418"/>
      <c r="Z41" s="418"/>
      <c r="AA41" s="418"/>
      <c r="AB41" s="402"/>
      <c r="AC41" s="402"/>
      <c r="AD41" s="373"/>
      <c r="AE41" s="387"/>
      <c r="AF41" s="387"/>
      <c r="AG41" s="387"/>
      <c r="AH41" s="419"/>
      <c r="AI41" s="380" t="s">
        <v>119</v>
      </c>
      <c r="AJ41" s="138" t="s">
        <v>361</v>
      </c>
      <c r="AK41" s="106"/>
      <c r="AL41" s="39"/>
      <c r="AM41" s="39"/>
      <c r="AN41" s="163"/>
      <c r="AO41" s="408"/>
      <c r="AP41" s="409"/>
      <c r="AQ41" s="410"/>
      <c r="AR41" s="420"/>
      <c r="AS41" s="421"/>
      <c r="AT41" s="421"/>
    </row>
    <row r="42" ht="15.75" customHeight="1">
      <c r="A42" s="422"/>
      <c r="B42" s="391">
        <v>11.0</v>
      </c>
      <c r="C42" s="346"/>
      <c r="D42" s="383" t="s">
        <v>93</v>
      </c>
      <c r="E42" s="325">
        <v>2.0</v>
      </c>
      <c r="F42" s="423" t="s">
        <v>362</v>
      </c>
      <c r="G42" s="327">
        <v>2.0</v>
      </c>
      <c r="H42" s="328"/>
      <c r="I42" s="328"/>
      <c r="J42" s="328"/>
      <c r="K42" s="328"/>
      <c r="L42" s="328"/>
      <c r="M42" s="424"/>
      <c r="N42" s="346"/>
      <c r="O42" s="425"/>
      <c r="P42" s="426"/>
      <c r="Q42" s="387"/>
      <c r="R42" s="427"/>
      <c r="S42" s="351"/>
      <c r="T42" s="351"/>
      <c r="U42" s="351"/>
      <c r="V42" s="351"/>
      <c r="W42" s="427"/>
      <c r="X42" s="428" t="s">
        <v>363</v>
      </c>
      <c r="AA42" s="429"/>
      <c r="AB42" s="430" t="s">
        <v>324</v>
      </c>
      <c r="AC42" s="431" t="s">
        <v>325</v>
      </c>
      <c r="AD42" s="373"/>
      <c r="AE42" s="387"/>
      <c r="AF42" s="387"/>
      <c r="AG42" s="387"/>
      <c r="AH42" s="419"/>
      <c r="AI42" s="380" t="s">
        <v>133</v>
      </c>
      <c r="AJ42" s="138" t="s">
        <v>364</v>
      </c>
      <c r="AK42" s="106"/>
      <c r="AL42" s="374"/>
      <c r="AM42" s="432"/>
      <c r="AN42" s="163"/>
      <c r="AO42" s="109"/>
      <c r="AP42" s="110"/>
      <c r="AQ42" s="111"/>
      <c r="AR42" s="112"/>
      <c r="AS42" s="113"/>
      <c r="AT42" s="113"/>
    </row>
    <row r="43">
      <c r="A43" s="359"/>
      <c r="B43" s="391">
        <v>12.0</v>
      </c>
      <c r="C43" s="346"/>
      <c r="D43" s="383" t="s">
        <v>121</v>
      </c>
      <c r="E43" s="325">
        <v>2.0</v>
      </c>
      <c r="F43" s="326">
        <v>2.0</v>
      </c>
      <c r="G43" s="327">
        <v>2.0</v>
      </c>
      <c r="H43" s="328"/>
      <c r="I43" s="328"/>
      <c r="J43" s="328"/>
      <c r="K43" s="328"/>
      <c r="L43" s="328"/>
      <c r="M43" s="424"/>
      <c r="N43" s="346"/>
      <c r="O43" s="204"/>
      <c r="P43" s="426"/>
      <c r="Q43" s="387"/>
      <c r="R43" s="387"/>
      <c r="S43" s="328"/>
      <c r="T43" s="328"/>
      <c r="U43" s="328"/>
      <c r="V43" s="328"/>
      <c r="W43" s="372"/>
      <c r="X43" s="433"/>
      <c r="AA43" s="429"/>
      <c r="AC43" s="434"/>
      <c r="AD43" s="435"/>
      <c r="AE43" s="328"/>
      <c r="AF43" s="328"/>
      <c r="AG43" s="328"/>
      <c r="AH43" s="436"/>
      <c r="AI43" s="380" t="s">
        <v>145</v>
      </c>
      <c r="AJ43" s="209" t="s">
        <v>365</v>
      </c>
      <c r="AK43" s="137"/>
      <c r="AL43" s="137"/>
      <c r="AM43" s="137"/>
      <c r="AN43" s="437"/>
      <c r="AO43" s="109"/>
      <c r="AP43" s="110"/>
      <c r="AQ43" s="111"/>
      <c r="AR43" s="112"/>
      <c r="AS43" s="113"/>
      <c r="AT43" s="113"/>
    </row>
    <row r="44" ht="15.75" customHeight="1">
      <c r="A44" s="359"/>
      <c r="B44" s="391">
        <v>13.0</v>
      </c>
      <c r="C44" s="346"/>
      <c r="D44" s="383" t="s">
        <v>366</v>
      </c>
      <c r="E44" s="414"/>
      <c r="F44" s="326"/>
      <c r="G44" s="327">
        <v>2.0</v>
      </c>
      <c r="H44" s="328"/>
      <c r="I44" s="328"/>
      <c r="J44" s="328"/>
      <c r="K44" s="328"/>
      <c r="L44" s="328"/>
      <c r="M44" s="424"/>
      <c r="N44" s="346"/>
      <c r="O44" s="204"/>
      <c r="P44" s="426"/>
      <c r="Q44" s="387"/>
      <c r="R44" s="360"/>
      <c r="S44" s="328"/>
      <c r="T44" s="328"/>
      <c r="U44" s="328"/>
      <c r="V44" s="328"/>
      <c r="W44" s="372"/>
      <c r="X44" s="438"/>
      <c r="Y44" s="439"/>
      <c r="Z44" s="439"/>
      <c r="AA44" s="440"/>
      <c r="AB44" s="360"/>
      <c r="AC44" s="387"/>
      <c r="AD44" s="435"/>
      <c r="AE44" s="328"/>
      <c r="AF44" s="333" t="s">
        <v>367</v>
      </c>
      <c r="AG44" s="328"/>
      <c r="AH44" s="436"/>
      <c r="AI44" s="441" t="s">
        <v>158</v>
      </c>
      <c r="AJ44" s="138" t="s">
        <v>368</v>
      </c>
      <c r="AK44" s="137"/>
      <c r="AL44" s="137"/>
      <c r="AM44" s="137"/>
      <c r="AN44" s="442"/>
      <c r="AO44" s="175"/>
      <c r="AP44" s="443"/>
      <c r="AQ44" s="444"/>
      <c r="AR44" s="178"/>
      <c r="AS44" s="179"/>
      <c r="AT44" s="179"/>
    </row>
    <row r="45" ht="15.75" customHeight="1">
      <c r="A45" s="344"/>
      <c r="B45" s="391">
        <v>14.0</v>
      </c>
      <c r="C45" s="346"/>
      <c r="D45" s="383" t="s">
        <v>147</v>
      </c>
      <c r="E45" s="325">
        <v>2.0</v>
      </c>
      <c r="F45" s="326">
        <v>2.0</v>
      </c>
      <c r="G45" s="327">
        <v>2.0</v>
      </c>
      <c r="H45" s="328"/>
      <c r="I45" s="387"/>
      <c r="J45" s="387"/>
      <c r="K45" s="387"/>
      <c r="L45" s="387"/>
      <c r="M45" s="445" t="s">
        <v>346</v>
      </c>
      <c r="N45" s="395"/>
      <c r="O45" s="446"/>
      <c r="P45" s="397">
        <f>SUM(P32:P40)</f>
        <v>5</v>
      </c>
      <c r="Q45" s="387"/>
      <c r="R45" s="372"/>
      <c r="S45" s="328"/>
      <c r="T45" s="328"/>
      <c r="U45" s="328"/>
      <c r="V45" s="328"/>
      <c r="W45" s="372"/>
      <c r="X45" s="447">
        <v>1.0</v>
      </c>
      <c r="Y45" s="323"/>
      <c r="Z45" s="93" t="s">
        <v>64</v>
      </c>
      <c r="AA45" s="448">
        <v>1.0</v>
      </c>
      <c r="AB45" s="332"/>
      <c r="AC45" s="333">
        <v>1.0</v>
      </c>
      <c r="AD45" s="435"/>
      <c r="AE45" s="328"/>
      <c r="AF45" s="328"/>
      <c r="AG45" s="328"/>
      <c r="AH45" s="436"/>
      <c r="AI45" s="449" t="s">
        <v>182</v>
      </c>
      <c r="AJ45" s="123" t="s">
        <v>369</v>
      </c>
      <c r="AK45" s="204"/>
      <c r="AL45" s="204"/>
      <c r="AM45" s="204"/>
      <c r="AN45" s="450"/>
      <c r="AO45" s="80"/>
      <c r="AP45" s="82"/>
      <c r="AQ45" s="82"/>
      <c r="AR45" s="83"/>
      <c r="AS45" s="69"/>
      <c r="AT45" s="69"/>
    </row>
    <row r="46" ht="15.75" customHeight="1">
      <c r="A46" s="451"/>
      <c r="B46" s="382">
        <v>15.0</v>
      </c>
      <c r="C46" s="346"/>
      <c r="D46" s="383" t="s">
        <v>370</v>
      </c>
      <c r="E46" s="414"/>
      <c r="F46" s="326"/>
      <c r="G46" s="327">
        <v>2.0</v>
      </c>
      <c r="H46" s="328"/>
      <c r="I46" s="328"/>
      <c r="J46" s="328"/>
      <c r="K46" s="328"/>
      <c r="L46" s="328"/>
      <c r="M46" s="452"/>
      <c r="N46" s="378"/>
      <c r="O46" s="372"/>
      <c r="P46" s="372"/>
      <c r="Q46" s="387"/>
      <c r="R46" s="372"/>
      <c r="S46" s="328"/>
      <c r="T46" s="328"/>
      <c r="U46" s="328"/>
      <c r="V46" s="328"/>
      <c r="W46" s="372"/>
      <c r="X46" s="453">
        <v>2.0</v>
      </c>
      <c r="Y46" s="346"/>
      <c r="Z46" s="115" t="s">
        <v>75</v>
      </c>
      <c r="AA46" s="448">
        <v>1.0</v>
      </c>
      <c r="AB46" s="332">
        <v>2.0</v>
      </c>
      <c r="AC46" s="333">
        <v>1.0</v>
      </c>
      <c r="AD46" s="435"/>
      <c r="AE46" s="328"/>
      <c r="AF46" s="328"/>
      <c r="AG46" s="328"/>
      <c r="AH46" s="436"/>
      <c r="AI46" s="449" t="s">
        <v>189</v>
      </c>
      <c r="AJ46" s="138" t="s">
        <v>371</v>
      </c>
      <c r="AK46" s="204"/>
      <c r="AL46" s="204"/>
      <c r="AM46" s="204"/>
      <c r="AN46" s="450"/>
      <c r="AO46" s="80"/>
      <c r="AP46" s="81"/>
      <c r="AQ46" s="82"/>
      <c r="AR46" s="83"/>
      <c r="AS46" s="69"/>
      <c r="AT46" s="69"/>
    </row>
    <row r="47" ht="15.75" customHeight="1">
      <c r="A47" s="359"/>
      <c r="B47" s="391">
        <v>16.0</v>
      </c>
      <c r="C47" s="346"/>
      <c r="D47" s="383" t="s">
        <v>160</v>
      </c>
      <c r="E47" s="325">
        <v>2.0</v>
      </c>
      <c r="F47" s="326"/>
      <c r="G47" s="327">
        <v>1.0</v>
      </c>
      <c r="H47" s="328"/>
      <c r="I47" s="328"/>
      <c r="J47" s="328"/>
      <c r="K47" s="328"/>
      <c r="L47" s="328"/>
      <c r="M47" s="378"/>
      <c r="N47" s="378"/>
      <c r="O47" s="372"/>
      <c r="P47" s="360"/>
      <c r="Q47" s="387"/>
      <c r="R47" s="372"/>
      <c r="S47" s="337"/>
      <c r="T47" s="337"/>
      <c r="U47" s="337"/>
      <c r="V47" s="337"/>
      <c r="W47" s="372"/>
      <c r="X47" s="453">
        <v>3.0</v>
      </c>
      <c r="Y47" s="346"/>
      <c r="Z47" s="115" t="s">
        <v>372</v>
      </c>
      <c r="AA47" s="448"/>
      <c r="AB47" s="332">
        <v>2.0</v>
      </c>
      <c r="AC47" s="333">
        <v>1.0</v>
      </c>
      <c r="AD47" s="435"/>
      <c r="AE47" s="328"/>
      <c r="AF47" s="328"/>
      <c r="AG47" s="328"/>
      <c r="AH47" s="436"/>
      <c r="AI47" s="449" t="s">
        <v>203</v>
      </c>
      <c r="AJ47" s="123" t="s">
        <v>373</v>
      </c>
      <c r="AK47" s="454"/>
      <c r="AL47" s="454"/>
      <c r="AM47" s="454"/>
      <c r="AN47" s="450"/>
      <c r="AO47" s="455"/>
      <c r="AP47" s="443"/>
      <c r="AQ47" s="444"/>
      <c r="AR47" s="456"/>
      <c r="AS47" s="457"/>
      <c r="AT47" s="457"/>
    </row>
    <row r="48">
      <c r="A48" s="344"/>
      <c r="B48" s="391">
        <v>17.0</v>
      </c>
      <c r="C48" s="346"/>
      <c r="D48" s="383" t="s">
        <v>173</v>
      </c>
      <c r="E48" s="458">
        <v>1.0</v>
      </c>
      <c r="F48" s="459">
        <v>1.0</v>
      </c>
      <c r="G48" s="327">
        <v>2.0</v>
      </c>
      <c r="H48" s="328"/>
      <c r="I48" s="328"/>
      <c r="J48" s="328"/>
      <c r="K48" s="328"/>
      <c r="L48" s="328"/>
      <c r="M48" s="452"/>
      <c r="N48" s="378"/>
      <c r="O48" s="460" t="s">
        <v>374</v>
      </c>
      <c r="P48" s="387"/>
      <c r="Q48" s="387"/>
      <c r="R48" s="360"/>
      <c r="S48" s="328"/>
      <c r="T48" s="328"/>
      <c r="U48" s="328"/>
      <c r="V48" s="328"/>
      <c r="W48" s="372"/>
      <c r="X48" s="453">
        <v>4.0</v>
      </c>
      <c r="Y48" s="346"/>
      <c r="Z48" s="461" t="s">
        <v>375</v>
      </c>
      <c r="AA48" s="448"/>
      <c r="AB48" s="332"/>
      <c r="AC48" s="333">
        <v>1.0</v>
      </c>
      <c r="AD48" s="435"/>
      <c r="AE48" s="328"/>
      <c r="AF48" s="328"/>
      <c r="AG48" s="328"/>
      <c r="AH48" s="436"/>
      <c r="AI48" s="441" t="s">
        <v>216</v>
      </c>
      <c r="AJ48" s="462" t="s">
        <v>376</v>
      </c>
      <c r="AK48" s="360"/>
      <c r="AL48" s="454"/>
      <c r="AM48" s="454"/>
      <c r="AN48" s="463"/>
      <c r="AO48" s="80"/>
      <c r="AP48" s="81"/>
      <c r="AQ48" s="82"/>
      <c r="AR48" s="83"/>
      <c r="AS48" s="69"/>
      <c r="AT48" s="69"/>
    </row>
    <row r="49" ht="15.75" customHeight="1">
      <c r="A49" s="359"/>
      <c r="B49" s="391">
        <v>18.0</v>
      </c>
      <c r="C49" s="346"/>
      <c r="D49" s="383" t="s">
        <v>377</v>
      </c>
      <c r="E49" s="350"/>
      <c r="F49" s="459"/>
      <c r="G49" s="327">
        <v>2.0</v>
      </c>
      <c r="H49" s="328"/>
      <c r="I49" s="328"/>
      <c r="J49" s="387"/>
      <c r="K49" s="387"/>
      <c r="L49" s="328"/>
      <c r="M49" s="452"/>
      <c r="N49" s="378"/>
      <c r="O49" s="372"/>
      <c r="P49" s="360"/>
      <c r="Q49" s="387"/>
      <c r="R49" s="372"/>
      <c r="S49" s="328"/>
      <c r="T49" s="328"/>
      <c r="U49" s="328"/>
      <c r="V49" s="328"/>
      <c r="W49" s="372"/>
      <c r="X49" s="453">
        <v>5.0</v>
      </c>
      <c r="Y49" s="346"/>
      <c r="Z49" s="95" t="s">
        <v>378</v>
      </c>
      <c r="AA49" s="464"/>
      <c r="AB49" s="332"/>
      <c r="AC49" s="333">
        <v>1.0</v>
      </c>
      <c r="AD49" s="435"/>
      <c r="AE49" s="328"/>
      <c r="AF49" s="328"/>
      <c r="AG49" s="328"/>
      <c r="AH49" s="436"/>
      <c r="AI49" s="380" t="s">
        <v>233</v>
      </c>
      <c r="AJ49" s="209" t="s">
        <v>379</v>
      </c>
      <c r="AK49" s="454"/>
      <c r="AL49" s="454"/>
      <c r="AM49" s="454"/>
      <c r="AN49" s="463"/>
      <c r="AO49" s="80"/>
      <c r="AP49" s="81"/>
      <c r="AQ49" s="82"/>
      <c r="AR49" s="83"/>
      <c r="AS49" s="69"/>
      <c r="AT49" s="69"/>
    </row>
    <row r="50" ht="15.75" customHeight="1">
      <c r="A50" s="359"/>
      <c r="B50" s="391">
        <v>19.0</v>
      </c>
      <c r="C50" s="346"/>
      <c r="D50" s="383" t="s">
        <v>380</v>
      </c>
      <c r="E50" s="350"/>
      <c r="F50" s="459"/>
      <c r="G50" s="327">
        <v>1.0</v>
      </c>
      <c r="H50" s="328"/>
      <c r="I50" s="328"/>
      <c r="J50" s="328"/>
      <c r="K50" s="328"/>
      <c r="L50" s="328"/>
      <c r="M50" s="452"/>
      <c r="N50" s="378"/>
      <c r="O50" s="378"/>
      <c r="P50" s="360"/>
      <c r="Q50" s="360"/>
      <c r="R50" s="372"/>
      <c r="S50" s="328"/>
      <c r="T50" s="328"/>
      <c r="U50" s="328"/>
      <c r="V50" s="328"/>
      <c r="W50" s="372"/>
      <c r="X50" s="453">
        <v>6.0</v>
      </c>
      <c r="Y50" s="346"/>
      <c r="Z50" s="461" t="s">
        <v>381</v>
      </c>
      <c r="AA50" s="465"/>
      <c r="AB50" s="332"/>
      <c r="AC50" s="333">
        <v>1.0</v>
      </c>
      <c r="AD50" s="435"/>
      <c r="AE50" s="328"/>
      <c r="AF50" s="328"/>
      <c r="AG50" s="328"/>
      <c r="AH50" s="436"/>
      <c r="AI50" s="466" t="s">
        <v>242</v>
      </c>
      <c r="AJ50" s="467" t="s">
        <v>382</v>
      </c>
      <c r="AK50" s="468"/>
      <c r="AL50" s="468"/>
      <c r="AM50" s="468"/>
      <c r="AN50" s="469"/>
      <c r="AO50" s="470"/>
      <c r="AP50" s="471"/>
      <c r="AQ50" s="472"/>
      <c r="AR50" s="473"/>
      <c r="AS50" s="69"/>
      <c r="AT50" s="69"/>
    </row>
    <row r="51">
      <c r="A51" s="359"/>
      <c r="B51" s="382">
        <v>20.0</v>
      </c>
      <c r="C51" s="346"/>
      <c r="D51" s="383" t="s">
        <v>235</v>
      </c>
      <c r="E51" s="458">
        <v>2.0</v>
      </c>
      <c r="F51" s="459"/>
      <c r="G51" s="327">
        <v>3.0</v>
      </c>
      <c r="H51" s="328"/>
      <c r="I51" s="328"/>
      <c r="J51" s="328"/>
      <c r="K51" s="328"/>
      <c r="L51" s="328"/>
      <c r="M51" s="474" t="s">
        <v>383</v>
      </c>
      <c r="N51" s="3"/>
      <c r="O51" s="300"/>
      <c r="P51" s="475">
        <f>(E69+P45+AA38+AA52)</f>
        <v>45</v>
      </c>
      <c r="Q51" s="360"/>
      <c r="R51" s="372"/>
      <c r="S51" s="328"/>
      <c r="T51" s="328"/>
      <c r="U51" s="328"/>
      <c r="V51" s="328"/>
      <c r="W51" s="372"/>
      <c r="X51" s="476"/>
      <c r="Y51" s="346"/>
      <c r="Z51" s="119"/>
      <c r="AA51" s="477"/>
      <c r="AB51" s="332"/>
      <c r="AC51" s="372"/>
      <c r="AD51" s="478"/>
      <c r="AE51" s="328"/>
      <c r="AF51" s="328"/>
      <c r="AG51" s="479"/>
      <c r="AH51" s="372"/>
      <c r="AI51" s="351"/>
      <c r="AJ51" s="480"/>
      <c r="AK51" s="387"/>
      <c r="AL51" s="360"/>
      <c r="AM51" s="360"/>
      <c r="AN51" s="360"/>
      <c r="AO51" s="384"/>
      <c r="AP51" s="384"/>
      <c r="AQ51" s="384"/>
      <c r="AR51" s="384"/>
      <c r="AS51" s="384"/>
      <c r="AT51" s="384"/>
    </row>
    <row r="52" ht="15.75" customHeight="1">
      <c r="A52" s="359"/>
      <c r="B52" s="391">
        <v>21.0</v>
      </c>
      <c r="C52" s="346"/>
      <c r="D52" s="383" t="s">
        <v>384</v>
      </c>
      <c r="E52" s="350"/>
      <c r="F52" s="459"/>
      <c r="G52" s="327">
        <v>3.0</v>
      </c>
      <c r="H52" s="328"/>
      <c r="I52" s="328"/>
      <c r="J52" s="328"/>
      <c r="K52" s="328"/>
      <c r="L52" s="328"/>
      <c r="M52" s="438"/>
      <c r="N52" s="439"/>
      <c r="O52" s="440"/>
      <c r="P52" s="481"/>
      <c r="Q52" s="360"/>
      <c r="R52" s="372"/>
      <c r="S52" s="328"/>
      <c r="T52" s="328"/>
      <c r="U52" s="328"/>
      <c r="V52" s="328"/>
      <c r="W52" s="372"/>
      <c r="X52" s="445" t="s">
        <v>346</v>
      </c>
      <c r="Y52" s="395"/>
      <c r="Z52" s="482"/>
      <c r="AA52" s="397">
        <f>SUM(AA45:AA51)</f>
        <v>2</v>
      </c>
      <c r="AB52" s="372"/>
      <c r="AC52" s="372"/>
      <c r="AD52" s="435"/>
      <c r="AE52" s="328"/>
      <c r="AF52" s="328"/>
      <c r="AG52" s="328"/>
      <c r="AH52" s="372"/>
      <c r="AI52" s="351"/>
      <c r="AJ52" s="480"/>
      <c r="AK52" s="360"/>
      <c r="AL52" s="360"/>
      <c r="AM52" s="360"/>
      <c r="AN52" s="360"/>
      <c r="AO52" s="384"/>
      <c r="AP52" s="384"/>
      <c r="AQ52" s="384"/>
      <c r="AR52" s="384"/>
      <c r="AS52" s="384"/>
      <c r="AT52" s="384"/>
    </row>
    <row r="53" ht="15.0" customHeight="1">
      <c r="A53" s="359"/>
      <c r="B53" s="382">
        <v>22.0</v>
      </c>
      <c r="C53" s="346"/>
      <c r="D53" s="383" t="s">
        <v>222</v>
      </c>
      <c r="E53" s="458">
        <v>2.0</v>
      </c>
      <c r="F53" s="483"/>
      <c r="G53" s="327">
        <v>2.0</v>
      </c>
      <c r="H53" s="328"/>
      <c r="I53" s="328"/>
      <c r="J53" s="328"/>
      <c r="K53" s="328"/>
      <c r="L53" s="328"/>
      <c r="M53" s="452"/>
      <c r="N53" s="378"/>
      <c r="O53" s="360"/>
      <c r="P53" s="360"/>
      <c r="Q53" s="427"/>
      <c r="R53" s="372"/>
      <c r="S53" s="328"/>
      <c r="T53" s="328"/>
      <c r="U53" s="328"/>
      <c r="V53" s="328"/>
      <c r="W53" s="372"/>
      <c r="X53" s="372"/>
      <c r="Y53" s="372"/>
      <c r="Z53" s="372"/>
      <c r="AA53" s="372"/>
      <c r="AB53" s="425"/>
      <c r="AC53" s="425"/>
      <c r="AD53" s="435"/>
      <c r="AE53" s="328"/>
      <c r="AF53" s="328"/>
      <c r="AG53" s="328"/>
      <c r="AH53" s="372"/>
      <c r="AI53" s="351"/>
      <c r="AJ53" s="480"/>
      <c r="AK53" s="360"/>
      <c r="AL53" s="360"/>
      <c r="AM53" s="360"/>
      <c r="AN53" s="360"/>
      <c r="AO53" s="384"/>
      <c r="AP53" s="384"/>
      <c r="AQ53" s="384"/>
      <c r="AR53" s="384"/>
      <c r="AS53" s="384"/>
      <c r="AT53" s="384"/>
    </row>
    <row r="54">
      <c r="A54" s="484"/>
      <c r="B54" s="382">
        <v>23.0</v>
      </c>
      <c r="C54" s="346"/>
      <c r="D54" s="383" t="s">
        <v>385</v>
      </c>
      <c r="E54" s="350"/>
      <c r="F54" s="459"/>
      <c r="G54" s="327">
        <v>3.0</v>
      </c>
      <c r="H54" s="328"/>
      <c r="I54" s="328"/>
      <c r="J54" s="328"/>
      <c r="K54" s="328"/>
      <c r="L54" s="372"/>
      <c r="M54" s="378"/>
      <c r="N54" s="328"/>
      <c r="O54" s="328"/>
      <c r="P54" s="372"/>
      <c r="Q54" s="372"/>
      <c r="R54" s="372"/>
      <c r="S54" s="328"/>
      <c r="T54" s="328"/>
      <c r="U54" s="328"/>
      <c r="V54" s="328"/>
      <c r="W54" s="372"/>
      <c r="X54" s="372"/>
      <c r="Y54" s="372"/>
      <c r="Z54" s="427"/>
      <c r="AA54" s="372"/>
      <c r="AB54" s="372"/>
      <c r="AC54" s="372"/>
      <c r="AD54" s="435"/>
      <c r="AE54" s="328"/>
      <c r="AF54" s="328"/>
      <c r="AG54" s="328"/>
      <c r="AH54" s="372"/>
      <c r="AI54" s="351"/>
      <c r="AJ54" s="480"/>
      <c r="AK54" s="360"/>
      <c r="AL54" s="360"/>
      <c r="AM54" s="360"/>
      <c r="AN54" s="360"/>
      <c r="AO54" s="384"/>
      <c r="AP54" s="384"/>
      <c r="AQ54" s="384"/>
      <c r="AR54" s="384"/>
      <c r="AS54" s="384"/>
      <c r="AT54" s="384"/>
    </row>
    <row r="55">
      <c r="A55" s="484"/>
      <c r="B55" s="382">
        <v>24.0</v>
      </c>
      <c r="C55" s="346"/>
      <c r="D55" s="383" t="s">
        <v>353</v>
      </c>
      <c r="E55" s="458">
        <v>1.0</v>
      </c>
      <c r="F55" s="459">
        <v>3.0</v>
      </c>
      <c r="G55" s="327">
        <v>3.0</v>
      </c>
      <c r="H55" s="328"/>
      <c r="I55" s="328"/>
      <c r="J55" s="328"/>
      <c r="K55" s="328"/>
      <c r="L55" s="328"/>
      <c r="M55" s="378"/>
      <c r="N55" s="328"/>
      <c r="O55" s="328"/>
      <c r="P55" s="387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435"/>
      <c r="AE55" s="328"/>
      <c r="AF55" s="328"/>
      <c r="AG55" s="328"/>
      <c r="AH55" s="328"/>
      <c r="AI55" s="351"/>
      <c r="AJ55" s="480"/>
      <c r="AK55" s="337"/>
      <c r="AL55" s="337"/>
      <c r="AM55" s="337"/>
      <c r="AN55" s="337"/>
      <c r="AO55" s="384"/>
      <c r="AP55" s="384"/>
      <c r="AQ55" s="384"/>
      <c r="AR55" s="384"/>
      <c r="AS55" s="384"/>
      <c r="AT55" s="384"/>
    </row>
    <row r="56" ht="15.75" customHeight="1">
      <c r="A56" s="485"/>
      <c r="B56" s="486">
        <v>25.0</v>
      </c>
      <c r="C56" s="346"/>
      <c r="D56" s="487" t="s">
        <v>210</v>
      </c>
      <c r="E56" s="458">
        <v>1.0</v>
      </c>
      <c r="F56" s="483">
        <v>8.0</v>
      </c>
      <c r="G56" s="327">
        <v>4.0</v>
      </c>
      <c r="H56" s="328"/>
      <c r="I56" s="328"/>
      <c r="J56" s="328"/>
      <c r="K56" s="328"/>
      <c r="L56" s="372"/>
      <c r="M56" s="378"/>
      <c r="N56" s="328"/>
      <c r="O56" s="328"/>
      <c r="P56" s="328"/>
      <c r="Q56" s="488"/>
      <c r="R56" s="489"/>
      <c r="S56" s="328"/>
      <c r="T56" s="328"/>
      <c r="U56" s="328"/>
      <c r="V56" s="328"/>
      <c r="W56" s="328"/>
      <c r="X56" s="328"/>
      <c r="Y56" s="328"/>
      <c r="Z56" s="328"/>
      <c r="AA56" s="372"/>
      <c r="AB56" s="372"/>
      <c r="AC56" s="372"/>
      <c r="AD56" s="435"/>
      <c r="AE56" s="328"/>
      <c r="AF56" s="328"/>
      <c r="AG56" s="328"/>
      <c r="AH56" s="372"/>
      <c r="AI56" s="351"/>
      <c r="AJ56" s="480"/>
      <c r="AK56" s="360"/>
      <c r="AL56" s="360"/>
      <c r="AM56" s="360"/>
      <c r="AN56" s="360"/>
      <c r="AO56" s="384"/>
      <c r="AP56" s="384"/>
      <c r="AQ56" s="384"/>
      <c r="AR56" s="384"/>
      <c r="AS56" s="384"/>
      <c r="AT56" s="384"/>
    </row>
    <row r="57">
      <c r="A57" s="344"/>
      <c r="B57" s="486">
        <v>26.0</v>
      </c>
      <c r="C57" s="346"/>
      <c r="D57" s="487" t="s">
        <v>248</v>
      </c>
      <c r="E57" s="458">
        <v>1.0</v>
      </c>
      <c r="F57" s="459"/>
      <c r="G57" s="327">
        <v>2.0</v>
      </c>
      <c r="H57" s="328"/>
      <c r="I57" s="328"/>
      <c r="J57" s="328"/>
      <c r="K57" s="328"/>
      <c r="L57" s="372"/>
      <c r="M57" s="378"/>
      <c r="N57" s="328"/>
      <c r="O57" s="479"/>
      <c r="P57" s="372"/>
      <c r="Q57" s="372"/>
      <c r="R57" s="372"/>
      <c r="S57" s="328"/>
      <c r="T57" s="328"/>
      <c r="U57" s="328"/>
      <c r="V57" s="328"/>
      <c r="W57" s="372"/>
      <c r="X57" s="372"/>
      <c r="Y57" s="372"/>
      <c r="Z57" s="372"/>
      <c r="AA57" s="372"/>
      <c r="AB57" s="372"/>
      <c r="AC57" s="372"/>
      <c r="AD57" s="435"/>
      <c r="AE57" s="328"/>
      <c r="AF57" s="328"/>
      <c r="AG57" s="387"/>
      <c r="AH57" s="372"/>
      <c r="AI57" s="351"/>
      <c r="AJ57" s="480"/>
      <c r="AK57" s="360"/>
      <c r="AL57" s="360"/>
      <c r="AM57" s="490"/>
      <c r="AN57" s="360"/>
      <c r="AO57" s="384"/>
      <c r="AP57" s="384"/>
      <c r="AQ57" s="384"/>
      <c r="AR57" s="384"/>
      <c r="AS57" s="384"/>
      <c r="AT57" s="384"/>
    </row>
    <row r="58">
      <c r="A58" s="491"/>
      <c r="B58" s="486">
        <v>27.0</v>
      </c>
      <c r="C58" s="346"/>
      <c r="D58" s="487" t="s">
        <v>191</v>
      </c>
      <c r="E58" s="458">
        <v>1.0</v>
      </c>
      <c r="F58" s="483">
        <v>3.0</v>
      </c>
      <c r="G58" s="327">
        <v>3.0</v>
      </c>
      <c r="H58" s="328"/>
      <c r="I58" s="328"/>
      <c r="J58" s="328"/>
      <c r="K58" s="328"/>
      <c r="L58" s="372"/>
      <c r="M58" s="378"/>
      <c r="N58" s="333"/>
      <c r="O58" s="328"/>
      <c r="P58" s="372"/>
      <c r="Q58" s="372"/>
      <c r="R58" s="372"/>
      <c r="S58" s="328"/>
      <c r="T58" s="328"/>
      <c r="U58" s="328"/>
      <c r="V58" s="328"/>
      <c r="W58" s="372"/>
      <c r="X58" s="372"/>
      <c r="Y58" s="372"/>
      <c r="Z58" s="372"/>
      <c r="AA58" s="372"/>
      <c r="AB58" s="372"/>
      <c r="AC58" s="372"/>
      <c r="AD58" s="435"/>
      <c r="AE58" s="328"/>
      <c r="AF58" s="328"/>
      <c r="AG58" s="328"/>
      <c r="AH58" s="372"/>
      <c r="AI58" s="351"/>
      <c r="AJ58" s="480"/>
      <c r="AK58" s="360"/>
      <c r="AL58" s="360"/>
      <c r="AM58" s="360"/>
      <c r="AN58" s="360"/>
      <c r="AO58" s="337"/>
      <c r="AP58" s="337"/>
      <c r="AQ58" s="337"/>
      <c r="AR58" s="337"/>
      <c r="AS58" s="337"/>
      <c r="AT58" s="337"/>
    </row>
    <row r="59">
      <c r="A59" s="492"/>
      <c r="B59" s="486"/>
      <c r="C59" s="346"/>
      <c r="D59" s="487"/>
      <c r="E59" s="458"/>
      <c r="F59" s="483"/>
      <c r="G59" s="327"/>
      <c r="H59" s="328"/>
      <c r="I59" s="328"/>
      <c r="J59" s="328"/>
      <c r="K59" s="328"/>
      <c r="L59" s="372"/>
      <c r="M59" s="378"/>
      <c r="N59" s="333" t="s">
        <v>367</v>
      </c>
      <c r="O59" s="328"/>
      <c r="P59" s="372"/>
      <c r="Q59" s="372"/>
      <c r="R59" s="372"/>
      <c r="S59" s="328"/>
      <c r="T59" s="328"/>
      <c r="U59" s="328"/>
      <c r="V59" s="328"/>
      <c r="W59" s="372"/>
      <c r="X59" s="372"/>
      <c r="Y59" s="372"/>
      <c r="Z59" s="372"/>
      <c r="AA59" s="372"/>
      <c r="AB59" s="372"/>
      <c r="AC59" s="372"/>
      <c r="AD59" s="435"/>
      <c r="AE59" s="328"/>
      <c r="AF59" s="328"/>
      <c r="AG59" s="328"/>
      <c r="AH59" s="372"/>
      <c r="AI59" s="351"/>
      <c r="AJ59" s="480"/>
      <c r="AK59" s="360"/>
      <c r="AL59" s="360"/>
      <c r="AM59" s="360"/>
      <c r="AN59" s="360"/>
      <c r="AO59" s="337"/>
      <c r="AP59" s="337"/>
      <c r="AQ59" s="337"/>
      <c r="AR59" s="337"/>
      <c r="AS59" s="337"/>
      <c r="AT59" s="337"/>
    </row>
    <row r="60" ht="15.75" customHeight="1">
      <c r="A60" s="47"/>
      <c r="B60" s="493"/>
      <c r="C60" s="346"/>
      <c r="D60" s="184"/>
      <c r="E60" s="494"/>
      <c r="F60" s="175"/>
      <c r="G60" s="495"/>
      <c r="H60" s="328"/>
      <c r="I60" s="328"/>
      <c r="J60" s="328"/>
      <c r="K60" s="328"/>
      <c r="L60" s="372"/>
      <c r="M60" s="496"/>
      <c r="N60" s="497"/>
      <c r="O60" s="387"/>
      <c r="P60" s="460" t="s">
        <v>367</v>
      </c>
      <c r="Q60" s="372"/>
      <c r="R60" s="372"/>
      <c r="S60" s="328"/>
      <c r="T60" s="328"/>
      <c r="U60" s="328"/>
      <c r="V60" s="328"/>
      <c r="W60" s="372"/>
      <c r="X60" s="372"/>
      <c r="Y60" s="372"/>
      <c r="Z60" s="372"/>
      <c r="AA60" s="372"/>
      <c r="AB60" s="372"/>
      <c r="AC60" s="372"/>
      <c r="AD60" s="435"/>
      <c r="AE60" s="328"/>
      <c r="AF60" s="328"/>
      <c r="AG60" s="328"/>
      <c r="AH60" s="372"/>
      <c r="AI60" s="351"/>
      <c r="AJ60" s="480"/>
      <c r="AK60" s="360"/>
      <c r="AL60" s="360"/>
      <c r="AM60" s="360"/>
      <c r="AN60" s="337"/>
      <c r="AO60" s="337"/>
      <c r="AP60" s="337"/>
      <c r="AQ60" s="337"/>
      <c r="AR60" s="337"/>
      <c r="AS60" s="337"/>
      <c r="AT60" s="337"/>
    </row>
    <row r="61" ht="15.75" customHeight="1">
      <c r="A61" s="47"/>
      <c r="B61" s="493"/>
      <c r="C61" s="346"/>
      <c r="D61" s="184"/>
      <c r="E61" s="494"/>
      <c r="F61" s="175"/>
      <c r="G61" s="495"/>
      <c r="H61" s="387"/>
      <c r="I61" s="328"/>
      <c r="J61" s="328"/>
      <c r="K61" s="328"/>
      <c r="L61" s="372"/>
      <c r="M61" s="498"/>
      <c r="N61" s="499"/>
      <c r="O61" s="328"/>
      <c r="P61" s="460" t="s">
        <v>367</v>
      </c>
      <c r="Q61" s="372"/>
      <c r="R61" s="372"/>
      <c r="S61" s="328"/>
      <c r="T61" s="328"/>
      <c r="U61" s="328"/>
      <c r="V61" s="328"/>
      <c r="W61" s="372"/>
      <c r="X61" s="372"/>
      <c r="Y61" s="372"/>
      <c r="Z61" s="372"/>
      <c r="AA61" s="372"/>
      <c r="AB61" s="372"/>
      <c r="AC61" s="427"/>
      <c r="AD61" s="435"/>
      <c r="AE61" s="328"/>
      <c r="AF61" s="328"/>
      <c r="AG61" s="328"/>
      <c r="AH61" s="372"/>
      <c r="AI61" s="351"/>
      <c r="AJ61" s="480"/>
      <c r="AK61" s="360"/>
      <c r="AL61" s="360"/>
      <c r="AM61" s="360"/>
      <c r="AN61" s="337"/>
      <c r="AO61" s="337"/>
      <c r="AP61" s="337"/>
      <c r="AQ61" s="337"/>
      <c r="AR61" s="337"/>
      <c r="AS61" s="337"/>
      <c r="AT61" s="337"/>
    </row>
    <row r="62" ht="15.75" customHeight="1">
      <c r="A62" s="47"/>
      <c r="B62" s="493"/>
      <c r="C62" s="346"/>
      <c r="D62" s="184"/>
      <c r="E62" s="500"/>
      <c r="F62" s="175"/>
      <c r="G62" s="495"/>
      <c r="H62" s="387"/>
      <c r="I62" s="328"/>
      <c r="J62" s="328"/>
      <c r="K62" s="328"/>
      <c r="L62" s="372"/>
      <c r="M62" s="498"/>
      <c r="N62" s="499"/>
      <c r="O62" s="328"/>
      <c r="P62" s="460"/>
      <c r="Q62" s="372"/>
      <c r="R62" s="372"/>
      <c r="S62" s="328"/>
      <c r="T62" s="328"/>
      <c r="U62" s="328"/>
      <c r="V62" s="328"/>
      <c r="W62" s="372"/>
      <c r="X62" s="372"/>
      <c r="Y62" s="372"/>
      <c r="Z62" s="372"/>
      <c r="AA62" s="372"/>
      <c r="AB62" s="372"/>
      <c r="AC62" s="427"/>
      <c r="AD62" s="435"/>
      <c r="AE62" s="328"/>
      <c r="AF62" s="328"/>
      <c r="AG62" s="328"/>
      <c r="AH62" s="372"/>
      <c r="AI62" s="351"/>
      <c r="AJ62" s="480"/>
      <c r="AK62" s="360"/>
      <c r="AL62" s="360"/>
      <c r="AM62" s="360"/>
      <c r="AN62" s="337"/>
      <c r="AO62" s="337"/>
      <c r="AP62" s="337"/>
      <c r="AQ62" s="337"/>
      <c r="AR62" s="337"/>
      <c r="AS62" s="337"/>
      <c r="AT62" s="337"/>
    </row>
    <row r="63" ht="15.75" customHeight="1">
      <c r="A63" s="1"/>
      <c r="B63" s="501"/>
      <c r="C63" s="346"/>
      <c r="D63" s="204"/>
      <c r="E63" s="500"/>
      <c r="F63" s="175"/>
      <c r="G63" s="495"/>
      <c r="H63" s="328"/>
      <c r="I63" s="328"/>
      <c r="J63" s="328"/>
      <c r="K63" s="328"/>
      <c r="L63" s="372"/>
      <c r="M63" s="502"/>
      <c r="N63" s="497"/>
      <c r="O63" s="328"/>
      <c r="P63" s="372"/>
      <c r="Q63" s="372"/>
      <c r="R63" s="372"/>
      <c r="S63" s="328"/>
      <c r="T63" s="328"/>
      <c r="U63" s="328"/>
      <c r="V63" s="328"/>
      <c r="W63" s="372"/>
      <c r="X63" s="372"/>
      <c r="Y63" s="372"/>
      <c r="Z63" s="360"/>
      <c r="AA63" s="372"/>
      <c r="AB63" s="372"/>
      <c r="AC63" s="372"/>
      <c r="AD63" s="435"/>
      <c r="AE63" s="328"/>
      <c r="AF63" s="328"/>
      <c r="AG63" s="328"/>
      <c r="AH63" s="372"/>
      <c r="AI63" s="351"/>
      <c r="AJ63" s="480"/>
      <c r="AK63" s="360"/>
      <c r="AL63" s="360"/>
      <c r="AM63" s="360"/>
      <c r="AN63" s="337"/>
      <c r="AO63" s="337"/>
      <c r="AP63" s="337"/>
      <c r="AQ63" s="337"/>
      <c r="AR63" s="337"/>
      <c r="AS63" s="337"/>
      <c r="AT63" s="337"/>
    </row>
    <row r="64" ht="15.75" customHeight="1">
      <c r="A64" s="1"/>
      <c r="B64" s="501"/>
      <c r="C64" s="346"/>
      <c r="D64" s="454"/>
      <c r="E64" s="500"/>
      <c r="F64" s="175"/>
      <c r="G64" s="495"/>
      <c r="H64" s="328"/>
      <c r="I64" s="328"/>
      <c r="J64" s="328"/>
      <c r="K64" s="328"/>
      <c r="L64" s="372"/>
      <c r="M64" s="378"/>
      <c r="N64" s="328"/>
      <c r="O64" s="328"/>
      <c r="P64" s="372"/>
      <c r="Q64" s="372"/>
      <c r="R64" s="360"/>
      <c r="S64" s="328"/>
      <c r="T64" s="328"/>
      <c r="U64" s="328"/>
      <c r="V64" s="328"/>
      <c r="W64" s="372"/>
      <c r="X64" s="372"/>
      <c r="Y64" s="372"/>
      <c r="Z64" s="372"/>
      <c r="AA64" s="372"/>
      <c r="AB64" s="372"/>
      <c r="AC64" s="372"/>
      <c r="AD64" s="435"/>
      <c r="AE64" s="328"/>
      <c r="AF64" s="328"/>
      <c r="AG64" s="328"/>
      <c r="AH64" s="372"/>
      <c r="AI64" s="351"/>
      <c r="AJ64" s="480"/>
      <c r="AK64" s="360"/>
      <c r="AL64" s="360"/>
      <c r="AM64" s="360"/>
      <c r="AN64" s="337"/>
      <c r="AO64" s="337"/>
      <c r="AP64" s="337"/>
      <c r="AQ64" s="337"/>
      <c r="AR64" s="337"/>
      <c r="AS64" s="337"/>
      <c r="AT64" s="337"/>
    </row>
    <row r="65" ht="15.75" customHeight="1">
      <c r="A65" s="1"/>
      <c r="B65" s="501"/>
      <c r="C65" s="346"/>
      <c r="D65" s="454"/>
      <c r="E65" s="426"/>
      <c r="F65" s="175"/>
      <c r="G65" s="495"/>
      <c r="H65" s="328"/>
      <c r="I65" s="328"/>
      <c r="J65" s="328"/>
      <c r="K65" s="328"/>
      <c r="L65" s="372"/>
      <c r="M65" s="378"/>
      <c r="N65" s="328"/>
      <c r="O65" s="328"/>
      <c r="P65" s="372"/>
      <c r="Q65" s="372"/>
      <c r="R65" s="360"/>
      <c r="S65" s="328"/>
      <c r="T65" s="328"/>
      <c r="U65" s="328"/>
      <c r="V65" s="328"/>
      <c r="W65" s="372"/>
      <c r="X65" s="372"/>
      <c r="Y65" s="372"/>
      <c r="Z65" s="372"/>
      <c r="AA65" s="372"/>
      <c r="AB65" s="372"/>
      <c r="AC65" s="372"/>
      <c r="AD65" s="435"/>
      <c r="AE65" s="328"/>
      <c r="AF65" s="328"/>
      <c r="AG65" s="328"/>
      <c r="AH65" s="372"/>
      <c r="AI65" s="351"/>
      <c r="AJ65" s="480"/>
      <c r="AK65" s="360"/>
      <c r="AL65" s="360"/>
      <c r="AM65" s="360"/>
      <c r="AN65" s="337"/>
      <c r="AO65" s="337"/>
      <c r="AP65" s="337"/>
      <c r="AQ65" s="337"/>
      <c r="AR65" s="337"/>
      <c r="AS65" s="337"/>
      <c r="AT65" s="337"/>
    </row>
    <row r="66" ht="15.75" customHeight="1">
      <c r="A66" s="1"/>
      <c r="B66" s="501"/>
      <c r="C66" s="346"/>
      <c r="D66" s="454"/>
      <c r="E66" s="426"/>
      <c r="F66" s="175"/>
      <c r="G66" s="495"/>
      <c r="H66" s="328"/>
      <c r="I66" s="328"/>
      <c r="J66" s="328"/>
      <c r="K66" s="328"/>
      <c r="L66" s="372"/>
      <c r="M66" s="378"/>
      <c r="N66" s="328"/>
      <c r="O66" s="328"/>
      <c r="P66" s="372"/>
      <c r="Q66" s="372"/>
      <c r="R66" s="427"/>
      <c r="S66" s="328"/>
      <c r="T66" s="328"/>
      <c r="U66" s="328"/>
      <c r="V66" s="328"/>
      <c r="W66" s="372"/>
      <c r="X66" s="372"/>
      <c r="Y66" s="372"/>
      <c r="Z66" s="372"/>
      <c r="AA66" s="372"/>
      <c r="AB66" s="387"/>
      <c r="AC66" s="372"/>
      <c r="AD66" s="435"/>
      <c r="AE66" s="328"/>
      <c r="AF66" s="328"/>
      <c r="AG66" s="328"/>
      <c r="AH66" s="372"/>
      <c r="AI66" s="351"/>
      <c r="AJ66" s="480"/>
      <c r="AK66" s="360"/>
      <c r="AL66" s="360"/>
      <c r="AM66" s="360"/>
      <c r="AN66" s="337"/>
      <c r="AO66" s="337"/>
      <c r="AP66" s="337"/>
      <c r="AQ66" s="337"/>
      <c r="AR66" s="337"/>
      <c r="AS66" s="337"/>
      <c r="AT66" s="337"/>
    </row>
    <row r="67" ht="15.75" customHeight="1">
      <c r="A67" s="1"/>
      <c r="B67" s="501"/>
      <c r="C67" s="346"/>
      <c r="D67" s="503"/>
      <c r="E67" s="426"/>
      <c r="F67" s="175"/>
      <c r="G67" s="495"/>
      <c r="H67" s="328"/>
      <c r="I67" s="328"/>
      <c r="J67" s="328"/>
      <c r="K67" s="328"/>
      <c r="L67" s="372"/>
      <c r="M67" s="378"/>
      <c r="N67" s="328"/>
      <c r="O67" s="328"/>
      <c r="P67" s="372"/>
      <c r="Q67" s="372"/>
      <c r="R67" s="427"/>
      <c r="S67" s="328"/>
      <c r="T67" s="328"/>
      <c r="U67" s="328"/>
      <c r="V67" s="328"/>
      <c r="W67" s="372"/>
      <c r="X67" s="372"/>
      <c r="Y67" s="372"/>
      <c r="Z67" s="372"/>
      <c r="AA67" s="372"/>
      <c r="AB67" s="387"/>
      <c r="AC67" s="372"/>
      <c r="AD67" s="435"/>
      <c r="AE67" s="328"/>
      <c r="AF67" s="328"/>
      <c r="AG67" s="328"/>
      <c r="AH67" s="372"/>
      <c r="AI67" s="351"/>
      <c r="AJ67" s="480"/>
      <c r="AK67" s="360"/>
      <c r="AL67" s="360"/>
      <c r="AM67" s="360"/>
      <c r="AN67" s="337"/>
      <c r="AO67" s="337"/>
      <c r="AP67" s="337"/>
      <c r="AQ67" s="337"/>
      <c r="AR67" s="337"/>
      <c r="AS67" s="337"/>
      <c r="AT67" s="337"/>
    </row>
    <row r="68" ht="15.75" customHeight="1">
      <c r="A68" s="1"/>
      <c r="B68" s="501"/>
      <c r="C68" s="346"/>
      <c r="D68" s="504"/>
      <c r="E68" s="426"/>
      <c r="F68" s="175"/>
      <c r="G68" s="495"/>
      <c r="H68" s="328"/>
      <c r="I68" s="328"/>
      <c r="J68" s="328"/>
      <c r="K68" s="328"/>
      <c r="L68" s="372"/>
      <c r="M68" s="378"/>
      <c r="N68" s="328"/>
      <c r="O68" s="387"/>
      <c r="P68" s="372"/>
      <c r="Q68" s="372"/>
      <c r="R68" s="427"/>
      <c r="S68" s="328"/>
      <c r="T68" s="328"/>
      <c r="U68" s="328"/>
      <c r="V68" s="328"/>
      <c r="W68" s="372"/>
      <c r="X68" s="372"/>
      <c r="Y68" s="372"/>
      <c r="Z68" s="372"/>
      <c r="AA68" s="372"/>
      <c r="AB68" s="387"/>
      <c r="AC68" s="372"/>
      <c r="AD68" s="435"/>
      <c r="AE68" s="328"/>
      <c r="AF68" s="328"/>
      <c r="AG68" s="328"/>
      <c r="AH68" s="372"/>
      <c r="AI68" s="351"/>
      <c r="AJ68" s="480"/>
      <c r="AK68" s="360"/>
      <c r="AL68" s="360"/>
      <c r="AM68" s="360"/>
      <c r="AN68" s="337"/>
      <c r="AO68" s="337"/>
      <c r="AP68" s="337"/>
      <c r="AQ68" s="337"/>
      <c r="AR68" s="337"/>
      <c r="AS68" s="337"/>
      <c r="AT68" s="337"/>
    </row>
    <row r="69" ht="15.75" customHeight="1">
      <c r="A69" s="505"/>
      <c r="B69" s="506" t="s">
        <v>346</v>
      </c>
      <c r="C69" s="395"/>
      <c r="D69" s="482"/>
      <c r="E69" s="397">
        <f>SUM(E32:E68)</f>
        <v>33</v>
      </c>
      <c r="F69" s="507"/>
      <c r="G69" s="508"/>
      <c r="H69" s="509"/>
      <c r="I69" s="509"/>
      <c r="J69" s="509"/>
      <c r="K69" s="509"/>
      <c r="L69" s="509"/>
      <c r="M69" s="509"/>
      <c r="N69" s="509"/>
      <c r="O69" s="509"/>
      <c r="P69" s="509"/>
      <c r="Q69" s="510"/>
      <c r="R69" s="179"/>
      <c r="S69" s="509"/>
      <c r="T69" s="509"/>
      <c r="U69" s="509"/>
      <c r="V69" s="509"/>
      <c r="W69" s="509"/>
      <c r="X69" s="509"/>
      <c r="Y69" s="509"/>
      <c r="Z69" s="509"/>
      <c r="AA69" s="509"/>
      <c r="AB69" s="509"/>
      <c r="AC69" s="509"/>
      <c r="AD69" s="511"/>
      <c r="AE69" s="509"/>
      <c r="AF69" s="509"/>
      <c r="AG69" s="509"/>
      <c r="AH69" s="509"/>
      <c r="AI69" s="512"/>
      <c r="AJ69" s="513"/>
      <c r="AK69" s="512"/>
      <c r="AL69" s="512"/>
      <c r="AM69" s="514"/>
      <c r="AN69" s="512"/>
      <c r="AO69" s="512"/>
      <c r="AP69" s="512"/>
      <c r="AQ69" s="512"/>
      <c r="AR69" s="512"/>
      <c r="AS69" s="512"/>
      <c r="AT69" s="512"/>
    </row>
  </sheetData>
  <mergeCells count="83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67:C67"/>
    <mergeCell ref="B68:C68"/>
    <mergeCell ref="B69:C69"/>
    <mergeCell ref="B55:C55"/>
    <mergeCell ref="B56:C56"/>
    <mergeCell ref="B57:C57"/>
    <mergeCell ref="B58:C58"/>
    <mergeCell ref="B59:C59"/>
    <mergeCell ref="B60:C60"/>
    <mergeCell ref="B61:C61"/>
    <mergeCell ref="X51:Y51"/>
    <mergeCell ref="X52:Y52"/>
    <mergeCell ref="X42:AA44"/>
    <mergeCell ref="X45:Y45"/>
    <mergeCell ref="X46:Y46"/>
    <mergeCell ref="X47:Y47"/>
    <mergeCell ref="X48:Y48"/>
    <mergeCell ref="X49:Y49"/>
    <mergeCell ref="X50:Y50"/>
    <mergeCell ref="B1:W1"/>
    <mergeCell ref="B2:K2"/>
    <mergeCell ref="M2:V2"/>
    <mergeCell ref="X2:AG2"/>
    <mergeCell ref="AI2:AR2"/>
    <mergeCell ref="F29:AB29"/>
    <mergeCell ref="AI30:AR31"/>
    <mergeCell ref="F30:AB30"/>
    <mergeCell ref="B31:E31"/>
    <mergeCell ref="M31:N31"/>
    <mergeCell ref="X31:Y31"/>
    <mergeCell ref="B32:C32"/>
    <mergeCell ref="X32:Y32"/>
    <mergeCell ref="X33:Y33"/>
    <mergeCell ref="M32:N32"/>
    <mergeCell ref="M33:N33"/>
    <mergeCell ref="M34:N34"/>
    <mergeCell ref="M35:N35"/>
    <mergeCell ref="M36:N36"/>
    <mergeCell ref="M37:N37"/>
    <mergeCell ref="M38:N38"/>
    <mergeCell ref="B33:C33"/>
    <mergeCell ref="B34:C34"/>
    <mergeCell ref="B35:C35"/>
    <mergeCell ref="B36:C36"/>
    <mergeCell ref="B37:C37"/>
    <mergeCell ref="B38:C38"/>
    <mergeCell ref="B39:C39"/>
    <mergeCell ref="X34:Y34"/>
    <mergeCell ref="X35:Y35"/>
    <mergeCell ref="X36:Y36"/>
    <mergeCell ref="X37:Y37"/>
    <mergeCell ref="X38:Y38"/>
    <mergeCell ref="AB42:AB43"/>
    <mergeCell ref="AC42:AC43"/>
    <mergeCell ref="M51:O52"/>
    <mergeCell ref="P51:P52"/>
    <mergeCell ref="B52:C52"/>
    <mergeCell ref="M39:N39"/>
    <mergeCell ref="M40:N40"/>
    <mergeCell ref="M41:N41"/>
    <mergeCell ref="M42:N42"/>
    <mergeCell ref="M43:N43"/>
    <mergeCell ref="M44:N44"/>
    <mergeCell ref="M45:N45"/>
  </mergeCells>
  <conditionalFormatting sqref="H32 I32:I34 J32:L32 S32:W32 H34 L34 N46:N50 N53">
    <cfRule type="notContainsBlanks" dxfId="0" priority="1">
      <formula>LEN(TRIM(H32))&gt;0</formula>
    </cfRule>
  </conditionalFormatting>
  <hyperlinks>
    <hyperlink r:id="rId4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6.57"/>
    <col customWidth="1" min="3" max="6" width="14.43"/>
    <col customWidth="1" min="7" max="7" width="11.14"/>
    <col customWidth="1" min="8" max="8" width="7.29"/>
    <col customWidth="1" min="9" max="9" width="4.43"/>
    <col customWidth="1" min="10" max="10" width="20.0"/>
    <col customWidth="1" min="11" max="15" width="14.43"/>
  </cols>
  <sheetData>
    <row r="1">
      <c r="A1" s="294"/>
      <c r="B1" s="515" t="s">
        <v>386</v>
      </c>
    </row>
    <row r="2">
      <c r="A2" s="294"/>
      <c r="B2" s="516" t="s">
        <v>387</v>
      </c>
    </row>
    <row r="3">
      <c r="A3" s="294"/>
    </row>
    <row r="4">
      <c r="A4" s="294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</row>
    <row r="5" ht="15.75" customHeight="1">
      <c r="A5" s="517"/>
      <c r="B5" s="518">
        <v>46175.0</v>
      </c>
      <c r="C5" s="519"/>
      <c r="D5" s="519"/>
      <c r="E5" s="519"/>
      <c r="F5" s="519"/>
      <c r="G5" s="346"/>
      <c r="H5" s="282"/>
      <c r="I5" s="281"/>
      <c r="J5" s="520"/>
      <c r="K5" s="521"/>
      <c r="L5" s="522"/>
      <c r="M5" s="522"/>
      <c r="N5" s="522"/>
      <c r="O5" s="520"/>
    </row>
    <row r="6" ht="15.75" customHeight="1">
      <c r="A6" s="523"/>
      <c r="B6" s="524" t="s">
        <v>388</v>
      </c>
      <c r="C6" s="519"/>
      <c r="D6" s="519"/>
      <c r="E6" s="519"/>
      <c r="F6" s="519"/>
      <c r="G6" s="346"/>
      <c r="H6" s="282"/>
      <c r="I6" s="525"/>
      <c r="J6" s="526" t="s">
        <v>389</v>
      </c>
      <c r="K6" s="519"/>
      <c r="L6" s="519"/>
      <c r="M6" s="519"/>
      <c r="N6" s="519"/>
      <c r="O6" s="346"/>
    </row>
    <row r="7" ht="15.75" customHeight="1">
      <c r="A7" s="517"/>
      <c r="B7" s="527" t="s">
        <v>390</v>
      </c>
      <c r="C7" s="528" t="s">
        <v>391</v>
      </c>
      <c r="D7" s="527" t="s">
        <v>392</v>
      </c>
      <c r="E7" s="527" t="s">
        <v>393</v>
      </c>
      <c r="F7" s="527" t="s">
        <v>394</v>
      </c>
      <c r="G7" s="529" t="s">
        <v>395</v>
      </c>
      <c r="H7" s="282"/>
      <c r="I7" s="281"/>
      <c r="J7" s="530" t="s">
        <v>390</v>
      </c>
      <c r="K7" s="531" t="s">
        <v>391</v>
      </c>
      <c r="L7" s="532" t="s">
        <v>392</v>
      </c>
      <c r="M7" s="532" t="s">
        <v>393</v>
      </c>
      <c r="N7" s="532" t="s">
        <v>394</v>
      </c>
      <c r="O7" s="532" t="s">
        <v>395</v>
      </c>
    </row>
    <row r="8" ht="15.75" customHeight="1">
      <c r="A8" s="533">
        <v>1.0</v>
      </c>
      <c r="B8" s="534" t="s">
        <v>366</v>
      </c>
      <c r="C8" s="535">
        <v>100.0</v>
      </c>
      <c r="D8" s="536">
        <v>0.0</v>
      </c>
      <c r="E8" s="536">
        <v>0.0</v>
      </c>
      <c r="F8" s="536">
        <v>1.0</v>
      </c>
      <c r="G8" s="537">
        <v>1.0</v>
      </c>
      <c r="H8" s="282"/>
      <c r="I8" s="538" t="s">
        <v>15</v>
      </c>
      <c r="J8" s="534" t="s">
        <v>18</v>
      </c>
      <c r="K8" s="535">
        <v>100.0</v>
      </c>
      <c r="L8" s="536">
        <v>0.0</v>
      </c>
      <c r="M8" s="536">
        <v>0.0</v>
      </c>
      <c r="N8" s="539">
        <v>1.0</v>
      </c>
      <c r="O8" s="537">
        <v>1.0</v>
      </c>
    </row>
    <row r="9" ht="15.75" customHeight="1">
      <c r="A9" s="533">
        <v>2.0</v>
      </c>
      <c r="B9" s="540" t="s">
        <v>222</v>
      </c>
      <c r="C9" s="541">
        <v>89.29</v>
      </c>
      <c r="D9" s="542">
        <v>0.0</v>
      </c>
      <c r="E9" s="542">
        <v>0.1071</v>
      </c>
      <c r="F9" s="542">
        <v>0.8929</v>
      </c>
      <c r="G9" s="543">
        <v>2.0</v>
      </c>
      <c r="H9" s="282"/>
      <c r="I9" s="538" t="s">
        <v>34</v>
      </c>
      <c r="J9" s="540" t="s">
        <v>351</v>
      </c>
      <c r="K9" s="544">
        <v>100.0</v>
      </c>
      <c r="L9" s="545">
        <v>0.0</v>
      </c>
      <c r="M9" s="545">
        <v>0.0</v>
      </c>
      <c r="N9" s="546">
        <v>1.0</v>
      </c>
      <c r="O9" s="547">
        <v>1.0</v>
      </c>
    </row>
    <row r="10" ht="15.75" customHeight="1">
      <c r="A10" s="533">
        <v>3.0</v>
      </c>
      <c r="B10" s="540" t="s">
        <v>205</v>
      </c>
      <c r="C10" s="535">
        <v>87.27</v>
      </c>
      <c r="D10" s="536">
        <v>0.0182</v>
      </c>
      <c r="E10" s="536">
        <v>0.0909</v>
      </c>
      <c r="F10" s="536">
        <v>0.8909</v>
      </c>
      <c r="G10" s="537">
        <v>3.0</v>
      </c>
      <c r="H10" s="293"/>
      <c r="I10" s="538" t="s">
        <v>50</v>
      </c>
      <c r="J10" s="540" t="s">
        <v>43</v>
      </c>
      <c r="K10" s="535">
        <v>86.67</v>
      </c>
      <c r="L10" s="536">
        <v>0.0</v>
      </c>
      <c r="M10" s="536">
        <v>0.1333</v>
      </c>
      <c r="N10" s="539">
        <v>0.8667</v>
      </c>
      <c r="O10" s="537">
        <v>3.0</v>
      </c>
    </row>
    <row r="11" ht="15.75" customHeight="1">
      <c r="A11" s="533">
        <v>4.0</v>
      </c>
      <c r="B11" s="540" t="s">
        <v>160</v>
      </c>
      <c r="C11" s="541">
        <v>84.62</v>
      </c>
      <c r="D11" s="542">
        <v>0.0</v>
      </c>
      <c r="E11" s="542">
        <v>0.1538</v>
      </c>
      <c r="F11" s="542">
        <v>0.8462</v>
      </c>
      <c r="G11" s="543">
        <v>4.0</v>
      </c>
      <c r="H11" s="293"/>
      <c r="I11" s="538" t="s">
        <v>31</v>
      </c>
      <c r="J11" s="548" t="s">
        <v>336</v>
      </c>
      <c r="K11" s="544">
        <v>83.33</v>
      </c>
      <c r="L11" s="545">
        <v>0.0</v>
      </c>
      <c r="M11" s="545">
        <v>0.1667</v>
      </c>
      <c r="N11" s="546">
        <v>0.8333</v>
      </c>
      <c r="O11" s="547">
        <v>4.0</v>
      </c>
    </row>
    <row r="12" ht="15.75" customHeight="1">
      <c r="A12" s="533">
        <v>5.0</v>
      </c>
      <c r="B12" s="540" t="s">
        <v>121</v>
      </c>
      <c r="C12" s="535">
        <v>84.62</v>
      </c>
      <c r="D12" s="536">
        <v>0.0</v>
      </c>
      <c r="E12" s="536">
        <v>0.1538</v>
      </c>
      <c r="F12" s="536">
        <v>0.8462</v>
      </c>
      <c r="G12" s="537">
        <v>4.0</v>
      </c>
      <c r="H12" s="293"/>
      <c r="I12" s="538" t="s">
        <v>57</v>
      </c>
      <c r="J12" s="548" t="s">
        <v>327</v>
      </c>
      <c r="K12" s="535">
        <v>80.0</v>
      </c>
      <c r="L12" s="536">
        <v>0.0</v>
      </c>
      <c r="M12" s="536">
        <v>0.2</v>
      </c>
      <c r="N12" s="539">
        <v>0.8</v>
      </c>
      <c r="O12" s="549">
        <v>5.0</v>
      </c>
    </row>
    <row r="13" ht="15.75" customHeight="1">
      <c r="A13" s="533">
        <v>6.0</v>
      </c>
      <c r="B13" s="548" t="s">
        <v>99</v>
      </c>
      <c r="C13" s="541">
        <v>84.21</v>
      </c>
      <c r="D13" s="542">
        <v>0.0263</v>
      </c>
      <c r="E13" s="542">
        <v>0.1053</v>
      </c>
      <c r="F13" s="542">
        <v>0.8684</v>
      </c>
      <c r="G13" s="543">
        <v>6.0</v>
      </c>
      <c r="H13" s="293"/>
      <c r="I13" s="538" t="s">
        <v>83</v>
      </c>
      <c r="J13" s="548" t="s">
        <v>37</v>
      </c>
      <c r="K13" s="550">
        <v>80.0</v>
      </c>
      <c r="L13" s="551">
        <v>0.0</v>
      </c>
      <c r="M13" s="551">
        <v>0.2</v>
      </c>
      <c r="N13" s="552">
        <v>0.8</v>
      </c>
      <c r="O13" s="553">
        <v>5.0</v>
      </c>
    </row>
    <row r="14" ht="15.75" customHeight="1">
      <c r="A14" s="533">
        <v>7.0</v>
      </c>
      <c r="B14" s="548" t="s">
        <v>370</v>
      </c>
      <c r="C14" s="535">
        <v>83.33</v>
      </c>
      <c r="D14" s="536">
        <v>0.0</v>
      </c>
      <c r="E14" s="536">
        <v>0.1667</v>
      </c>
      <c r="F14" s="536">
        <v>0.8333</v>
      </c>
      <c r="G14" s="537">
        <v>7.0</v>
      </c>
      <c r="H14" s="293"/>
      <c r="I14" s="538" t="s">
        <v>90</v>
      </c>
      <c r="J14" s="554" t="s">
        <v>27</v>
      </c>
      <c r="K14" s="535">
        <v>75.0</v>
      </c>
      <c r="L14" s="536">
        <v>0.125</v>
      </c>
      <c r="M14" s="536">
        <v>0.0</v>
      </c>
      <c r="N14" s="539">
        <v>0.875</v>
      </c>
      <c r="O14" s="537">
        <v>7.0</v>
      </c>
    </row>
    <row r="15" ht="15.75" customHeight="1">
      <c r="A15" s="533">
        <v>8.0</v>
      </c>
      <c r="B15" s="548" t="s">
        <v>178</v>
      </c>
      <c r="C15" s="541">
        <v>82.86</v>
      </c>
      <c r="D15" s="542">
        <v>0.0286</v>
      </c>
      <c r="E15" s="542">
        <v>0.1143</v>
      </c>
      <c r="F15" s="542">
        <v>0.8571</v>
      </c>
      <c r="G15" s="543">
        <v>8.0</v>
      </c>
      <c r="H15" s="293"/>
      <c r="I15" s="555" t="s">
        <v>68</v>
      </c>
      <c r="J15" s="556" t="s">
        <v>53</v>
      </c>
      <c r="K15" s="557">
        <v>58.33</v>
      </c>
      <c r="L15" s="558">
        <v>0.0833</v>
      </c>
      <c r="M15" s="558">
        <v>0.25</v>
      </c>
      <c r="N15" s="558">
        <v>0.6667</v>
      </c>
      <c r="O15" s="559">
        <v>8.0</v>
      </c>
    </row>
    <row r="16" ht="15.75" customHeight="1">
      <c r="A16" s="533">
        <v>9.0</v>
      </c>
      <c r="B16" s="548" t="s">
        <v>147</v>
      </c>
      <c r="C16" s="535">
        <v>78.79</v>
      </c>
      <c r="D16" s="536">
        <v>0.0606</v>
      </c>
      <c r="E16" s="536">
        <v>0.0909</v>
      </c>
      <c r="F16" s="536">
        <v>0.8485</v>
      </c>
      <c r="G16" s="537">
        <v>9.0</v>
      </c>
      <c r="H16" s="293"/>
      <c r="I16" s="555" t="s">
        <v>118</v>
      </c>
      <c r="J16" s="554" t="s">
        <v>358</v>
      </c>
      <c r="K16" s="560">
        <v>0.0</v>
      </c>
      <c r="L16" s="561"/>
      <c r="M16" s="561"/>
      <c r="N16" s="561"/>
      <c r="O16" s="562">
        <v>9.0</v>
      </c>
    </row>
    <row r="17" ht="15.75" customHeight="1">
      <c r="A17" s="533">
        <v>10.0</v>
      </c>
      <c r="B17" s="548" t="s">
        <v>126</v>
      </c>
      <c r="C17" s="541">
        <v>76.19</v>
      </c>
      <c r="D17" s="542">
        <v>0.0952</v>
      </c>
      <c r="E17" s="542">
        <v>0.0476</v>
      </c>
      <c r="F17" s="542">
        <v>0.8571</v>
      </c>
      <c r="G17" s="543">
        <v>10.0</v>
      </c>
      <c r="H17" s="293"/>
      <c r="I17" s="281"/>
      <c r="J17" s="563" t="s">
        <v>396</v>
      </c>
      <c r="K17" s="519"/>
      <c r="L17" s="519"/>
      <c r="M17" s="519"/>
      <c r="N17" s="519"/>
      <c r="O17" s="346"/>
    </row>
    <row r="18" ht="15.75" customHeight="1">
      <c r="A18" s="533">
        <v>11.0</v>
      </c>
      <c r="B18" s="548" t="s">
        <v>248</v>
      </c>
      <c r="C18" s="535">
        <v>75.0</v>
      </c>
      <c r="D18" s="536">
        <v>0.1</v>
      </c>
      <c r="E18" s="536">
        <v>0.05</v>
      </c>
      <c r="F18" s="536">
        <v>0.85</v>
      </c>
      <c r="G18" s="537">
        <v>11.0</v>
      </c>
      <c r="H18" s="293"/>
      <c r="I18" s="281"/>
      <c r="J18" s="564" t="s">
        <v>390</v>
      </c>
      <c r="K18" s="565" t="s">
        <v>391</v>
      </c>
      <c r="L18" s="566" t="s">
        <v>392</v>
      </c>
      <c r="M18" s="566" t="s">
        <v>393</v>
      </c>
      <c r="N18" s="566" t="s">
        <v>394</v>
      </c>
      <c r="O18" s="566" t="s">
        <v>395</v>
      </c>
    </row>
    <row r="19" ht="15.75" customHeight="1">
      <c r="A19" s="533">
        <v>12.0</v>
      </c>
      <c r="B19" s="548" t="s">
        <v>380</v>
      </c>
      <c r="C19" s="541">
        <v>75.0</v>
      </c>
      <c r="D19" s="542">
        <v>0.125</v>
      </c>
      <c r="E19" s="542">
        <v>0.0</v>
      </c>
      <c r="F19" s="542">
        <v>0.875</v>
      </c>
      <c r="G19" s="543">
        <v>11.0</v>
      </c>
      <c r="H19" s="293"/>
      <c r="I19" s="538" t="s">
        <v>15</v>
      </c>
      <c r="J19" s="534" t="s">
        <v>300</v>
      </c>
      <c r="K19" s="567">
        <v>100.0</v>
      </c>
      <c r="L19" s="568">
        <v>0.0</v>
      </c>
      <c r="M19" s="568">
        <v>0.0</v>
      </c>
      <c r="N19" s="568">
        <v>1.0</v>
      </c>
      <c r="O19" s="569">
        <v>1.0</v>
      </c>
    </row>
    <row r="20" ht="15.75" customHeight="1">
      <c r="A20" s="533">
        <v>13.0</v>
      </c>
      <c r="B20" s="548" t="s">
        <v>173</v>
      </c>
      <c r="C20" s="535">
        <v>73.91</v>
      </c>
      <c r="D20" s="536">
        <v>0.0435</v>
      </c>
      <c r="E20" s="536">
        <v>0.1739</v>
      </c>
      <c r="F20" s="536">
        <v>0.7826</v>
      </c>
      <c r="G20" s="537">
        <v>13.0</v>
      </c>
      <c r="H20" s="293"/>
      <c r="I20" s="538" t="s">
        <v>34</v>
      </c>
      <c r="J20" s="540" t="s">
        <v>314</v>
      </c>
      <c r="K20" s="570">
        <v>100.0</v>
      </c>
      <c r="L20" s="571">
        <v>0.0</v>
      </c>
      <c r="M20" s="571">
        <v>0.0</v>
      </c>
      <c r="N20" s="571">
        <v>1.0</v>
      </c>
      <c r="O20" s="572">
        <v>1.0</v>
      </c>
    </row>
    <row r="21" ht="15.75" customHeight="1">
      <c r="A21" s="533">
        <v>14.0</v>
      </c>
      <c r="B21" s="548" t="s">
        <v>333</v>
      </c>
      <c r="C21" s="541">
        <v>71.05</v>
      </c>
      <c r="D21" s="542">
        <v>0.1053</v>
      </c>
      <c r="E21" s="542">
        <v>0.0789</v>
      </c>
      <c r="F21" s="542">
        <v>0.8158</v>
      </c>
      <c r="G21" s="543">
        <v>14.0</v>
      </c>
      <c r="H21" s="282"/>
      <c r="I21" s="538" t="s">
        <v>50</v>
      </c>
      <c r="J21" s="548" t="s">
        <v>397</v>
      </c>
      <c r="K21" s="573">
        <v>100.0</v>
      </c>
      <c r="L21" s="574">
        <v>0.0</v>
      </c>
      <c r="M21" s="574">
        <v>0.0</v>
      </c>
      <c r="N21" s="574">
        <v>1.0</v>
      </c>
      <c r="O21" s="575">
        <v>1.0</v>
      </c>
    </row>
    <row r="22" ht="15.75" customHeight="1">
      <c r="A22" s="533">
        <v>15.0</v>
      </c>
      <c r="B22" s="548" t="s">
        <v>384</v>
      </c>
      <c r="C22" s="535">
        <v>70.59</v>
      </c>
      <c r="D22" s="536">
        <v>0.0588</v>
      </c>
      <c r="E22" s="536">
        <v>0.1765</v>
      </c>
      <c r="F22" s="536">
        <v>0.7647</v>
      </c>
      <c r="G22" s="537">
        <v>15.0</v>
      </c>
      <c r="H22" s="282"/>
      <c r="I22" s="538" t="s">
        <v>31</v>
      </c>
      <c r="J22" s="576" t="s">
        <v>331</v>
      </c>
      <c r="K22" s="577">
        <v>71.43</v>
      </c>
      <c r="L22" s="578">
        <v>0.0</v>
      </c>
      <c r="M22" s="578">
        <v>0.2857</v>
      </c>
      <c r="N22" s="578">
        <v>0.7143</v>
      </c>
      <c r="O22" s="572">
        <v>4.0</v>
      </c>
    </row>
    <row r="23" ht="15.75" customHeight="1">
      <c r="A23" s="533">
        <v>16.0</v>
      </c>
      <c r="B23" s="548" t="s">
        <v>152</v>
      </c>
      <c r="C23" s="541">
        <v>70.0</v>
      </c>
      <c r="D23" s="542">
        <v>0.1</v>
      </c>
      <c r="E23" s="542">
        <v>0.1</v>
      </c>
      <c r="F23" s="542">
        <v>0.8</v>
      </c>
      <c r="G23" s="543">
        <v>16.0</v>
      </c>
      <c r="H23" s="282"/>
      <c r="I23" s="538" t="s">
        <v>57</v>
      </c>
      <c r="J23" s="576" t="s">
        <v>309</v>
      </c>
      <c r="K23" s="579">
        <v>66.67</v>
      </c>
      <c r="L23" s="574">
        <v>0.0</v>
      </c>
      <c r="M23" s="574">
        <v>0.3333</v>
      </c>
      <c r="N23" s="574">
        <v>0.6667</v>
      </c>
      <c r="O23" s="575">
        <v>5.0</v>
      </c>
    </row>
    <row r="24" ht="15.75" customHeight="1">
      <c r="A24" s="533">
        <v>17.0</v>
      </c>
      <c r="B24" s="548" t="s">
        <v>353</v>
      </c>
      <c r="C24" s="535">
        <v>70.0</v>
      </c>
      <c r="D24" s="536">
        <v>0.0333</v>
      </c>
      <c r="E24" s="536">
        <v>0.2333</v>
      </c>
      <c r="F24" s="536">
        <v>0.7333</v>
      </c>
      <c r="G24" s="537">
        <v>16.0</v>
      </c>
      <c r="H24" s="293"/>
      <c r="I24" s="538" t="s">
        <v>83</v>
      </c>
      <c r="J24" s="576" t="s">
        <v>295</v>
      </c>
      <c r="K24" s="580">
        <v>58.33</v>
      </c>
      <c r="L24" s="581">
        <v>0.1667</v>
      </c>
      <c r="M24" s="581">
        <v>0.0833</v>
      </c>
      <c r="N24" s="581">
        <v>0.75</v>
      </c>
      <c r="O24" s="582">
        <v>6.0</v>
      </c>
    </row>
    <row r="25" ht="15.75" customHeight="1">
      <c r="A25" s="533">
        <v>18.0</v>
      </c>
      <c r="B25" s="548" t="s">
        <v>229</v>
      </c>
      <c r="C25" s="541">
        <v>69.7</v>
      </c>
      <c r="D25" s="542">
        <v>0.0606</v>
      </c>
      <c r="E25" s="542">
        <v>0.1818</v>
      </c>
      <c r="F25" s="542">
        <v>0.7576</v>
      </c>
      <c r="G25" s="543">
        <v>18.0</v>
      </c>
      <c r="H25" s="293"/>
      <c r="I25" s="286"/>
      <c r="J25" s="294"/>
      <c r="K25" s="294"/>
      <c r="L25" s="583"/>
      <c r="M25" s="583"/>
      <c r="N25" s="583"/>
      <c r="O25" s="308"/>
    </row>
    <row r="26" ht="15.75" customHeight="1">
      <c r="A26" s="533">
        <v>19.0</v>
      </c>
      <c r="B26" s="548" t="s">
        <v>191</v>
      </c>
      <c r="C26" s="535">
        <v>68.97</v>
      </c>
      <c r="D26" s="536">
        <v>0.069</v>
      </c>
      <c r="E26" s="536">
        <v>0.1724</v>
      </c>
      <c r="F26" s="536">
        <v>0.7586</v>
      </c>
      <c r="G26" s="537">
        <v>19.0</v>
      </c>
      <c r="H26" s="293"/>
      <c r="I26" s="286"/>
      <c r="J26" s="584"/>
      <c r="K26" s="585"/>
      <c r="L26" s="585"/>
      <c r="M26" s="585"/>
      <c r="N26" s="585"/>
      <c r="O26" s="584"/>
    </row>
    <row r="27" ht="15.75" customHeight="1">
      <c r="A27" s="533">
        <v>20.0</v>
      </c>
      <c r="B27" s="548" t="s">
        <v>360</v>
      </c>
      <c r="C27" s="541">
        <v>67.65</v>
      </c>
      <c r="D27" s="542">
        <v>0.0588</v>
      </c>
      <c r="E27" s="542">
        <v>0.2059</v>
      </c>
      <c r="F27" s="542">
        <v>0.7353</v>
      </c>
      <c r="G27" s="543">
        <v>20.0</v>
      </c>
      <c r="H27" s="293"/>
      <c r="I27" s="281"/>
      <c r="J27" s="586" t="s">
        <v>398</v>
      </c>
      <c r="K27" s="319"/>
      <c r="L27" s="319"/>
      <c r="M27" s="319"/>
      <c r="N27" s="319"/>
      <c r="O27" s="323"/>
    </row>
    <row r="28" ht="15.75" customHeight="1">
      <c r="A28" s="533">
        <v>21.0</v>
      </c>
      <c r="B28" s="548" t="s">
        <v>256</v>
      </c>
      <c r="C28" s="535">
        <v>62.16</v>
      </c>
      <c r="D28" s="536">
        <v>0.0541</v>
      </c>
      <c r="E28" s="536">
        <v>0.2703</v>
      </c>
      <c r="F28" s="536">
        <v>0.6757</v>
      </c>
      <c r="G28" s="537">
        <v>21.0</v>
      </c>
      <c r="H28" s="293"/>
      <c r="I28" s="281"/>
      <c r="J28" s="587" t="s">
        <v>390</v>
      </c>
      <c r="K28" s="588" t="s">
        <v>391</v>
      </c>
      <c r="L28" s="589" t="s">
        <v>392</v>
      </c>
      <c r="M28" s="589" t="s">
        <v>393</v>
      </c>
      <c r="N28" s="589" t="s">
        <v>394</v>
      </c>
      <c r="O28" s="589" t="s">
        <v>395</v>
      </c>
    </row>
    <row r="29" ht="15.75" customHeight="1">
      <c r="A29" s="533">
        <v>22.0</v>
      </c>
      <c r="B29" s="548" t="s">
        <v>93</v>
      </c>
      <c r="C29" s="541">
        <v>57.69</v>
      </c>
      <c r="D29" s="542">
        <v>0.1538</v>
      </c>
      <c r="E29" s="542">
        <v>0.1154</v>
      </c>
      <c r="F29" s="542">
        <v>0.7308</v>
      </c>
      <c r="G29" s="543">
        <v>22.0</v>
      </c>
      <c r="H29" s="293"/>
      <c r="I29" s="538" t="s">
        <v>15</v>
      </c>
      <c r="J29" s="590" t="s">
        <v>375</v>
      </c>
      <c r="K29" s="567">
        <v>80.0</v>
      </c>
      <c r="L29" s="568">
        <v>0.0</v>
      </c>
      <c r="M29" s="568">
        <v>0.2</v>
      </c>
      <c r="N29" s="591">
        <v>0.8</v>
      </c>
      <c r="O29" s="569">
        <v>1.0</v>
      </c>
    </row>
    <row r="30" ht="15.75" customHeight="1">
      <c r="A30" s="533">
        <v>23.0</v>
      </c>
      <c r="B30" s="548" t="s">
        <v>235</v>
      </c>
      <c r="C30" s="535">
        <v>56.25</v>
      </c>
      <c r="D30" s="536">
        <v>0.125</v>
      </c>
      <c r="E30" s="536">
        <v>0.1875</v>
      </c>
      <c r="F30" s="536">
        <v>0.6875</v>
      </c>
      <c r="G30" s="537">
        <v>23.0</v>
      </c>
      <c r="H30" s="293"/>
      <c r="I30" s="538" t="s">
        <v>34</v>
      </c>
      <c r="J30" s="592" t="s">
        <v>372</v>
      </c>
      <c r="K30" s="593">
        <v>75.0</v>
      </c>
      <c r="L30" s="594">
        <v>0.0833</v>
      </c>
      <c r="M30" s="595">
        <v>0.0833</v>
      </c>
      <c r="N30" s="596">
        <v>0.8333</v>
      </c>
      <c r="O30" s="597">
        <v>2.0</v>
      </c>
    </row>
    <row r="31" ht="15.75" customHeight="1">
      <c r="A31" s="533">
        <v>24.0</v>
      </c>
      <c r="B31" s="548" t="s">
        <v>377</v>
      </c>
      <c r="C31" s="541">
        <v>55.56</v>
      </c>
      <c r="D31" s="542">
        <v>0.1389</v>
      </c>
      <c r="E31" s="542">
        <v>0.1667</v>
      </c>
      <c r="F31" s="542">
        <v>0.6944</v>
      </c>
      <c r="G31" s="543">
        <v>24.0</v>
      </c>
      <c r="H31" s="293"/>
      <c r="I31" s="538" t="s">
        <v>50</v>
      </c>
      <c r="J31" s="598" t="s">
        <v>378</v>
      </c>
      <c r="K31" s="573">
        <v>72.73</v>
      </c>
      <c r="L31" s="574">
        <v>0.0</v>
      </c>
      <c r="M31" s="574">
        <v>0.2727</v>
      </c>
      <c r="N31" s="599">
        <v>0.7273</v>
      </c>
      <c r="O31" s="575">
        <v>3.0</v>
      </c>
    </row>
    <row r="32" ht="15.75" customHeight="1">
      <c r="A32" s="533">
        <v>25.0</v>
      </c>
      <c r="B32" s="548" t="s">
        <v>385</v>
      </c>
      <c r="C32" s="535">
        <v>55.0</v>
      </c>
      <c r="D32" s="536">
        <v>0.1</v>
      </c>
      <c r="E32" s="536">
        <v>0.25</v>
      </c>
      <c r="F32" s="536">
        <v>0.65</v>
      </c>
      <c r="G32" s="537">
        <v>25.0</v>
      </c>
      <c r="H32" s="293"/>
      <c r="I32" s="538" t="s">
        <v>31</v>
      </c>
      <c r="J32" s="598" t="s">
        <v>381</v>
      </c>
      <c r="K32" s="600">
        <v>40.0</v>
      </c>
      <c r="L32" s="601">
        <v>0.2</v>
      </c>
      <c r="M32" s="602">
        <v>0.2</v>
      </c>
      <c r="N32" s="603">
        <v>0.6</v>
      </c>
      <c r="O32" s="597">
        <v>4.0</v>
      </c>
    </row>
    <row r="33" ht="15.75" customHeight="1">
      <c r="A33" s="533">
        <v>26.0</v>
      </c>
      <c r="B33" s="604" t="s">
        <v>275</v>
      </c>
      <c r="C33" s="605">
        <v>51.43</v>
      </c>
      <c r="D33" s="606">
        <v>0.1714</v>
      </c>
      <c r="E33" s="606">
        <v>0.1429</v>
      </c>
      <c r="F33" s="542">
        <v>0.6857</v>
      </c>
      <c r="G33" s="543">
        <v>26.0</v>
      </c>
      <c r="H33" s="293"/>
      <c r="I33" s="555" t="s">
        <v>57</v>
      </c>
      <c r="J33" s="607" t="s">
        <v>64</v>
      </c>
      <c r="K33" s="573">
        <v>30.0</v>
      </c>
      <c r="L33" s="574">
        <v>0.2</v>
      </c>
      <c r="M33" s="574">
        <v>0.3</v>
      </c>
      <c r="N33" s="599">
        <v>0.5</v>
      </c>
      <c r="O33" s="608" t="s">
        <v>57</v>
      </c>
    </row>
    <row r="34" ht="15.75" customHeight="1">
      <c r="A34" s="533">
        <v>27.0</v>
      </c>
      <c r="B34" s="604" t="s">
        <v>210</v>
      </c>
      <c r="C34" s="573">
        <v>44.0</v>
      </c>
      <c r="D34" s="574">
        <v>0.16</v>
      </c>
      <c r="E34" s="574">
        <v>0.24</v>
      </c>
      <c r="F34" s="574">
        <v>0.6</v>
      </c>
      <c r="G34" s="537">
        <v>27.0</v>
      </c>
      <c r="H34" s="293"/>
      <c r="I34" s="555" t="s">
        <v>83</v>
      </c>
      <c r="J34" s="607" t="s">
        <v>75</v>
      </c>
      <c r="K34" s="600">
        <v>27.27</v>
      </c>
      <c r="L34" s="601">
        <v>0.2727</v>
      </c>
      <c r="M34" s="602">
        <v>0.1818</v>
      </c>
      <c r="N34" s="603">
        <v>0.5455</v>
      </c>
      <c r="O34" s="597">
        <v>6.0</v>
      </c>
    </row>
    <row r="35" ht="15.75" customHeight="1">
      <c r="A35" s="533">
        <v>28.0</v>
      </c>
      <c r="B35" s="609"/>
      <c r="C35" s="610"/>
      <c r="D35" s="611"/>
      <c r="E35" s="611"/>
      <c r="F35" s="611"/>
      <c r="G35" s="612"/>
      <c r="H35" s="293"/>
      <c r="I35" s="555" t="s">
        <v>90</v>
      </c>
      <c r="J35" s="613"/>
      <c r="K35" s="614"/>
      <c r="L35" s="615"/>
      <c r="M35" s="615"/>
      <c r="N35" s="615"/>
      <c r="O35" s="615"/>
    </row>
    <row r="36" ht="15.75" customHeight="1">
      <c r="A36" s="533">
        <v>29.0</v>
      </c>
      <c r="B36" s="609"/>
      <c r="C36" s="616"/>
      <c r="D36" s="617"/>
      <c r="E36" s="617"/>
      <c r="F36" s="617"/>
      <c r="G36" s="517"/>
      <c r="H36" s="293"/>
      <c r="I36" s="281"/>
      <c r="J36" s="618"/>
      <c r="K36" s="619"/>
      <c r="L36" s="618"/>
      <c r="M36" s="618"/>
      <c r="N36" s="618"/>
      <c r="O36" s="618"/>
    </row>
    <row r="37" ht="15.75" customHeight="1">
      <c r="A37" s="533">
        <v>30.0</v>
      </c>
      <c r="B37" s="609"/>
      <c r="C37" s="616"/>
      <c r="D37" s="617"/>
      <c r="E37" s="617"/>
      <c r="F37" s="617"/>
      <c r="G37" s="517"/>
      <c r="H37" s="293"/>
      <c r="I37" s="281"/>
      <c r="J37" s="618"/>
      <c r="K37" s="282"/>
      <c r="L37" s="618"/>
      <c r="M37" s="618"/>
      <c r="N37" s="618"/>
      <c r="O37" s="618"/>
    </row>
    <row r="38" ht="15.75" customHeight="1">
      <c r="A38" s="533">
        <v>31.0</v>
      </c>
      <c r="B38" s="620"/>
      <c r="C38" s="621"/>
      <c r="D38" s="622"/>
      <c r="E38" s="622"/>
      <c r="F38" s="611"/>
      <c r="G38" s="612"/>
      <c r="H38" s="293"/>
      <c r="I38" s="281"/>
      <c r="J38" s="618"/>
      <c r="K38" s="282"/>
      <c r="L38" s="618"/>
      <c r="M38" s="618"/>
      <c r="N38" s="618"/>
      <c r="O38" s="618"/>
    </row>
    <row r="39" ht="15.75" customHeight="1">
      <c r="A39" s="533">
        <v>32.0</v>
      </c>
      <c r="B39" s="623"/>
      <c r="C39" s="616"/>
      <c r="D39" s="617"/>
      <c r="E39" s="617"/>
      <c r="F39" s="617"/>
      <c r="G39" s="517"/>
      <c r="H39" s="293"/>
      <c r="I39" s="281"/>
      <c r="J39" s="618"/>
      <c r="K39" s="282"/>
      <c r="L39" s="618"/>
      <c r="M39" s="618"/>
      <c r="N39" s="618"/>
      <c r="O39" s="618"/>
    </row>
    <row r="40" ht="15.75" customHeight="1">
      <c r="A40" s="533">
        <v>33.0</v>
      </c>
      <c r="B40" s="624"/>
      <c r="C40" s="621"/>
      <c r="D40" s="621"/>
      <c r="E40" s="621"/>
      <c r="F40" s="625"/>
      <c r="G40" s="626"/>
      <c r="H40" s="281"/>
      <c r="I40" s="281"/>
      <c r="J40" s="618"/>
      <c r="K40" s="282"/>
      <c r="L40" s="618"/>
      <c r="M40" s="618"/>
      <c r="N40" s="618"/>
      <c r="O40" s="618"/>
    </row>
    <row r="41" ht="15.75" customHeight="1">
      <c r="A41" s="533">
        <v>34.0</v>
      </c>
      <c r="B41" s="627"/>
      <c r="C41" s="616"/>
      <c r="D41" s="628"/>
      <c r="E41" s="616"/>
      <c r="F41" s="629"/>
      <c r="G41" s="523"/>
      <c r="H41" s="281"/>
      <c r="I41" s="281"/>
      <c r="J41" s="293"/>
      <c r="K41" s="282"/>
      <c r="L41" s="618"/>
      <c r="M41" s="618"/>
      <c r="N41" s="618"/>
      <c r="O41" s="618"/>
    </row>
    <row r="42" ht="15.75" customHeight="1">
      <c r="A42" s="533">
        <v>35.0</v>
      </c>
      <c r="B42" s="627"/>
      <c r="C42" s="630"/>
      <c r="D42" s="630"/>
      <c r="E42" s="630"/>
      <c r="F42" s="631"/>
      <c r="G42" s="632"/>
      <c r="H42" s="281"/>
      <c r="I42" s="281"/>
      <c r="J42" s="293"/>
      <c r="K42" s="282"/>
      <c r="L42" s="618"/>
      <c r="M42" s="618"/>
      <c r="N42" s="618"/>
      <c r="O42" s="618"/>
    </row>
    <row r="43" ht="15.75" customHeight="1">
      <c r="A43" s="308"/>
      <c r="B43" s="282"/>
      <c r="C43" s="282"/>
      <c r="D43" s="282"/>
      <c r="E43" s="282"/>
      <c r="F43" s="282"/>
      <c r="G43" s="293"/>
      <c r="H43" s="293"/>
      <c r="I43" s="293"/>
      <c r="J43" s="282"/>
      <c r="K43" s="282"/>
      <c r="L43" s="618"/>
      <c r="M43" s="618"/>
      <c r="N43" s="618"/>
      <c r="O43" s="293"/>
    </row>
    <row r="44" ht="15.75" customHeight="1">
      <c r="A44" s="633"/>
      <c r="B44" s="634" t="s">
        <v>399</v>
      </c>
      <c r="G44" s="635"/>
      <c r="H44" s="635"/>
      <c r="I44" s="633"/>
      <c r="J44" s="634" t="s">
        <v>400</v>
      </c>
      <c r="O44" s="636"/>
    </row>
    <row r="45" ht="15.75" customHeight="1">
      <c r="A45" s="637"/>
      <c r="B45" s="638" t="s">
        <v>390</v>
      </c>
      <c r="C45" s="639"/>
      <c r="D45" s="640" t="s">
        <v>401</v>
      </c>
      <c r="E45" s="641" t="s">
        <v>402</v>
      </c>
      <c r="F45" s="642" t="s">
        <v>403</v>
      </c>
      <c r="G45" s="637"/>
      <c r="H45" s="637"/>
      <c r="I45" s="637"/>
      <c r="J45" s="638" t="s">
        <v>390</v>
      </c>
      <c r="K45" s="639"/>
      <c r="L45" s="640" t="s">
        <v>401</v>
      </c>
      <c r="M45" s="641" t="s">
        <v>402</v>
      </c>
      <c r="N45" s="642" t="s">
        <v>403</v>
      </c>
      <c r="O45" s="643"/>
    </row>
    <row r="46" ht="15.75" customHeight="1">
      <c r="A46" s="644">
        <v>1.0</v>
      </c>
      <c r="B46" s="645" t="s">
        <v>404</v>
      </c>
      <c r="C46" s="646"/>
      <c r="D46" s="647">
        <v>567.0</v>
      </c>
      <c r="E46" s="647">
        <v>81.3</v>
      </c>
      <c r="F46" s="648" t="s">
        <v>405</v>
      </c>
      <c r="G46" s="637"/>
      <c r="H46" s="637"/>
      <c r="I46" s="644">
        <v>1.0</v>
      </c>
      <c r="J46" s="645" t="s">
        <v>404</v>
      </c>
      <c r="K46" s="646"/>
      <c r="L46" s="647">
        <v>661.0</v>
      </c>
      <c r="M46" s="647">
        <v>83.1</v>
      </c>
      <c r="N46" s="648" t="s">
        <v>406</v>
      </c>
      <c r="O46" s="643"/>
    </row>
    <row r="47" ht="15.75" customHeight="1">
      <c r="A47" s="644">
        <v>2.0</v>
      </c>
      <c r="B47" s="649" t="s">
        <v>407</v>
      </c>
      <c r="C47" s="650"/>
      <c r="D47" s="647">
        <v>257.0</v>
      </c>
      <c r="E47" s="647">
        <v>80.2</v>
      </c>
      <c r="F47" s="651">
        <v>0.0</v>
      </c>
      <c r="G47" s="637"/>
      <c r="H47" s="637"/>
      <c r="I47" s="644">
        <v>2.0</v>
      </c>
      <c r="J47" s="649" t="s">
        <v>408</v>
      </c>
      <c r="K47" s="650"/>
      <c r="L47" s="647">
        <v>548.0</v>
      </c>
      <c r="M47" s="647">
        <v>81.8</v>
      </c>
      <c r="N47" s="648" t="s">
        <v>409</v>
      </c>
      <c r="O47" s="643"/>
    </row>
    <row r="48" ht="15.75" customHeight="1">
      <c r="A48" s="644">
        <v>3.0</v>
      </c>
      <c r="B48" s="649" t="s">
        <v>408</v>
      </c>
      <c r="C48" s="650"/>
      <c r="D48" s="647">
        <v>462.0</v>
      </c>
      <c r="E48" s="647">
        <v>79.2</v>
      </c>
      <c r="F48" s="648" t="s">
        <v>410</v>
      </c>
      <c r="G48" s="637"/>
      <c r="H48" s="637"/>
      <c r="I48" s="644">
        <v>3.0</v>
      </c>
      <c r="J48" s="649" t="s">
        <v>411</v>
      </c>
      <c r="K48" s="650"/>
      <c r="L48" s="647">
        <v>271.0</v>
      </c>
      <c r="M48" s="647">
        <v>80.8</v>
      </c>
      <c r="N48" s="648" t="s">
        <v>412</v>
      </c>
      <c r="O48" s="636"/>
    </row>
    <row r="49" ht="15.75" customHeight="1">
      <c r="A49" s="644">
        <v>4.0</v>
      </c>
      <c r="B49" s="649" t="s">
        <v>413</v>
      </c>
      <c r="C49" s="650"/>
      <c r="D49" s="647">
        <v>353.0</v>
      </c>
      <c r="E49" s="647">
        <v>77.9</v>
      </c>
      <c r="F49" s="124">
        <v>-2.0</v>
      </c>
      <c r="G49" s="637"/>
      <c r="H49" s="637"/>
      <c r="I49" s="644">
        <v>4.0</v>
      </c>
      <c r="J49" s="649" t="s">
        <v>414</v>
      </c>
      <c r="K49" s="650"/>
      <c r="L49" s="647">
        <v>914.0</v>
      </c>
      <c r="M49" s="647">
        <v>79.5</v>
      </c>
      <c r="N49" s="648" t="s">
        <v>415</v>
      </c>
      <c r="O49" s="636"/>
    </row>
    <row r="50" ht="15.75" customHeight="1">
      <c r="A50" s="644">
        <v>5.0</v>
      </c>
      <c r="B50" s="649" t="s">
        <v>416</v>
      </c>
      <c r="C50" s="650"/>
      <c r="D50" s="647">
        <v>262.0</v>
      </c>
      <c r="E50" s="647">
        <v>77.5</v>
      </c>
      <c r="F50" s="124">
        <v>-0.1</v>
      </c>
      <c r="G50" s="637"/>
      <c r="H50" s="637"/>
      <c r="I50" s="644">
        <v>5.0</v>
      </c>
      <c r="J50" s="649" t="s">
        <v>417</v>
      </c>
      <c r="K50" s="650"/>
      <c r="L50" s="647">
        <v>299.0</v>
      </c>
      <c r="M50" s="647">
        <v>79.3</v>
      </c>
      <c r="N50" s="648" t="s">
        <v>418</v>
      </c>
      <c r="O50" s="636"/>
    </row>
    <row r="51" ht="15.75" customHeight="1">
      <c r="A51" s="644">
        <v>6.0</v>
      </c>
      <c r="B51" s="649" t="s">
        <v>414</v>
      </c>
      <c r="C51" s="650"/>
      <c r="D51" s="647">
        <v>827.0</v>
      </c>
      <c r="E51" s="647">
        <v>76.7</v>
      </c>
      <c r="F51" s="648" t="s">
        <v>412</v>
      </c>
      <c r="G51" s="637"/>
      <c r="H51" s="637"/>
      <c r="I51" s="644">
        <v>6.0</v>
      </c>
      <c r="J51" s="649" t="s">
        <v>413</v>
      </c>
      <c r="K51" s="650"/>
      <c r="L51" s="647">
        <v>422.0</v>
      </c>
      <c r="M51" s="647">
        <v>78.9</v>
      </c>
      <c r="N51" s="124">
        <v>-7.5</v>
      </c>
      <c r="O51" s="636"/>
    </row>
    <row r="52" ht="15.75" customHeight="1">
      <c r="A52" s="644">
        <v>7.0</v>
      </c>
      <c r="B52" s="649" t="s">
        <v>411</v>
      </c>
      <c r="C52" s="650"/>
      <c r="D52" s="647">
        <v>262.0</v>
      </c>
      <c r="E52" s="647">
        <v>76.3</v>
      </c>
      <c r="F52" s="124">
        <v>-6.7</v>
      </c>
      <c r="G52" s="637"/>
      <c r="H52" s="637"/>
      <c r="I52" s="644">
        <v>7.0</v>
      </c>
      <c r="J52" s="649" t="s">
        <v>407</v>
      </c>
      <c r="K52" s="650"/>
      <c r="L52" s="647">
        <v>284.0</v>
      </c>
      <c r="M52" s="647">
        <v>78.5</v>
      </c>
      <c r="N52" s="648" t="s">
        <v>419</v>
      </c>
      <c r="O52" s="636"/>
    </row>
    <row r="53" ht="15.75" customHeight="1">
      <c r="A53" s="644">
        <v>8.0</v>
      </c>
      <c r="B53" s="645" t="s">
        <v>417</v>
      </c>
      <c r="C53" s="650"/>
      <c r="D53" s="647">
        <v>272.0</v>
      </c>
      <c r="E53" s="647">
        <v>75.7</v>
      </c>
      <c r="F53" s="124">
        <v>-3.9</v>
      </c>
      <c r="G53" s="637"/>
      <c r="H53" s="637"/>
      <c r="I53" s="644">
        <v>8.0</v>
      </c>
      <c r="J53" s="645" t="s">
        <v>420</v>
      </c>
      <c r="K53" s="650"/>
      <c r="L53" s="647">
        <v>312.0</v>
      </c>
      <c r="M53" s="647">
        <v>76.9</v>
      </c>
      <c r="N53" s="648" t="s">
        <v>421</v>
      </c>
      <c r="O53" s="636"/>
    </row>
    <row r="54" ht="15.75" customHeight="1">
      <c r="A54" s="644">
        <v>9.0</v>
      </c>
      <c r="B54" s="649" t="s">
        <v>420</v>
      </c>
      <c r="C54" s="650"/>
      <c r="D54" s="647">
        <v>282.0</v>
      </c>
      <c r="E54" s="647">
        <v>72.3</v>
      </c>
      <c r="F54" s="124">
        <v>-3.5</v>
      </c>
      <c r="G54" s="637"/>
      <c r="H54" s="637"/>
      <c r="I54" s="644">
        <v>9.0</v>
      </c>
      <c r="J54" s="649" t="s">
        <v>416</v>
      </c>
      <c r="K54" s="650"/>
      <c r="L54" s="647">
        <v>256.0</v>
      </c>
      <c r="M54" s="647">
        <v>75.0</v>
      </c>
      <c r="N54" s="648" t="s">
        <v>422</v>
      </c>
      <c r="O54" s="636"/>
    </row>
    <row r="55" ht="15.75" customHeight="1">
      <c r="A55" s="644">
        <v>10.0</v>
      </c>
      <c r="B55" s="645" t="s">
        <v>423</v>
      </c>
      <c r="C55" s="650"/>
      <c r="D55" s="647">
        <v>3524.0</v>
      </c>
      <c r="E55" s="647">
        <v>71.7</v>
      </c>
      <c r="F55" s="124">
        <v>-2.1</v>
      </c>
      <c r="G55" s="637"/>
      <c r="H55" s="637"/>
      <c r="I55" s="644">
        <v>10.0</v>
      </c>
      <c r="J55" s="645" t="s">
        <v>423</v>
      </c>
      <c r="K55" s="650"/>
      <c r="L55" s="647">
        <v>4209.0</v>
      </c>
      <c r="M55" s="647">
        <v>74.2</v>
      </c>
      <c r="N55" s="124">
        <v>-0.9</v>
      </c>
      <c r="O55" s="636"/>
    </row>
    <row r="56" ht="15.75" customHeight="1">
      <c r="A56" s="652">
        <v>11.0</v>
      </c>
      <c r="B56" s="653" t="s">
        <v>424</v>
      </c>
      <c r="C56" s="654"/>
      <c r="D56" s="655">
        <v>913.0</v>
      </c>
      <c r="E56" s="655">
        <v>71.6</v>
      </c>
      <c r="F56" s="124">
        <v>-3.0</v>
      </c>
      <c r="G56" s="637"/>
      <c r="H56" s="637"/>
      <c r="I56" s="652">
        <v>11.0</v>
      </c>
      <c r="J56" s="653" t="s">
        <v>424</v>
      </c>
      <c r="K56" s="654"/>
      <c r="L56" s="655">
        <v>937.0</v>
      </c>
      <c r="M56" s="655">
        <v>73.5</v>
      </c>
      <c r="N56" s="648" t="s">
        <v>425</v>
      </c>
      <c r="O56" s="636"/>
    </row>
    <row r="57" ht="15.75" customHeight="1">
      <c r="A57" s="644">
        <v>12.0</v>
      </c>
      <c r="B57" s="645" t="s">
        <v>426</v>
      </c>
      <c r="C57" s="656"/>
      <c r="D57" s="657" t="s">
        <v>427</v>
      </c>
      <c r="E57" s="658">
        <v>-60.0</v>
      </c>
      <c r="F57" s="659">
        <v>-114.5</v>
      </c>
      <c r="G57" s="637"/>
      <c r="H57" s="637"/>
      <c r="I57" s="644">
        <v>12.0</v>
      </c>
      <c r="J57" s="645" t="s">
        <v>426</v>
      </c>
      <c r="K57" s="656"/>
      <c r="L57" s="657" t="s">
        <v>428</v>
      </c>
      <c r="M57" s="658">
        <v>0.0</v>
      </c>
      <c r="N57" s="659">
        <v>-12.5</v>
      </c>
      <c r="O57" s="636"/>
    </row>
    <row r="58" ht="15.75" customHeight="1">
      <c r="A58" s="660">
        <v>13.0</v>
      </c>
      <c r="B58" s="646" t="s">
        <v>429</v>
      </c>
      <c r="C58" s="650"/>
      <c r="D58" s="647" t="s">
        <v>430</v>
      </c>
      <c r="E58" s="647">
        <v>-100.0</v>
      </c>
      <c r="F58" s="124">
        <v>-100.0</v>
      </c>
      <c r="G58" s="637"/>
      <c r="H58" s="637"/>
      <c r="I58" s="660">
        <v>13.0</v>
      </c>
      <c r="J58" s="646" t="s">
        <v>429</v>
      </c>
      <c r="K58" s="650"/>
      <c r="L58" s="647" t="s">
        <v>430</v>
      </c>
      <c r="M58" s="647">
        <v>-100.0</v>
      </c>
      <c r="N58" s="124">
        <v>-200.0</v>
      </c>
      <c r="O58" s="636"/>
    </row>
    <row r="59" ht="15.75" customHeight="1">
      <c r="A59" s="660">
        <v>14.0</v>
      </c>
      <c r="B59" s="661"/>
      <c r="C59" s="650"/>
      <c r="D59" s="647"/>
      <c r="E59" s="647"/>
      <c r="F59" s="40"/>
      <c r="G59" s="637"/>
      <c r="H59" s="637"/>
      <c r="I59" s="660">
        <v>14.0</v>
      </c>
      <c r="J59" s="661"/>
      <c r="K59" s="650"/>
      <c r="L59" s="647"/>
      <c r="M59" s="647"/>
      <c r="N59" s="40"/>
      <c r="O59" s="636"/>
    </row>
    <row r="60" ht="15.75" customHeight="1">
      <c r="A60" s="662"/>
      <c r="B60" s="663" t="s">
        <v>431</v>
      </c>
      <c r="C60" s="664"/>
      <c r="D60" s="665" t="s">
        <v>401</v>
      </c>
      <c r="E60" s="666" t="s">
        <v>402</v>
      </c>
      <c r="F60" s="667" t="s">
        <v>403</v>
      </c>
      <c r="G60" s="637"/>
      <c r="H60" s="637"/>
      <c r="I60" s="662"/>
      <c r="J60" s="663" t="s">
        <v>431</v>
      </c>
      <c r="K60" s="664"/>
      <c r="L60" s="665" t="s">
        <v>401</v>
      </c>
      <c r="M60" s="666" t="s">
        <v>402</v>
      </c>
      <c r="N60" s="667" t="s">
        <v>403</v>
      </c>
      <c r="O60" s="636"/>
    </row>
    <row r="61" ht="15.75" customHeight="1">
      <c r="A61" s="662"/>
      <c r="B61" s="668" t="s">
        <v>432</v>
      </c>
      <c r="C61" s="669"/>
      <c r="D61" s="670">
        <v>7987.0</v>
      </c>
      <c r="E61" s="670">
        <v>74.3</v>
      </c>
      <c r="F61" s="671">
        <v>-1.4</v>
      </c>
      <c r="G61" s="637"/>
      <c r="H61" s="637"/>
      <c r="I61" s="662"/>
      <c r="J61" s="668" t="s">
        <v>432</v>
      </c>
      <c r="K61" s="669"/>
      <c r="L61" s="670">
        <v>9120.0</v>
      </c>
      <c r="M61" s="670">
        <v>76.5</v>
      </c>
      <c r="N61" s="672" t="s">
        <v>433</v>
      </c>
      <c r="O61" s="636"/>
    </row>
    <row r="62" ht="15.75" customHeight="1">
      <c r="A62" s="662"/>
      <c r="B62" s="673"/>
      <c r="C62" s="637"/>
      <c r="D62" s="674"/>
      <c r="E62" s="634"/>
      <c r="K62" s="637"/>
      <c r="L62" s="674"/>
      <c r="M62" s="674"/>
      <c r="N62" s="674"/>
      <c r="O62" s="636"/>
    </row>
    <row r="63" ht="15.75" customHeight="1">
      <c r="A63" s="675"/>
      <c r="B63" s="676" t="s">
        <v>434</v>
      </c>
      <c r="G63" s="637"/>
      <c r="H63" s="637"/>
      <c r="I63" s="675"/>
      <c r="J63" s="676" t="s">
        <v>435</v>
      </c>
      <c r="O63" s="677"/>
    </row>
    <row r="64" ht="15.75" customHeight="1">
      <c r="A64" s="675"/>
      <c r="B64" s="678" t="s">
        <v>390</v>
      </c>
      <c r="C64" s="679"/>
      <c r="D64" s="680" t="s">
        <v>401</v>
      </c>
      <c r="E64" s="680" t="s">
        <v>402</v>
      </c>
      <c r="F64" s="681" t="s">
        <v>403</v>
      </c>
      <c r="G64" s="637"/>
      <c r="H64" s="637"/>
      <c r="I64" s="675"/>
      <c r="J64" s="678" t="s">
        <v>390</v>
      </c>
      <c r="K64" s="679"/>
      <c r="L64" s="680" t="s">
        <v>401</v>
      </c>
      <c r="M64" s="680" t="s">
        <v>402</v>
      </c>
      <c r="N64" s="681" t="s">
        <v>403</v>
      </c>
      <c r="O64" s="662"/>
    </row>
    <row r="65" ht="15.75" customHeight="1">
      <c r="A65" s="682">
        <v>1.0</v>
      </c>
      <c r="B65" s="683" t="s">
        <v>436</v>
      </c>
      <c r="C65" s="684"/>
      <c r="D65" s="670" t="s">
        <v>430</v>
      </c>
      <c r="E65" s="670">
        <v>100.0</v>
      </c>
      <c r="F65" s="685">
        <v>116.7</v>
      </c>
      <c r="G65" s="637"/>
      <c r="H65" s="637"/>
      <c r="I65" s="682">
        <v>1.0</v>
      </c>
      <c r="J65" s="683" t="s">
        <v>413</v>
      </c>
      <c r="K65" s="684"/>
      <c r="L65" s="670">
        <v>6352.0</v>
      </c>
      <c r="M65" s="670">
        <v>78.4</v>
      </c>
      <c r="N65" s="686" t="s">
        <v>437</v>
      </c>
      <c r="O65" s="662"/>
    </row>
    <row r="66" ht="15.75" customHeight="1">
      <c r="A66" s="682">
        <v>2.0</v>
      </c>
      <c r="B66" s="683" t="s">
        <v>416</v>
      </c>
      <c r="C66" s="684"/>
      <c r="D66" s="670">
        <v>1153.0</v>
      </c>
      <c r="E66" s="670">
        <v>80.0</v>
      </c>
      <c r="F66" s="685">
        <v>3.4</v>
      </c>
      <c r="G66" s="637"/>
      <c r="H66" s="637"/>
      <c r="I66" s="682">
        <v>2.0</v>
      </c>
      <c r="J66" s="683" t="s">
        <v>411</v>
      </c>
      <c r="K66" s="684"/>
      <c r="L66" s="670">
        <v>4481.0</v>
      </c>
      <c r="M66" s="670">
        <v>78.2</v>
      </c>
      <c r="N66" s="686" t="s">
        <v>438</v>
      </c>
      <c r="O66" s="662"/>
    </row>
    <row r="67" ht="15.75" customHeight="1">
      <c r="A67" s="682">
        <v>3.0</v>
      </c>
      <c r="B67" s="683" t="s">
        <v>404</v>
      </c>
      <c r="C67" s="684"/>
      <c r="D67" s="670">
        <v>2820.0</v>
      </c>
      <c r="E67" s="670">
        <v>79.1</v>
      </c>
      <c r="F67" s="685">
        <v>3.5</v>
      </c>
      <c r="G67" s="637"/>
      <c r="H67" s="637"/>
      <c r="I67" s="682">
        <v>3.0</v>
      </c>
      <c r="J67" s="683" t="s">
        <v>404</v>
      </c>
      <c r="K67" s="684"/>
      <c r="L67" s="670">
        <v>9219.0</v>
      </c>
      <c r="M67" s="670">
        <v>77.3</v>
      </c>
      <c r="N67" s="686" t="s">
        <v>439</v>
      </c>
      <c r="O67" s="662"/>
    </row>
    <row r="68" ht="15.75" customHeight="1">
      <c r="A68" s="682">
        <v>4.0</v>
      </c>
      <c r="B68" s="683" t="s">
        <v>407</v>
      </c>
      <c r="C68" s="684"/>
      <c r="D68" s="670">
        <v>1201.0</v>
      </c>
      <c r="E68" s="670">
        <v>79.1</v>
      </c>
      <c r="F68" s="685">
        <v>2.4</v>
      </c>
      <c r="G68" s="637"/>
      <c r="H68" s="637"/>
      <c r="I68" s="682">
        <v>4.0</v>
      </c>
      <c r="J68" s="683" t="s">
        <v>416</v>
      </c>
      <c r="K68" s="684"/>
      <c r="L68" s="670">
        <v>4128.0</v>
      </c>
      <c r="M68" s="670">
        <v>76.9</v>
      </c>
      <c r="N68" s="686" t="s">
        <v>440</v>
      </c>
      <c r="O68" s="662"/>
    </row>
    <row r="69" ht="15.75" customHeight="1">
      <c r="A69" s="682">
        <v>5.0</v>
      </c>
      <c r="B69" s="683" t="s">
        <v>413</v>
      </c>
      <c r="C69" s="684"/>
      <c r="D69" s="670">
        <v>1928.0</v>
      </c>
      <c r="E69" s="670">
        <v>79.0</v>
      </c>
      <c r="F69" s="685">
        <v>0.4</v>
      </c>
      <c r="G69" s="637"/>
      <c r="H69" s="637"/>
      <c r="I69" s="682">
        <v>5.0</v>
      </c>
      <c r="J69" s="683" t="s">
        <v>407</v>
      </c>
      <c r="K69" s="684"/>
      <c r="L69" s="670">
        <v>3965.0</v>
      </c>
      <c r="M69" s="670">
        <v>76.1</v>
      </c>
      <c r="N69" s="686" t="s">
        <v>441</v>
      </c>
      <c r="O69" s="662"/>
    </row>
    <row r="70" ht="15.75" customHeight="1">
      <c r="A70" s="682">
        <v>6.0</v>
      </c>
      <c r="B70" s="683" t="s">
        <v>408</v>
      </c>
      <c r="C70" s="684"/>
      <c r="D70" s="670">
        <v>2702.0</v>
      </c>
      <c r="E70" s="670">
        <v>78.7</v>
      </c>
      <c r="F70" s="685">
        <v>4.7</v>
      </c>
      <c r="G70" s="637"/>
      <c r="H70" s="637"/>
      <c r="I70" s="682">
        <v>6.0</v>
      </c>
      <c r="J70" s="683" t="s">
        <v>408</v>
      </c>
      <c r="K70" s="684"/>
      <c r="L70" s="670">
        <v>7419.0</v>
      </c>
      <c r="M70" s="670">
        <v>75.6</v>
      </c>
      <c r="N70" s="686" t="s">
        <v>442</v>
      </c>
      <c r="O70" s="662"/>
    </row>
    <row r="71" ht="15.75" customHeight="1">
      <c r="A71" s="682">
        <v>7.0</v>
      </c>
      <c r="B71" s="683" t="s">
        <v>411</v>
      </c>
      <c r="C71" s="684"/>
      <c r="D71" s="670">
        <v>1338.0</v>
      </c>
      <c r="E71" s="670">
        <v>77.5</v>
      </c>
      <c r="F71" s="687">
        <v>-1.3</v>
      </c>
      <c r="G71" s="637"/>
      <c r="H71" s="637"/>
      <c r="I71" s="682">
        <v>7.0</v>
      </c>
      <c r="J71" s="683" t="s">
        <v>417</v>
      </c>
      <c r="K71" s="684"/>
      <c r="L71" s="670">
        <v>4516.0</v>
      </c>
      <c r="M71" s="670">
        <v>74.2</v>
      </c>
      <c r="N71" s="687">
        <v>-2.7</v>
      </c>
      <c r="O71" s="662"/>
    </row>
    <row r="72" ht="15.75" customHeight="1">
      <c r="A72" s="682">
        <v>8.0</v>
      </c>
      <c r="B72" s="683" t="s">
        <v>417</v>
      </c>
      <c r="C72" s="684"/>
      <c r="D72" s="670">
        <v>1438.0</v>
      </c>
      <c r="E72" s="670">
        <v>77.5</v>
      </c>
      <c r="F72" s="685">
        <v>2.2</v>
      </c>
      <c r="G72" s="637"/>
      <c r="H72" s="637"/>
      <c r="I72" s="682">
        <v>8.0</v>
      </c>
      <c r="J72" s="683" t="s">
        <v>414</v>
      </c>
      <c r="K72" s="684"/>
      <c r="L72" s="670">
        <v>14652.0</v>
      </c>
      <c r="M72" s="670">
        <v>73.2</v>
      </c>
      <c r="N72" s="686" t="s">
        <v>443</v>
      </c>
      <c r="O72" s="662"/>
    </row>
    <row r="73" ht="15.75" customHeight="1">
      <c r="A73" s="682">
        <v>9.0</v>
      </c>
      <c r="B73" s="683" t="s">
        <v>414</v>
      </c>
      <c r="C73" s="684"/>
      <c r="D73" s="670">
        <v>4528.0</v>
      </c>
      <c r="E73" s="670">
        <v>76.5</v>
      </c>
      <c r="F73" s="685">
        <v>3.8</v>
      </c>
      <c r="G73" s="637"/>
      <c r="H73" s="637"/>
      <c r="I73" s="682">
        <v>9.0</v>
      </c>
      <c r="J73" s="683" t="s">
        <v>423</v>
      </c>
      <c r="K73" s="684"/>
      <c r="L73" s="670">
        <v>66734.0</v>
      </c>
      <c r="M73" s="670">
        <v>71.3</v>
      </c>
      <c r="N73" s="686" t="s">
        <v>433</v>
      </c>
      <c r="O73" s="662"/>
    </row>
    <row r="74" ht="15.75" customHeight="1">
      <c r="A74" s="682">
        <v>10.0</v>
      </c>
      <c r="B74" s="683" t="s">
        <v>420</v>
      </c>
      <c r="C74" s="684"/>
      <c r="D74" s="670">
        <v>1440.0</v>
      </c>
      <c r="E74" s="670">
        <v>73.4</v>
      </c>
      <c r="F74" s="685">
        <v>5.4</v>
      </c>
      <c r="G74" s="637"/>
      <c r="H74" s="637"/>
      <c r="I74" s="682">
        <v>10.0</v>
      </c>
      <c r="J74" s="683" t="s">
        <v>420</v>
      </c>
      <c r="K74" s="684"/>
      <c r="L74" s="670">
        <v>4671.0</v>
      </c>
      <c r="M74" s="670">
        <v>70.4</v>
      </c>
      <c r="N74" s="686" t="s">
        <v>440</v>
      </c>
      <c r="O74" s="662"/>
    </row>
    <row r="75" ht="15.75" customHeight="1">
      <c r="A75" s="682">
        <v>11.0</v>
      </c>
      <c r="B75" s="683" t="s">
        <v>423</v>
      </c>
      <c r="C75" s="684"/>
      <c r="D75" s="670">
        <v>19745.0</v>
      </c>
      <c r="E75" s="670">
        <v>72.1</v>
      </c>
      <c r="F75" s="685">
        <v>0.2</v>
      </c>
      <c r="G75" s="637"/>
      <c r="H75" s="637"/>
      <c r="I75" s="688">
        <v>11.0</v>
      </c>
      <c r="J75" s="689" t="s">
        <v>424</v>
      </c>
      <c r="K75" s="690"/>
      <c r="L75" s="691">
        <v>15041.0</v>
      </c>
      <c r="M75" s="691">
        <v>70.1</v>
      </c>
      <c r="N75" s="686" t="s">
        <v>444</v>
      </c>
      <c r="O75" s="662"/>
    </row>
    <row r="76" ht="15.75" customHeight="1">
      <c r="A76" s="688">
        <v>12.0</v>
      </c>
      <c r="B76" s="689" t="s">
        <v>424</v>
      </c>
      <c r="C76" s="690"/>
      <c r="D76" s="691">
        <v>4258.0</v>
      </c>
      <c r="E76" s="691">
        <v>71.1</v>
      </c>
      <c r="F76" s="685">
        <v>2.3</v>
      </c>
      <c r="G76" s="637"/>
      <c r="H76" s="637"/>
      <c r="I76" s="682">
        <v>12.0</v>
      </c>
      <c r="J76" s="683" t="s">
        <v>436</v>
      </c>
      <c r="K76" s="684"/>
      <c r="L76" s="670" t="s">
        <v>445</v>
      </c>
      <c r="M76" s="670">
        <v>8.3</v>
      </c>
      <c r="N76" s="686" t="s">
        <v>446</v>
      </c>
      <c r="O76" s="662"/>
    </row>
    <row r="77" ht="15.75" customHeight="1">
      <c r="A77" s="682">
        <v>13.0</v>
      </c>
      <c r="B77" s="683" t="s">
        <v>429</v>
      </c>
      <c r="C77" s="692"/>
      <c r="D77" s="670" t="s">
        <v>427</v>
      </c>
      <c r="E77" s="693">
        <v>60.0</v>
      </c>
      <c r="F77" s="685">
        <v>1.7</v>
      </c>
      <c r="G77" s="637"/>
      <c r="H77" s="637"/>
      <c r="I77" s="682">
        <v>13.0</v>
      </c>
      <c r="J77" s="683" t="s">
        <v>426</v>
      </c>
      <c r="K77" s="692"/>
      <c r="L77" s="670">
        <v>211.0</v>
      </c>
      <c r="M77" s="693">
        <v>4.3</v>
      </c>
      <c r="N77" s="687">
        <v>-1.9</v>
      </c>
      <c r="O77" s="662"/>
    </row>
    <row r="78" ht="15.75" customHeight="1">
      <c r="A78" s="682">
        <v>14.0</v>
      </c>
      <c r="B78" s="694" t="s">
        <v>426</v>
      </c>
      <c r="C78" s="695"/>
      <c r="D78" s="696">
        <v>40.0</v>
      </c>
      <c r="E78" s="696">
        <v>2.5</v>
      </c>
      <c r="F78" s="687">
        <v>-3.9</v>
      </c>
      <c r="G78" s="637"/>
      <c r="H78" s="637"/>
      <c r="I78" s="682">
        <v>14.0</v>
      </c>
      <c r="J78" s="694" t="s">
        <v>429</v>
      </c>
      <c r="K78" s="695"/>
      <c r="L78" s="696">
        <v>34.0</v>
      </c>
      <c r="M78" s="696">
        <v>2.9</v>
      </c>
      <c r="N78" s="686" t="s">
        <v>447</v>
      </c>
      <c r="O78" s="662"/>
    </row>
    <row r="79" ht="15.75" customHeight="1">
      <c r="A79" s="675"/>
      <c r="B79" s="678" t="s">
        <v>431</v>
      </c>
      <c r="C79" s="679"/>
      <c r="D79" s="680" t="s">
        <v>401</v>
      </c>
      <c r="E79" s="697" t="s">
        <v>402</v>
      </c>
      <c r="F79" s="698" t="s">
        <v>403</v>
      </c>
      <c r="G79" s="637"/>
      <c r="H79" s="637"/>
      <c r="I79" s="675"/>
      <c r="J79" s="678" t="s">
        <v>431</v>
      </c>
      <c r="K79" s="679"/>
      <c r="L79" s="680" t="s">
        <v>401</v>
      </c>
      <c r="M79" s="697" t="s">
        <v>402</v>
      </c>
      <c r="N79" s="698" t="s">
        <v>403</v>
      </c>
      <c r="O79" s="662"/>
    </row>
    <row r="80" ht="15.75" customHeight="1">
      <c r="A80" s="675"/>
      <c r="B80" s="699" t="s">
        <v>432</v>
      </c>
      <c r="C80" s="700"/>
      <c r="D80" s="701">
        <v>42597.0</v>
      </c>
      <c r="E80" s="701">
        <v>74.4</v>
      </c>
      <c r="F80" s="702" t="s">
        <v>448</v>
      </c>
      <c r="G80" s="637"/>
      <c r="H80" s="637"/>
      <c r="I80" s="675"/>
      <c r="J80" s="699" t="s">
        <v>432</v>
      </c>
      <c r="K80" s="700"/>
      <c r="L80" s="701">
        <v>141435.0</v>
      </c>
      <c r="M80" s="701">
        <v>72.8</v>
      </c>
      <c r="N80" s="702" t="s">
        <v>449</v>
      </c>
      <c r="O80" s="662"/>
    </row>
    <row r="81" ht="15.75" customHeight="1">
      <c r="A81" s="662"/>
      <c r="B81" s="703"/>
      <c r="C81" s="662"/>
      <c r="D81" s="704"/>
      <c r="E81" s="704"/>
      <c r="F81" s="704"/>
      <c r="G81" s="662"/>
      <c r="H81" s="662"/>
      <c r="I81" s="705"/>
      <c r="J81" s="705"/>
      <c r="K81" s="706"/>
      <c r="L81" s="707"/>
      <c r="M81" s="707"/>
      <c r="N81" s="708"/>
      <c r="O81" s="662"/>
    </row>
    <row r="82" ht="15.75" customHeight="1">
      <c r="A82" s="662"/>
      <c r="B82" s="703"/>
      <c r="C82" s="662"/>
      <c r="D82" s="704"/>
      <c r="E82" s="704"/>
      <c r="F82" s="704"/>
      <c r="G82" s="662"/>
      <c r="H82" s="662"/>
      <c r="I82" s="705"/>
      <c r="J82" s="705"/>
      <c r="K82" s="706"/>
      <c r="L82" s="707"/>
      <c r="M82" s="707"/>
      <c r="N82" s="708"/>
      <c r="O82" s="662"/>
    </row>
    <row r="83" ht="15.75" customHeight="1">
      <c r="A83" s="662"/>
      <c r="B83" s="703"/>
      <c r="C83" s="662"/>
      <c r="D83" s="704"/>
      <c r="E83" s="704"/>
      <c r="F83" s="704"/>
      <c r="G83" s="662"/>
      <c r="H83" s="662"/>
      <c r="I83" s="705"/>
      <c r="J83" s="705"/>
      <c r="K83" s="706"/>
      <c r="L83" s="707"/>
      <c r="M83" s="707"/>
      <c r="N83" s="708"/>
      <c r="O83" s="662"/>
    </row>
    <row r="84" ht="15.75" customHeight="1">
      <c r="A84" s="662"/>
      <c r="B84" s="703"/>
      <c r="C84" s="662"/>
      <c r="D84" s="704"/>
      <c r="E84" s="704"/>
      <c r="F84" s="704"/>
      <c r="G84" s="662"/>
      <c r="H84" s="662"/>
      <c r="I84" s="705"/>
      <c r="J84" s="705"/>
      <c r="K84" s="706"/>
      <c r="L84" s="707"/>
      <c r="M84" s="707"/>
      <c r="N84" s="708"/>
      <c r="O84" s="662"/>
    </row>
    <row r="85" ht="15.75" customHeight="1">
      <c r="A85" s="662"/>
      <c r="B85" s="703"/>
      <c r="C85" s="662"/>
      <c r="D85" s="704"/>
      <c r="E85" s="704"/>
      <c r="F85" s="704"/>
      <c r="G85" s="662"/>
      <c r="H85" s="662"/>
      <c r="I85" s="705"/>
      <c r="J85" s="705"/>
      <c r="K85" s="706"/>
      <c r="L85" s="707"/>
      <c r="M85" s="707"/>
      <c r="N85" s="708"/>
      <c r="O85" s="662"/>
    </row>
    <row r="86" ht="15.75" customHeight="1">
      <c r="A86" s="662"/>
      <c r="B86" s="703"/>
      <c r="C86" s="662"/>
      <c r="D86" s="704"/>
      <c r="E86" s="704"/>
      <c r="F86" s="704"/>
      <c r="G86" s="662"/>
      <c r="H86" s="662"/>
      <c r="I86" s="705"/>
      <c r="J86" s="705"/>
      <c r="K86" s="706"/>
      <c r="L86" s="707"/>
      <c r="M86" s="707"/>
      <c r="N86" s="708"/>
      <c r="O86" s="662"/>
    </row>
    <row r="87" ht="15.75" customHeight="1">
      <c r="A87" s="662"/>
      <c r="B87" s="703"/>
      <c r="C87" s="662"/>
      <c r="D87" s="704"/>
      <c r="E87" s="704"/>
      <c r="F87" s="704"/>
      <c r="G87" s="662"/>
      <c r="H87" s="662"/>
      <c r="I87" s="705"/>
      <c r="J87" s="705"/>
      <c r="K87" s="706"/>
      <c r="L87" s="707"/>
      <c r="M87" s="707"/>
      <c r="N87" s="708"/>
      <c r="O87" s="662"/>
    </row>
    <row r="88" ht="15.75" customHeight="1">
      <c r="A88" s="662"/>
      <c r="B88" s="703"/>
      <c r="C88" s="662"/>
      <c r="D88" s="704"/>
      <c r="E88" s="704"/>
      <c r="F88" s="704"/>
      <c r="G88" s="662"/>
      <c r="H88" s="662"/>
      <c r="I88" s="705"/>
      <c r="J88" s="705"/>
      <c r="K88" s="706"/>
      <c r="L88" s="707"/>
      <c r="M88" s="707"/>
      <c r="N88" s="708"/>
      <c r="O88" s="662"/>
    </row>
    <row r="89" ht="15.75" customHeight="1">
      <c r="A89" s="662"/>
      <c r="B89" s="703"/>
      <c r="C89" s="662"/>
      <c r="D89" s="704"/>
      <c r="E89" s="704"/>
      <c r="F89" s="704"/>
      <c r="G89" s="662"/>
      <c r="H89" s="662"/>
      <c r="I89" s="709"/>
      <c r="J89" s="710"/>
      <c r="K89" s="711"/>
      <c r="L89" s="712"/>
      <c r="M89" s="712"/>
      <c r="N89" s="708"/>
      <c r="O89" s="636"/>
    </row>
  </sheetData>
  <mergeCells count="12">
    <mergeCell ref="B44:F44"/>
    <mergeCell ref="J44:N44"/>
    <mergeCell ref="E62:J62"/>
    <mergeCell ref="B63:F63"/>
    <mergeCell ref="J63:N63"/>
    <mergeCell ref="B1:O1"/>
    <mergeCell ref="B2:O3"/>
    <mergeCell ref="B5:G5"/>
    <mergeCell ref="B6:G6"/>
    <mergeCell ref="J6:O6"/>
    <mergeCell ref="J17:O17"/>
    <mergeCell ref="J27:O2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8.71"/>
    <col customWidth="1" min="3" max="8" width="14.43"/>
    <col customWidth="1" min="10" max="10" width="7.29"/>
    <col customWidth="1" min="11" max="11" width="28.71"/>
  </cols>
  <sheetData>
    <row r="1" ht="32.25" customHeight="1">
      <c r="A1" s="713"/>
      <c r="B1" s="714" t="s">
        <v>450</v>
      </c>
      <c r="C1" s="715"/>
      <c r="D1" s="715"/>
      <c r="E1" s="715"/>
      <c r="F1" s="715"/>
      <c r="G1" s="715"/>
      <c r="H1" s="716"/>
      <c r="J1" s="717"/>
      <c r="K1" s="717"/>
      <c r="L1" s="717"/>
      <c r="M1" s="717"/>
      <c r="N1" s="717"/>
      <c r="O1" s="717"/>
      <c r="P1" s="717"/>
      <c r="Q1" s="717"/>
    </row>
    <row r="2" ht="32.25" customHeight="1">
      <c r="A2" s="718"/>
      <c r="B2" s="719" t="s">
        <v>451</v>
      </c>
      <c r="C2" s="720" t="s">
        <v>452</v>
      </c>
      <c r="D2" s="720" t="s">
        <v>453</v>
      </c>
      <c r="E2" s="720" t="s">
        <v>454</v>
      </c>
      <c r="F2" s="720" t="s">
        <v>455</v>
      </c>
      <c r="G2" s="720" t="s">
        <v>456</v>
      </c>
      <c r="H2" s="719" t="s">
        <v>457</v>
      </c>
      <c r="J2" s="717"/>
      <c r="K2" s="717"/>
      <c r="L2" s="717"/>
      <c r="M2" s="717"/>
      <c r="N2" s="717"/>
      <c r="O2" s="717"/>
      <c r="P2" s="717"/>
      <c r="Q2" s="717"/>
    </row>
    <row r="3">
      <c r="A3" s="721">
        <v>1.0</v>
      </c>
      <c r="B3" s="722" t="s">
        <v>256</v>
      </c>
      <c r="C3" s="723"/>
      <c r="D3" s="724"/>
      <c r="E3" s="725"/>
      <c r="F3" s="723"/>
      <c r="G3" s="726"/>
      <c r="H3" s="727"/>
      <c r="I3" s="728"/>
      <c r="J3" s="717">
        <f t="shared" ref="J3:J30" si="1">(H3-I3)</f>
        <v>0</v>
      </c>
      <c r="K3" s="717"/>
      <c r="L3" s="729"/>
      <c r="M3" s="717"/>
      <c r="N3" s="717"/>
      <c r="O3" s="717"/>
      <c r="P3" s="717"/>
      <c r="Q3" s="717"/>
    </row>
    <row r="4">
      <c r="A4" s="730">
        <v>2.0</v>
      </c>
      <c r="B4" s="731" t="s">
        <v>205</v>
      </c>
      <c r="C4" s="723"/>
      <c r="D4" s="732"/>
      <c r="E4" s="723"/>
      <c r="F4" s="723"/>
      <c r="G4" s="733"/>
      <c r="H4" s="727"/>
      <c r="I4" s="728"/>
      <c r="J4" s="717">
        <f t="shared" si="1"/>
        <v>0</v>
      </c>
      <c r="K4" s="729"/>
      <c r="L4" s="729"/>
      <c r="M4" s="717"/>
      <c r="N4" s="717"/>
      <c r="O4" s="717"/>
      <c r="P4" s="717"/>
      <c r="Q4" s="717"/>
    </row>
    <row r="5">
      <c r="A5" s="730">
        <v>3.0</v>
      </c>
      <c r="B5" s="734" t="s">
        <v>121</v>
      </c>
      <c r="C5" s="723"/>
      <c r="D5" s="732"/>
      <c r="E5" s="723"/>
      <c r="F5" s="723"/>
      <c r="G5" s="726"/>
      <c r="H5" s="727"/>
      <c r="I5" s="728"/>
      <c r="J5" s="717">
        <f t="shared" si="1"/>
        <v>0</v>
      </c>
      <c r="L5" s="735"/>
      <c r="M5" s="717"/>
      <c r="N5" s="717"/>
      <c r="O5" s="717"/>
      <c r="P5" s="717"/>
      <c r="Q5" s="717"/>
    </row>
    <row r="6">
      <c r="A6" s="730">
        <v>4.0</v>
      </c>
      <c r="B6" s="734" t="s">
        <v>384</v>
      </c>
      <c r="C6" s="723"/>
      <c r="D6" s="723"/>
      <c r="E6" s="723"/>
      <c r="F6" s="732"/>
      <c r="G6" s="726"/>
      <c r="H6" s="727"/>
      <c r="I6" s="728"/>
      <c r="J6" s="717">
        <f t="shared" si="1"/>
        <v>0</v>
      </c>
      <c r="L6" s="729"/>
      <c r="M6" s="717"/>
      <c r="N6" s="717"/>
      <c r="O6" s="717"/>
      <c r="P6" s="717"/>
      <c r="Q6" s="717"/>
    </row>
    <row r="7">
      <c r="A7" s="730">
        <v>5.0</v>
      </c>
      <c r="B7" s="734" t="s">
        <v>353</v>
      </c>
      <c r="C7" s="723"/>
      <c r="D7" s="723"/>
      <c r="E7" s="732"/>
      <c r="F7" s="723"/>
      <c r="G7" s="726"/>
      <c r="H7" s="727"/>
      <c r="I7" s="728"/>
      <c r="J7" s="717">
        <f t="shared" si="1"/>
        <v>0</v>
      </c>
      <c r="K7" s="717"/>
      <c r="L7" s="735"/>
      <c r="M7" s="717"/>
      <c r="N7" s="717"/>
      <c r="O7" s="717"/>
      <c r="P7" s="717"/>
      <c r="Q7" s="717"/>
    </row>
    <row r="8">
      <c r="A8" s="730">
        <v>6.0</v>
      </c>
      <c r="B8" s="734" t="s">
        <v>147</v>
      </c>
      <c r="C8" s="723"/>
      <c r="D8" s="723"/>
      <c r="E8" s="723"/>
      <c r="F8" s="723"/>
      <c r="G8" s="736"/>
      <c r="H8" s="727"/>
      <c r="I8" s="728"/>
      <c r="J8" s="717">
        <f t="shared" si="1"/>
        <v>0</v>
      </c>
      <c r="K8" s="717"/>
      <c r="L8" s="729"/>
      <c r="M8" s="717"/>
      <c r="N8" s="717"/>
      <c r="O8" s="717"/>
      <c r="P8" s="717"/>
      <c r="Q8" s="717"/>
    </row>
    <row r="9">
      <c r="A9" s="730">
        <v>7.0</v>
      </c>
      <c r="B9" s="734" t="s">
        <v>360</v>
      </c>
      <c r="C9" s="723"/>
      <c r="D9" s="723"/>
      <c r="E9" s="723"/>
      <c r="F9" s="732"/>
      <c r="G9" s="726"/>
      <c r="H9" s="727"/>
      <c r="I9" s="728"/>
      <c r="J9" s="717">
        <f t="shared" si="1"/>
        <v>0</v>
      </c>
      <c r="K9" s="729"/>
      <c r="L9" s="735"/>
      <c r="M9" s="717"/>
      <c r="N9" s="717"/>
      <c r="O9" s="717"/>
      <c r="P9" s="717"/>
      <c r="Q9" s="717"/>
    </row>
    <row r="10">
      <c r="A10" s="730">
        <v>8.0</v>
      </c>
      <c r="B10" s="734" t="s">
        <v>229</v>
      </c>
      <c r="C10" s="723"/>
      <c r="D10" s="723"/>
      <c r="E10" s="723"/>
      <c r="F10" s="723"/>
      <c r="G10" s="736"/>
      <c r="H10" s="727"/>
      <c r="I10" s="728"/>
      <c r="J10" s="717">
        <f t="shared" si="1"/>
        <v>0</v>
      </c>
      <c r="L10" s="735"/>
      <c r="M10" s="717"/>
      <c r="N10" s="717"/>
      <c r="O10" s="717"/>
      <c r="P10" s="717"/>
      <c r="Q10" s="717"/>
    </row>
    <row r="11">
      <c r="A11" s="730">
        <v>9.0</v>
      </c>
      <c r="B11" s="734" t="s">
        <v>235</v>
      </c>
      <c r="C11" s="723"/>
      <c r="D11" s="723"/>
      <c r="E11" s="732"/>
      <c r="F11" s="725"/>
      <c r="G11" s="726"/>
      <c r="H11" s="727"/>
      <c r="I11" s="728"/>
      <c r="J11" s="717">
        <f t="shared" si="1"/>
        <v>0</v>
      </c>
      <c r="L11" s="735"/>
      <c r="M11" s="717"/>
      <c r="N11" s="717"/>
      <c r="O11" s="717"/>
      <c r="P11" s="717"/>
      <c r="Q11" s="717"/>
    </row>
    <row r="12">
      <c r="A12" s="730">
        <v>10.0</v>
      </c>
      <c r="B12" s="734" t="s">
        <v>385</v>
      </c>
      <c r="C12" s="723"/>
      <c r="D12" s="723"/>
      <c r="E12" s="723"/>
      <c r="F12" s="732"/>
      <c r="G12" s="733"/>
      <c r="H12" s="727"/>
      <c r="I12" s="728"/>
      <c r="J12" s="717">
        <f t="shared" si="1"/>
        <v>0</v>
      </c>
      <c r="L12" s="735"/>
      <c r="M12" s="717"/>
      <c r="N12" s="717"/>
      <c r="O12" s="717"/>
      <c r="P12" s="717"/>
      <c r="Q12" s="717"/>
    </row>
    <row r="13">
      <c r="A13" s="730">
        <v>11.0</v>
      </c>
      <c r="B13" s="734" t="s">
        <v>380</v>
      </c>
      <c r="C13" s="723"/>
      <c r="D13" s="723"/>
      <c r="E13" s="723"/>
      <c r="F13" s="732"/>
      <c r="G13" s="726"/>
      <c r="H13" s="727"/>
      <c r="I13" s="728"/>
      <c r="J13" s="717">
        <f t="shared" si="1"/>
        <v>0</v>
      </c>
      <c r="K13" s="717"/>
      <c r="L13" s="729"/>
      <c r="M13" s="717"/>
      <c r="N13" s="717"/>
      <c r="O13" s="717"/>
      <c r="P13" s="717"/>
      <c r="Q13" s="717"/>
    </row>
    <row r="14">
      <c r="A14" s="730">
        <v>12.0</v>
      </c>
      <c r="B14" s="734" t="s">
        <v>370</v>
      </c>
      <c r="C14" s="723"/>
      <c r="D14" s="723"/>
      <c r="E14" s="723"/>
      <c r="F14" s="732"/>
      <c r="G14" s="726"/>
      <c r="H14" s="727"/>
      <c r="I14" s="728"/>
      <c r="J14" s="717">
        <f t="shared" si="1"/>
        <v>0</v>
      </c>
      <c r="K14" s="717"/>
      <c r="L14" s="735"/>
      <c r="M14" s="717"/>
      <c r="N14" s="717"/>
      <c r="O14" s="717"/>
      <c r="P14" s="717"/>
      <c r="Q14" s="717"/>
    </row>
    <row r="15">
      <c r="A15" s="730">
        <v>13.0</v>
      </c>
      <c r="B15" s="734" t="s">
        <v>160</v>
      </c>
      <c r="C15" s="732"/>
      <c r="D15" s="723"/>
      <c r="E15" s="723"/>
      <c r="F15" s="725"/>
      <c r="G15" s="726"/>
      <c r="H15" s="727"/>
      <c r="I15" s="728"/>
      <c r="J15" s="717">
        <f t="shared" si="1"/>
        <v>0</v>
      </c>
      <c r="K15" s="717"/>
      <c r="L15" s="735"/>
      <c r="M15" s="717"/>
      <c r="N15" s="717"/>
      <c r="O15" s="717"/>
      <c r="P15" s="717"/>
      <c r="Q15" s="717"/>
    </row>
    <row r="16">
      <c r="A16" s="730">
        <v>14.0</v>
      </c>
      <c r="B16" s="734" t="s">
        <v>126</v>
      </c>
      <c r="C16" s="723"/>
      <c r="D16" s="723"/>
      <c r="E16" s="732"/>
      <c r="F16" s="725"/>
      <c r="G16" s="726"/>
      <c r="H16" s="727"/>
      <c r="I16" s="728"/>
      <c r="J16" s="717">
        <f t="shared" si="1"/>
        <v>0</v>
      </c>
      <c r="K16" s="717"/>
      <c r="L16" s="729"/>
      <c r="M16" s="717"/>
      <c r="N16" s="717"/>
      <c r="O16" s="717"/>
      <c r="P16" s="717"/>
      <c r="Q16" s="717"/>
    </row>
    <row r="17">
      <c r="A17" s="730">
        <v>15.0</v>
      </c>
      <c r="B17" s="734" t="s">
        <v>458</v>
      </c>
      <c r="C17" s="723"/>
      <c r="D17" s="723"/>
      <c r="E17" s="723"/>
      <c r="F17" s="732"/>
      <c r="G17" s="726"/>
      <c r="H17" s="727"/>
      <c r="I17" s="728"/>
      <c r="J17" s="717">
        <f t="shared" si="1"/>
        <v>0</v>
      </c>
      <c r="K17" s="717"/>
      <c r="L17" s="729"/>
      <c r="M17" s="717"/>
      <c r="N17" s="717"/>
      <c r="O17" s="717"/>
      <c r="P17" s="717"/>
      <c r="Q17" s="717"/>
    </row>
    <row r="18">
      <c r="A18" s="730">
        <v>16.0</v>
      </c>
      <c r="B18" s="734" t="s">
        <v>377</v>
      </c>
      <c r="C18" s="725"/>
      <c r="D18" s="723"/>
      <c r="E18" s="723"/>
      <c r="F18" s="732"/>
      <c r="G18" s="726"/>
      <c r="H18" s="727"/>
      <c r="I18" s="728"/>
      <c r="J18" s="717">
        <f t="shared" si="1"/>
        <v>0</v>
      </c>
      <c r="K18" s="717"/>
      <c r="L18" s="735"/>
      <c r="M18" s="717"/>
      <c r="N18" s="717"/>
      <c r="O18" s="717"/>
      <c r="P18" s="717"/>
      <c r="Q18" s="717"/>
    </row>
    <row r="19">
      <c r="A19" s="730">
        <v>17.0</v>
      </c>
      <c r="B19" s="722" t="s">
        <v>173</v>
      </c>
      <c r="C19" s="725"/>
      <c r="D19" s="723"/>
      <c r="E19" s="723"/>
      <c r="F19" s="723"/>
      <c r="G19" s="736"/>
      <c r="H19" s="727"/>
      <c r="I19" s="728"/>
      <c r="J19" s="717">
        <f t="shared" si="1"/>
        <v>0</v>
      </c>
      <c r="K19" s="717"/>
      <c r="L19" s="729"/>
      <c r="M19" s="717"/>
      <c r="N19" s="717"/>
      <c r="O19" s="717"/>
      <c r="P19" s="717"/>
      <c r="Q19" s="717"/>
    </row>
    <row r="20">
      <c r="A20" s="730">
        <v>18.0</v>
      </c>
      <c r="B20" s="734" t="s">
        <v>222</v>
      </c>
      <c r="C20" s="723"/>
      <c r="D20" s="732"/>
      <c r="E20" s="723"/>
      <c r="F20" s="723"/>
      <c r="G20" s="726"/>
      <c r="H20" s="727"/>
      <c r="I20" s="728"/>
      <c r="J20" s="717">
        <f t="shared" si="1"/>
        <v>0</v>
      </c>
      <c r="K20" s="717"/>
      <c r="L20" s="735"/>
      <c r="M20" s="717"/>
      <c r="N20" s="717"/>
      <c r="O20" s="717"/>
      <c r="P20" s="717"/>
      <c r="Q20" s="717"/>
    </row>
    <row r="21">
      <c r="A21" s="730">
        <v>19.0</v>
      </c>
      <c r="B21" s="734" t="s">
        <v>178</v>
      </c>
      <c r="C21" s="732"/>
      <c r="D21" s="723"/>
      <c r="E21" s="723"/>
      <c r="F21" s="725"/>
      <c r="G21" s="726"/>
      <c r="H21" s="727"/>
      <c r="I21" s="728"/>
      <c r="J21" s="717">
        <f t="shared" si="1"/>
        <v>0</v>
      </c>
      <c r="K21" s="717"/>
      <c r="L21" s="729"/>
      <c r="M21" s="717"/>
      <c r="N21" s="717"/>
      <c r="O21" s="717"/>
      <c r="P21" s="717"/>
      <c r="Q21" s="717"/>
    </row>
    <row r="22">
      <c r="A22" s="730">
        <v>20.0</v>
      </c>
      <c r="B22" s="734" t="s">
        <v>459</v>
      </c>
      <c r="C22" s="723"/>
      <c r="D22" s="723"/>
      <c r="E22" s="723"/>
      <c r="F22" s="732"/>
      <c r="G22" s="733"/>
      <c r="H22" s="727"/>
      <c r="I22" s="728"/>
      <c r="J22" s="717">
        <f t="shared" si="1"/>
        <v>0</v>
      </c>
      <c r="L22" s="735"/>
      <c r="M22" s="717"/>
      <c r="N22" s="717"/>
      <c r="O22" s="717"/>
      <c r="P22" s="717"/>
      <c r="Q22" s="717"/>
    </row>
    <row r="23">
      <c r="A23" s="730">
        <v>21.0</v>
      </c>
      <c r="B23" s="734" t="s">
        <v>248</v>
      </c>
      <c r="C23" s="723"/>
      <c r="D23" s="723"/>
      <c r="E23" s="723"/>
      <c r="F23" s="723"/>
      <c r="G23" s="736"/>
      <c r="H23" s="727"/>
      <c r="I23" s="728"/>
      <c r="J23" s="717">
        <f t="shared" si="1"/>
        <v>0</v>
      </c>
      <c r="L23" s="729"/>
      <c r="M23" s="717"/>
      <c r="N23" s="717"/>
      <c r="O23" s="717"/>
      <c r="P23" s="717"/>
      <c r="Q23" s="717"/>
    </row>
    <row r="24">
      <c r="A24" s="730">
        <v>22.0</v>
      </c>
      <c r="B24" s="734" t="s">
        <v>191</v>
      </c>
      <c r="C24" s="723"/>
      <c r="D24" s="723"/>
      <c r="E24" s="723"/>
      <c r="F24" s="723"/>
      <c r="G24" s="736"/>
      <c r="H24" s="727"/>
      <c r="I24" s="728"/>
      <c r="J24" s="717">
        <f t="shared" si="1"/>
        <v>0</v>
      </c>
      <c r="L24" s="717"/>
      <c r="M24" s="717"/>
      <c r="N24" s="717"/>
      <c r="O24" s="717"/>
      <c r="P24" s="717"/>
      <c r="Q24" s="717"/>
    </row>
    <row r="25">
      <c r="A25" s="730">
        <v>23.0</v>
      </c>
      <c r="B25" s="722" t="s">
        <v>152</v>
      </c>
      <c r="C25" s="723"/>
      <c r="D25" s="732"/>
      <c r="E25" s="723"/>
      <c r="F25" s="723"/>
      <c r="G25" s="726"/>
      <c r="H25" s="727"/>
      <c r="I25" s="728"/>
      <c r="J25" s="717">
        <f t="shared" si="1"/>
        <v>0</v>
      </c>
      <c r="L25" s="717"/>
      <c r="M25" s="717"/>
      <c r="N25" s="717"/>
      <c r="O25" s="717"/>
      <c r="P25" s="717"/>
      <c r="Q25" s="717"/>
    </row>
    <row r="26">
      <c r="A26" s="730">
        <v>24.0</v>
      </c>
      <c r="B26" s="722" t="s">
        <v>93</v>
      </c>
      <c r="C26" s="723"/>
      <c r="D26" s="723"/>
      <c r="E26" s="723"/>
      <c r="F26" s="723"/>
      <c r="G26" s="736"/>
      <c r="H26" s="727"/>
      <c r="I26" s="728"/>
      <c r="J26" s="717">
        <f t="shared" si="1"/>
        <v>0</v>
      </c>
      <c r="K26" s="717"/>
      <c r="L26" s="717"/>
      <c r="M26" s="717"/>
      <c r="N26" s="717"/>
      <c r="O26" s="717"/>
      <c r="P26" s="717"/>
      <c r="Q26" s="717"/>
    </row>
    <row r="27">
      <c r="A27" s="730">
        <v>25.0</v>
      </c>
      <c r="B27" s="734" t="s">
        <v>210</v>
      </c>
      <c r="C27" s="723"/>
      <c r="D27" s="723"/>
      <c r="E27" s="732"/>
      <c r="F27" s="723"/>
      <c r="G27" s="726"/>
      <c r="H27" s="727"/>
      <c r="I27" s="728"/>
      <c r="J27" s="717">
        <f t="shared" si="1"/>
        <v>0</v>
      </c>
    </row>
    <row r="28">
      <c r="A28" s="730">
        <v>26.0</v>
      </c>
      <c r="B28" s="722" t="s">
        <v>99</v>
      </c>
      <c r="C28" s="723"/>
      <c r="D28" s="723"/>
      <c r="E28" s="732"/>
      <c r="F28" s="723"/>
      <c r="G28" s="726"/>
      <c r="H28" s="727"/>
      <c r="I28" s="728"/>
      <c r="J28" s="717">
        <f t="shared" si="1"/>
        <v>0</v>
      </c>
    </row>
    <row r="29">
      <c r="A29" s="730">
        <v>27.0</v>
      </c>
      <c r="B29" s="722" t="s">
        <v>275</v>
      </c>
      <c r="C29" s="723"/>
      <c r="D29" s="732"/>
      <c r="E29" s="723"/>
      <c r="F29" s="723"/>
      <c r="G29" s="726"/>
      <c r="H29" s="727"/>
      <c r="I29" s="728"/>
      <c r="J29" s="717">
        <f t="shared" si="1"/>
        <v>0</v>
      </c>
    </row>
    <row r="30">
      <c r="A30" s="730"/>
      <c r="B30" s="734"/>
      <c r="C30" s="723"/>
      <c r="D30" s="723"/>
      <c r="E30" s="723"/>
      <c r="F30" s="723"/>
      <c r="G30" s="726"/>
      <c r="H30" s="727"/>
      <c r="I30" s="728"/>
      <c r="J30" s="717">
        <f t="shared" si="1"/>
        <v>0</v>
      </c>
    </row>
    <row r="31">
      <c r="A31" s="730"/>
      <c r="B31" s="734"/>
      <c r="C31" s="737"/>
      <c r="D31" s="737"/>
      <c r="E31" s="737"/>
      <c r="F31" s="738"/>
      <c r="G31" s="739"/>
      <c r="H31" s="740"/>
      <c r="J31" s="717"/>
      <c r="K31" s="717"/>
    </row>
    <row r="32">
      <c r="B32" s="741"/>
      <c r="C32" s="742">
        <f t="shared" ref="C32:I32" si="2">SUM(C3:C31)</f>
        <v>0</v>
      </c>
      <c r="D32" s="742">
        <f t="shared" si="2"/>
        <v>0</v>
      </c>
      <c r="E32" s="742">
        <f t="shared" si="2"/>
        <v>0</v>
      </c>
      <c r="F32" s="742">
        <f t="shared" si="2"/>
        <v>0</v>
      </c>
      <c r="G32" s="742">
        <f t="shared" si="2"/>
        <v>0</v>
      </c>
      <c r="H32" s="742">
        <f t="shared" si="2"/>
        <v>0</v>
      </c>
      <c r="I32" s="742">
        <f t="shared" si="2"/>
        <v>0</v>
      </c>
      <c r="J32" s="717">
        <f>(H32-I32)</f>
        <v>0</v>
      </c>
      <c r="K32" s="717"/>
    </row>
    <row r="33">
      <c r="B33" s="741"/>
      <c r="J33" s="717"/>
      <c r="K33" s="717"/>
    </row>
    <row r="34">
      <c r="B34" s="743" t="s">
        <v>460</v>
      </c>
      <c r="C34" s="744"/>
      <c r="D34" s="744"/>
      <c r="E34" s="744"/>
      <c r="F34" s="744"/>
      <c r="G34" s="744"/>
      <c r="H34" s="745"/>
      <c r="J34" s="717"/>
    </row>
    <row r="35">
      <c r="B35" s="746"/>
      <c r="C35" s="747"/>
      <c r="D35" s="747"/>
      <c r="E35" s="747"/>
      <c r="F35" s="747"/>
      <c r="G35" s="747"/>
      <c r="H35" s="748"/>
      <c r="J35" s="717"/>
    </row>
    <row r="36">
      <c r="B36" s="719" t="s">
        <v>451</v>
      </c>
      <c r="C36" s="720" t="s">
        <v>452</v>
      </c>
      <c r="D36" s="720" t="s">
        <v>453</v>
      </c>
      <c r="E36" s="720" t="s">
        <v>454</v>
      </c>
      <c r="F36" s="720" t="s">
        <v>455</v>
      </c>
      <c r="G36" s="720" t="s">
        <v>456</v>
      </c>
      <c r="H36" s="719" t="s">
        <v>457</v>
      </c>
      <c r="J36" s="717"/>
    </row>
    <row r="37">
      <c r="A37" s="749">
        <v>1.0</v>
      </c>
      <c r="B37" s="750" t="s">
        <v>461</v>
      </c>
      <c r="C37" s="727"/>
      <c r="D37" s="751"/>
      <c r="E37" s="727"/>
      <c r="F37" s="727"/>
      <c r="G37" s="723"/>
      <c r="H37" s="723"/>
      <c r="J37" s="717"/>
    </row>
    <row r="38">
      <c r="A38" s="730">
        <v>2.0</v>
      </c>
      <c r="B38" s="752" t="s">
        <v>295</v>
      </c>
      <c r="C38" s="727"/>
      <c r="D38" s="723"/>
      <c r="E38" s="727"/>
      <c r="F38" s="753"/>
      <c r="G38" s="751"/>
      <c r="H38" s="727"/>
      <c r="J38" s="717"/>
    </row>
    <row r="39">
      <c r="A39" s="730">
        <v>3.0</v>
      </c>
      <c r="B39" s="752" t="s">
        <v>331</v>
      </c>
      <c r="C39" s="727"/>
      <c r="D39" s="727"/>
      <c r="E39" s="723"/>
      <c r="F39" s="751"/>
      <c r="G39" s="753"/>
      <c r="H39" s="727"/>
    </row>
    <row r="40">
      <c r="A40" s="730">
        <v>4.0</v>
      </c>
      <c r="B40" s="750" t="s">
        <v>309</v>
      </c>
      <c r="C40" s="754"/>
      <c r="D40" s="754"/>
      <c r="E40" s="755"/>
      <c r="F40" s="727"/>
      <c r="G40" s="740"/>
      <c r="H40" s="754"/>
    </row>
    <row r="41">
      <c r="A41" s="730">
        <v>5.0</v>
      </c>
      <c r="B41" s="750" t="s">
        <v>300</v>
      </c>
      <c r="C41" s="754"/>
      <c r="D41" s="754"/>
      <c r="E41" s="755"/>
      <c r="F41" s="727"/>
      <c r="G41" s="740"/>
      <c r="H41" s="754"/>
    </row>
    <row r="42">
      <c r="A42" s="756"/>
      <c r="B42" s="757" t="s">
        <v>397</v>
      </c>
      <c r="C42" s="754"/>
      <c r="D42" s="754"/>
      <c r="E42" s="758"/>
      <c r="F42" s="751"/>
      <c r="G42" s="740"/>
      <c r="H42" s="754"/>
    </row>
    <row r="43">
      <c r="B43" s="741"/>
      <c r="C43" s="742">
        <f t="shared" ref="C43:H43" si="3">SUM(C37:C41)</f>
        <v>0</v>
      </c>
      <c r="D43" s="742">
        <f t="shared" si="3"/>
        <v>0</v>
      </c>
      <c r="E43" s="742">
        <f t="shared" si="3"/>
        <v>0</v>
      </c>
      <c r="F43" s="742">
        <f t="shared" si="3"/>
        <v>0</v>
      </c>
      <c r="G43" s="742">
        <f t="shared" si="3"/>
        <v>0</v>
      </c>
      <c r="H43" s="742">
        <f t="shared" si="3"/>
        <v>0</v>
      </c>
    </row>
    <row r="44">
      <c r="B44" s="741"/>
    </row>
    <row r="45">
      <c r="B45" s="743" t="s">
        <v>462</v>
      </c>
      <c r="C45" s="744"/>
      <c r="D45" s="744"/>
      <c r="E45" s="744"/>
      <c r="F45" s="744"/>
      <c r="G45" s="744"/>
      <c r="H45" s="745"/>
    </row>
    <row r="46">
      <c r="B46" s="746"/>
      <c r="C46" s="747"/>
      <c r="D46" s="747"/>
      <c r="E46" s="747"/>
      <c r="F46" s="747"/>
      <c r="G46" s="747"/>
      <c r="H46" s="748"/>
    </row>
    <row r="47">
      <c r="B47" s="759" t="s">
        <v>451</v>
      </c>
      <c r="C47" s="760" t="s">
        <v>452</v>
      </c>
      <c r="D47" s="760" t="s">
        <v>453</v>
      </c>
      <c r="E47" s="760" t="s">
        <v>454</v>
      </c>
      <c r="F47" s="760" t="s">
        <v>455</v>
      </c>
      <c r="G47" s="760" t="s">
        <v>456</v>
      </c>
      <c r="H47" s="759" t="s">
        <v>457</v>
      </c>
    </row>
    <row r="48">
      <c r="B48" s="761"/>
      <c r="C48" s="761"/>
      <c r="D48" s="761"/>
      <c r="E48" s="761"/>
      <c r="F48" s="761"/>
      <c r="G48" s="761"/>
      <c r="H48" s="761"/>
    </row>
    <row r="49">
      <c r="A49" s="749">
        <v>1.0</v>
      </c>
      <c r="B49" s="750" t="s">
        <v>463</v>
      </c>
      <c r="C49" s="727"/>
      <c r="D49" s="751"/>
      <c r="E49" s="753"/>
      <c r="F49" s="727"/>
      <c r="G49" s="727"/>
      <c r="H49" s="727"/>
    </row>
    <row r="50">
      <c r="A50" s="730">
        <v>2.0</v>
      </c>
      <c r="B50" s="762" t="s">
        <v>464</v>
      </c>
      <c r="C50" s="727"/>
      <c r="D50" s="727"/>
      <c r="E50" s="727"/>
      <c r="F50" s="727"/>
      <c r="G50" s="751"/>
      <c r="H50" s="727"/>
    </row>
    <row r="51">
      <c r="A51" s="730">
        <v>3.0</v>
      </c>
      <c r="B51" s="750" t="s">
        <v>327</v>
      </c>
      <c r="C51" s="727"/>
      <c r="D51" s="727"/>
      <c r="E51" s="727"/>
      <c r="F51" s="751"/>
      <c r="G51" s="727"/>
      <c r="H51" s="727"/>
    </row>
    <row r="52">
      <c r="A52" s="730">
        <v>4.0</v>
      </c>
      <c r="B52" s="750" t="s">
        <v>53</v>
      </c>
      <c r="C52" s="727"/>
      <c r="D52" s="727"/>
      <c r="E52" s="727"/>
      <c r="F52" s="727"/>
      <c r="G52" s="751"/>
      <c r="H52" s="727"/>
    </row>
    <row r="53">
      <c r="A53" s="730">
        <v>5.0</v>
      </c>
      <c r="B53" s="750" t="s">
        <v>465</v>
      </c>
      <c r="C53" s="727"/>
      <c r="D53" s="727"/>
      <c r="E53" s="727"/>
      <c r="F53" s="763"/>
      <c r="G53" s="753"/>
      <c r="H53" s="727"/>
    </row>
    <row r="54">
      <c r="A54" s="730">
        <v>6.0</v>
      </c>
      <c r="B54" s="750" t="s">
        <v>37</v>
      </c>
      <c r="C54" s="727"/>
      <c r="D54" s="727"/>
      <c r="E54" s="751"/>
      <c r="F54" s="753"/>
      <c r="G54" s="753"/>
      <c r="H54" s="727"/>
    </row>
    <row r="55">
      <c r="A55" s="730">
        <v>7.0</v>
      </c>
      <c r="B55" s="750" t="s">
        <v>358</v>
      </c>
      <c r="C55" s="753"/>
      <c r="D55" s="727"/>
      <c r="E55" s="763"/>
      <c r="F55" s="727"/>
      <c r="G55" s="753"/>
      <c r="H55" s="727"/>
    </row>
    <row r="56">
      <c r="A56" s="730">
        <v>8.0</v>
      </c>
      <c r="B56" s="752" t="s">
        <v>466</v>
      </c>
      <c r="C56" s="740"/>
      <c r="D56" s="764"/>
      <c r="E56" s="740"/>
      <c r="F56" s="754"/>
      <c r="G56" s="740"/>
      <c r="H56" s="740"/>
    </row>
    <row r="57">
      <c r="B57" s="741"/>
      <c r="C57" s="742">
        <f t="shared" ref="C57:H57" si="4">SUM(C49:C56)</f>
        <v>0</v>
      </c>
      <c r="D57" s="742">
        <f t="shared" si="4"/>
        <v>0</v>
      </c>
      <c r="E57" s="742">
        <f t="shared" si="4"/>
        <v>0</v>
      </c>
      <c r="F57" s="742">
        <f t="shared" si="4"/>
        <v>0</v>
      </c>
      <c r="G57" s="742">
        <f t="shared" si="4"/>
        <v>0</v>
      </c>
      <c r="H57" s="742">
        <f t="shared" si="4"/>
        <v>0</v>
      </c>
    </row>
    <row r="58">
      <c r="B58" s="741"/>
    </row>
    <row r="59">
      <c r="B59" s="743" t="s">
        <v>467</v>
      </c>
      <c r="C59" s="744"/>
      <c r="D59" s="744"/>
      <c r="E59" s="744"/>
      <c r="F59" s="744"/>
      <c r="G59" s="744"/>
      <c r="H59" s="745"/>
    </row>
    <row r="60">
      <c r="B60" s="746"/>
      <c r="C60" s="747"/>
      <c r="D60" s="747"/>
      <c r="E60" s="747"/>
      <c r="F60" s="747"/>
      <c r="G60" s="747"/>
      <c r="H60" s="748"/>
    </row>
    <row r="61">
      <c r="B61" s="759" t="s">
        <v>451</v>
      </c>
      <c r="C61" s="760" t="s">
        <v>452</v>
      </c>
      <c r="D61" s="760" t="s">
        <v>453</v>
      </c>
      <c r="E61" s="760" t="s">
        <v>454</v>
      </c>
      <c r="F61" s="760" t="s">
        <v>455</v>
      </c>
      <c r="G61" s="760" t="s">
        <v>456</v>
      </c>
      <c r="H61" s="759" t="s">
        <v>457</v>
      </c>
    </row>
    <row r="62">
      <c r="B62" s="761"/>
      <c r="C62" s="761"/>
      <c r="D62" s="761"/>
      <c r="E62" s="761"/>
      <c r="F62" s="761"/>
      <c r="G62" s="761"/>
      <c r="H62" s="761"/>
    </row>
    <row r="63">
      <c r="A63" s="749">
        <v>1.0</v>
      </c>
      <c r="B63" s="765" t="s">
        <v>64</v>
      </c>
      <c r="C63" s="751"/>
      <c r="D63" s="727"/>
      <c r="E63" s="727"/>
      <c r="F63" s="727"/>
      <c r="G63" s="753"/>
      <c r="H63" s="727"/>
    </row>
    <row r="64">
      <c r="A64" s="730">
        <v>2.0</v>
      </c>
      <c r="B64" s="762" t="s">
        <v>468</v>
      </c>
      <c r="C64" s="727"/>
      <c r="D64" s="727"/>
      <c r="E64" s="727"/>
      <c r="F64" s="751"/>
      <c r="G64" s="753"/>
      <c r="H64" s="727"/>
    </row>
    <row r="65">
      <c r="A65" s="730">
        <v>3.0</v>
      </c>
      <c r="B65" s="762" t="s">
        <v>372</v>
      </c>
      <c r="C65" s="727"/>
      <c r="D65" s="727"/>
      <c r="E65" s="727"/>
      <c r="F65" s="727"/>
      <c r="G65" s="751"/>
      <c r="H65" s="727"/>
    </row>
    <row r="66">
      <c r="A66" s="730">
        <v>4.0</v>
      </c>
      <c r="B66" s="762" t="s">
        <v>381</v>
      </c>
      <c r="C66" s="727"/>
      <c r="D66" s="727"/>
      <c r="E66" s="727"/>
      <c r="F66" s="763"/>
      <c r="G66" s="753"/>
      <c r="H66" s="727"/>
    </row>
    <row r="67">
      <c r="A67" s="730">
        <v>5.0</v>
      </c>
      <c r="B67" s="762" t="s">
        <v>375</v>
      </c>
      <c r="C67" s="754"/>
      <c r="D67" s="754"/>
      <c r="E67" s="766"/>
      <c r="F67" s="740"/>
      <c r="G67" s="740"/>
      <c r="H67" s="754"/>
    </row>
    <row r="68">
      <c r="A68" s="730">
        <v>6.0</v>
      </c>
      <c r="B68" s="752" t="s">
        <v>75</v>
      </c>
      <c r="C68" s="754"/>
      <c r="D68" s="754"/>
      <c r="E68" s="764"/>
      <c r="F68" s="754"/>
      <c r="G68" s="740"/>
      <c r="H68" s="740"/>
    </row>
    <row r="69">
      <c r="B69" s="741"/>
      <c r="C69" s="742">
        <f t="shared" ref="C69:H69" si="5">SUM(C63:C68)</f>
        <v>0</v>
      </c>
      <c r="D69" s="742">
        <f t="shared" si="5"/>
        <v>0</v>
      </c>
      <c r="E69" s="742">
        <f t="shared" si="5"/>
        <v>0</v>
      </c>
      <c r="F69" s="742">
        <f t="shared" si="5"/>
        <v>0</v>
      </c>
      <c r="G69" s="742">
        <f t="shared" si="5"/>
        <v>0</v>
      </c>
      <c r="H69" s="742">
        <f t="shared" si="5"/>
        <v>0</v>
      </c>
    </row>
    <row r="70">
      <c r="B70" s="741"/>
    </row>
    <row r="71">
      <c r="B71" s="741"/>
    </row>
    <row r="72">
      <c r="B72" s="767" t="s">
        <v>346</v>
      </c>
      <c r="C72" s="767" t="str">
        <f>C3+C4+C5+C6+C7+C8+C9+C10+C11+C12+C13+C14+C15+C16+C17+C18+C19+C20+C21+C22+C23+C24+#REF!+C25+C26+#REF!+#REF!+C27+C28+C29+C30+C31+C37+C38+C39+C41+C49+C50+C51+C52+C53+C54+C55+C56+C63+C64+C65+C66+C68</f>
        <v>#REF!</v>
      </c>
      <c r="D72" s="767" t="str">
        <f>'Plan de mise à quai Alfortville'!E49+D4+D5+D6+D7+D8+D9+D10+D11+D12+D13+D14+D15+D16+D17+D18+D19+D20+D21+D22+D23+D24+#REF!+D25+D26+#REF!+#REF!+D27+D28+D29+D30+D31+D37+D38+D39+D41+D49+D50+D51+D52+D53+D54+D55+D56+D63+D64+D65+D66+D68</f>
        <v>#REF!</v>
      </c>
      <c r="E72" s="767" t="str">
        <f t="shared" ref="E72:H72" si="6">E3+E4+E5+E6+E7+E8+E9+E10+E11+E12+E13+E14+E15+E16+E17+E18+E19+E20+E21+E22+E23+E24+#REF!+E25+E26+#REF!+#REF!+E27+E28+E29+E30+E31+E37+E38+E39+E41+E49+E50+E51+E52+E53+E54+E55+E56+E63+E64+E65+E66+E68</f>
        <v>#REF!</v>
      </c>
      <c r="F72" s="767" t="str">
        <f t="shared" si="6"/>
        <v>#REF!</v>
      </c>
      <c r="G72" s="767" t="str">
        <f t="shared" si="6"/>
        <v>#REF!</v>
      </c>
      <c r="H72" s="767" t="str">
        <f t="shared" si="6"/>
        <v>#REF!</v>
      </c>
    </row>
    <row r="73">
      <c r="B73" s="768"/>
      <c r="C73" s="768"/>
      <c r="D73" s="768"/>
      <c r="E73" s="768"/>
      <c r="F73" s="768"/>
      <c r="G73" s="768"/>
      <c r="H73" s="768"/>
    </row>
    <row r="74">
      <c r="B74" s="769"/>
      <c r="C74" s="769"/>
      <c r="D74" s="769"/>
      <c r="E74" s="769"/>
      <c r="F74" s="769"/>
      <c r="G74" s="769"/>
      <c r="H74" s="769"/>
    </row>
    <row r="75">
      <c r="B75" s="741"/>
    </row>
    <row r="76">
      <c r="B76" s="741"/>
    </row>
    <row r="77">
      <c r="B77" s="741"/>
    </row>
    <row r="78">
      <c r="B78" s="741"/>
    </row>
    <row r="79">
      <c r="B79" s="741"/>
    </row>
    <row r="80">
      <c r="B80" s="741"/>
    </row>
    <row r="81">
      <c r="B81" s="741"/>
    </row>
    <row r="82">
      <c r="B82" s="741"/>
    </row>
    <row r="83">
      <c r="B83" s="741"/>
    </row>
    <row r="84">
      <c r="B84" s="741"/>
    </row>
    <row r="85">
      <c r="B85" s="741"/>
    </row>
    <row r="86">
      <c r="B86" s="741"/>
    </row>
    <row r="87">
      <c r="B87" s="741"/>
    </row>
    <row r="88">
      <c r="B88" s="741"/>
    </row>
    <row r="89">
      <c r="B89" s="741"/>
    </row>
    <row r="90">
      <c r="B90" s="741"/>
    </row>
    <row r="91">
      <c r="B91" s="741"/>
    </row>
    <row r="92">
      <c r="B92" s="741"/>
    </row>
    <row r="93">
      <c r="B93" s="741"/>
    </row>
    <row r="94">
      <c r="B94" s="741"/>
    </row>
    <row r="95">
      <c r="B95" s="741"/>
    </row>
    <row r="96">
      <c r="B96" s="741"/>
    </row>
    <row r="97">
      <c r="B97" s="741"/>
    </row>
    <row r="98">
      <c r="B98" s="741"/>
    </row>
    <row r="99">
      <c r="B99" s="741"/>
    </row>
    <row r="100">
      <c r="B100" s="741"/>
    </row>
    <row r="101">
      <c r="B101" s="741"/>
    </row>
    <row r="102">
      <c r="B102" s="741"/>
    </row>
    <row r="103">
      <c r="B103" s="741"/>
    </row>
    <row r="104">
      <c r="B104" s="741"/>
    </row>
    <row r="105">
      <c r="B105" s="741"/>
    </row>
    <row r="106">
      <c r="B106" s="741"/>
    </row>
    <row r="107">
      <c r="B107" s="741"/>
    </row>
    <row r="108">
      <c r="B108" s="741"/>
    </row>
    <row r="109">
      <c r="B109" s="741"/>
    </row>
    <row r="110">
      <c r="B110" s="741"/>
    </row>
    <row r="111">
      <c r="B111" s="741"/>
    </row>
    <row r="112">
      <c r="B112" s="741"/>
    </row>
    <row r="113">
      <c r="B113" s="741"/>
    </row>
    <row r="114">
      <c r="B114" s="741"/>
    </row>
    <row r="115">
      <c r="B115" s="741"/>
    </row>
    <row r="116">
      <c r="B116" s="741"/>
    </row>
    <row r="117">
      <c r="B117" s="741"/>
    </row>
    <row r="118">
      <c r="B118" s="741"/>
    </row>
    <row r="119">
      <c r="B119" s="741"/>
    </row>
    <row r="120">
      <c r="B120" s="741"/>
    </row>
    <row r="121">
      <c r="B121" s="741"/>
    </row>
    <row r="122">
      <c r="B122" s="741"/>
    </row>
    <row r="123">
      <c r="B123" s="741"/>
    </row>
    <row r="124">
      <c r="B124" s="741"/>
    </row>
    <row r="125">
      <c r="B125" s="741"/>
    </row>
    <row r="126">
      <c r="B126" s="741"/>
    </row>
    <row r="127">
      <c r="B127" s="741"/>
    </row>
    <row r="128">
      <c r="B128" s="741"/>
    </row>
    <row r="129">
      <c r="B129" s="741"/>
    </row>
    <row r="130">
      <c r="B130" s="741"/>
    </row>
    <row r="131">
      <c r="B131" s="741"/>
    </row>
    <row r="132">
      <c r="B132" s="741"/>
    </row>
    <row r="133">
      <c r="B133" s="741"/>
    </row>
    <row r="134">
      <c r="B134" s="741"/>
    </row>
    <row r="135">
      <c r="B135" s="741"/>
    </row>
    <row r="136">
      <c r="B136" s="741"/>
    </row>
    <row r="137">
      <c r="B137" s="741"/>
    </row>
    <row r="138">
      <c r="B138" s="741"/>
    </row>
    <row r="139">
      <c r="B139" s="741"/>
    </row>
    <row r="140">
      <c r="B140" s="741"/>
    </row>
    <row r="141">
      <c r="B141" s="741"/>
    </row>
    <row r="142">
      <c r="B142" s="741"/>
    </row>
    <row r="143">
      <c r="B143" s="741"/>
    </row>
    <row r="144">
      <c r="B144" s="741"/>
    </row>
    <row r="145">
      <c r="B145" s="741"/>
    </row>
    <row r="146">
      <c r="B146" s="741"/>
    </row>
    <row r="147">
      <c r="B147" s="741"/>
    </row>
    <row r="148">
      <c r="B148" s="741"/>
    </row>
    <row r="149">
      <c r="B149" s="741"/>
    </row>
    <row r="150">
      <c r="B150" s="741"/>
    </row>
    <row r="151">
      <c r="B151" s="741"/>
    </row>
    <row r="152">
      <c r="B152" s="741"/>
    </row>
    <row r="153">
      <c r="B153" s="741"/>
    </row>
    <row r="154">
      <c r="B154" s="741"/>
    </row>
    <row r="155">
      <c r="B155" s="741"/>
    </row>
    <row r="156">
      <c r="B156" s="741"/>
    </row>
    <row r="157">
      <c r="B157" s="741"/>
    </row>
    <row r="158">
      <c r="B158" s="741"/>
    </row>
    <row r="159">
      <c r="B159" s="741"/>
    </row>
    <row r="160">
      <c r="B160" s="741"/>
    </row>
    <row r="161">
      <c r="B161" s="741"/>
    </row>
    <row r="162">
      <c r="B162" s="741"/>
    </row>
    <row r="163">
      <c r="B163" s="741"/>
    </row>
    <row r="164">
      <c r="B164" s="741"/>
    </row>
    <row r="165">
      <c r="B165" s="741"/>
    </row>
    <row r="166">
      <c r="B166" s="741"/>
    </row>
    <row r="167">
      <c r="B167" s="741"/>
    </row>
    <row r="168">
      <c r="B168" s="741"/>
    </row>
    <row r="169">
      <c r="B169" s="741"/>
    </row>
    <row r="170">
      <c r="B170" s="741"/>
    </row>
    <row r="171">
      <c r="B171" s="741"/>
    </row>
    <row r="172">
      <c r="B172" s="741"/>
    </row>
    <row r="173">
      <c r="B173" s="741"/>
    </row>
    <row r="174">
      <c r="B174" s="741"/>
    </row>
    <row r="175">
      <c r="B175" s="741"/>
    </row>
    <row r="176">
      <c r="B176" s="741"/>
    </row>
    <row r="177">
      <c r="B177" s="741"/>
    </row>
    <row r="178">
      <c r="B178" s="741"/>
    </row>
    <row r="179">
      <c r="B179" s="741"/>
    </row>
    <row r="180">
      <c r="B180" s="741"/>
    </row>
    <row r="181">
      <c r="B181" s="741"/>
    </row>
    <row r="182">
      <c r="B182" s="741"/>
    </row>
    <row r="183">
      <c r="B183" s="741"/>
    </row>
    <row r="184">
      <c r="B184" s="741"/>
    </row>
    <row r="185">
      <c r="B185" s="741"/>
    </row>
    <row r="186">
      <c r="B186" s="741"/>
    </row>
    <row r="187">
      <c r="B187" s="741"/>
    </row>
    <row r="188">
      <c r="B188" s="741"/>
    </row>
    <row r="189">
      <c r="B189" s="741"/>
    </row>
    <row r="190">
      <c r="B190" s="741"/>
    </row>
    <row r="191">
      <c r="B191" s="741"/>
    </row>
    <row r="192">
      <c r="B192" s="741"/>
    </row>
    <row r="193">
      <c r="B193" s="741"/>
    </row>
    <row r="194">
      <c r="B194" s="741"/>
    </row>
    <row r="195">
      <c r="B195" s="741"/>
    </row>
    <row r="196">
      <c r="B196" s="741"/>
    </row>
    <row r="197">
      <c r="B197" s="741"/>
    </row>
    <row r="198">
      <c r="B198" s="741"/>
    </row>
    <row r="199">
      <c r="B199" s="741"/>
    </row>
    <row r="200">
      <c r="B200" s="741"/>
    </row>
    <row r="201">
      <c r="B201" s="741"/>
    </row>
    <row r="202">
      <c r="B202" s="741"/>
    </row>
    <row r="203">
      <c r="B203" s="741"/>
    </row>
    <row r="204">
      <c r="B204" s="741"/>
    </row>
    <row r="205">
      <c r="B205" s="741"/>
    </row>
    <row r="206">
      <c r="B206" s="741"/>
    </row>
    <row r="207">
      <c r="B207" s="741"/>
    </row>
    <row r="208">
      <c r="B208" s="741"/>
    </row>
    <row r="209">
      <c r="B209" s="741"/>
    </row>
    <row r="210">
      <c r="B210" s="741"/>
    </row>
    <row r="211">
      <c r="B211" s="741"/>
    </row>
    <row r="212">
      <c r="B212" s="741"/>
    </row>
    <row r="213">
      <c r="B213" s="741"/>
    </row>
    <row r="214">
      <c r="B214" s="741"/>
    </row>
    <row r="215">
      <c r="B215" s="741"/>
    </row>
    <row r="216">
      <c r="B216" s="741"/>
    </row>
    <row r="217">
      <c r="B217" s="741"/>
    </row>
    <row r="218">
      <c r="B218" s="741"/>
    </row>
    <row r="219">
      <c r="B219" s="741"/>
    </row>
    <row r="220">
      <c r="B220" s="741"/>
    </row>
    <row r="221">
      <c r="B221" s="741"/>
    </row>
    <row r="222">
      <c r="B222" s="741"/>
    </row>
    <row r="223">
      <c r="B223" s="741"/>
    </row>
    <row r="224">
      <c r="B224" s="741"/>
    </row>
    <row r="225">
      <c r="B225" s="741"/>
    </row>
    <row r="226">
      <c r="B226" s="741"/>
    </row>
    <row r="227">
      <c r="B227" s="741"/>
    </row>
    <row r="228">
      <c r="B228" s="741"/>
    </row>
    <row r="229">
      <c r="B229" s="741"/>
    </row>
    <row r="230">
      <c r="B230" s="741"/>
    </row>
    <row r="231">
      <c r="B231" s="741"/>
    </row>
    <row r="232">
      <c r="B232" s="741"/>
    </row>
    <row r="233">
      <c r="B233" s="741"/>
    </row>
    <row r="234">
      <c r="B234" s="741"/>
    </row>
    <row r="235">
      <c r="B235" s="741"/>
    </row>
    <row r="236">
      <c r="B236" s="741"/>
    </row>
    <row r="237">
      <c r="B237" s="741"/>
    </row>
    <row r="238">
      <c r="B238" s="741"/>
    </row>
    <row r="239">
      <c r="B239" s="741"/>
    </row>
    <row r="240">
      <c r="B240" s="741"/>
    </row>
    <row r="241">
      <c r="B241" s="741"/>
    </row>
    <row r="242">
      <c r="B242" s="741"/>
    </row>
    <row r="243">
      <c r="B243" s="741"/>
    </row>
    <row r="244">
      <c r="B244" s="741"/>
    </row>
    <row r="245">
      <c r="B245" s="741"/>
    </row>
    <row r="246">
      <c r="B246" s="741"/>
    </row>
    <row r="247">
      <c r="B247" s="741"/>
    </row>
    <row r="248">
      <c r="B248" s="741"/>
    </row>
    <row r="249">
      <c r="B249" s="741"/>
    </row>
    <row r="250">
      <c r="B250" s="741"/>
    </row>
    <row r="251">
      <c r="B251" s="741"/>
    </row>
    <row r="252">
      <c r="B252" s="741"/>
    </row>
    <row r="253">
      <c r="B253" s="741"/>
    </row>
    <row r="254">
      <c r="B254" s="741"/>
    </row>
    <row r="255">
      <c r="B255" s="741"/>
    </row>
    <row r="256">
      <c r="B256" s="741"/>
    </row>
    <row r="257">
      <c r="B257" s="741"/>
    </row>
    <row r="258">
      <c r="B258" s="741"/>
    </row>
    <row r="259">
      <c r="B259" s="741"/>
    </row>
    <row r="260">
      <c r="B260" s="741"/>
    </row>
    <row r="261">
      <c r="B261" s="741"/>
    </row>
    <row r="262">
      <c r="B262" s="741"/>
    </row>
    <row r="263">
      <c r="B263" s="741"/>
    </row>
    <row r="264">
      <c r="B264" s="741"/>
    </row>
    <row r="265">
      <c r="B265" s="741"/>
    </row>
    <row r="266">
      <c r="B266" s="741"/>
    </row>
    <row r="267">
      <c r="B267" s="741"/>
    </row>
    <row r="268">
      <c r="B268" s="741"/>
    </row>
    <row r="269">
      <c r="B269" s="741"/>
    </row>
    <row r="270">
      <c r="B270" s="741"/>
    </row>
    <row r="271">
      <c r="B271" s="741"/>
    </row>
    <row r="272">
      <c r="B272" s="741"/>
    </row>
    <row r="273">
      <c r="B273" s="741"/>
    </row>
    <row r="274">
      <c r="B274" s="741"/>
    </row>
    <row r="275">
      <c r="B275" s="741"/>
    </row>
    <row r="276">
      <c r="B276" s="741"/>
    </row>
    <row r="277">
      <c r="B277" s="741"/>
    </row>
    <row r="278">
      <c r="B278" s="741"/>
    </row>
    <row r="279">
      <c r="B279" s="741"/>
    </row>
    <row r="280">
      <c r="B280" s="741"/>
    </row>
    <row r="281">
      <c r="B281" s="741"/>
    </row>
    <row r="282">
      <c r="B282" s="741"/>
    </row>
    <row r="283">
      <c r="B283" s="741"/>
    </row>
    <row r="284">
      <c r="B284" s="741"/>
    </row>
    <row r="285">
      <c r="B285" s="741"/>
    </row>
    <row r="286">
      <c r="B286" s="741"/>
    </row>
    <row r="287">
      <c r="B287" s="741"/>
    </row>
    <row r="288">
      <c r="B288" s="741"/>
    </row>
    <row r="289">
      <c r="B289" s="741"/>
    </row>
    <row r="290">
      <c r="B290" s="741"/>
    </row>
    <row r="291">
      <c r="B291" s="741"/>
    </row>
    <row r="292">
      <c r="B292" s="741"/>
    </row>
    <row r="293">
      <c r="B293" s="741"/>
    </row>
    <row r="294">
      <c r="B294" s="741"/>
    </row>
    <row r="295">
      <c r="B295" s="741"/>
    </row>
    <row r="296">
      <c r="B296" s="741"/>
    </row>
    <row r="297">
      <c r="B297" s="741"/>
    </row>
    <row r="298">
      <c r="B298" s="741"/>
    </row>
    <row r="299">
      <c r="B299" s="741"/>
    </row>
    <row r="300">
      <c r="B300" s="741"/>
    </row>
    <row r="301">
      <c r="B301" s="741"/>
    </row>
    <row r="302">
      <c r="B302" s="741"/>
    </row>
    <row r="303">
      <c r="B303" s="741"/>
    </row>
    <row r="304">
      <c r="B304" s="741"/>
    </row>
    <row r="305">
      <c r="B305" s="741"/>
    </row>
    <row r="306">
      <c r="B306" s="741"/>
    </row>
    <row r="307">
      <c r="B307" s="741"/>
    </row>
    <row r="308">
      <c r="B308" s="741"/>
    </row>
    <row r="309">
      <c r="B309" s="741"/>
    </row>
    <row r="310">
      <c r="B310" s="741"/>
    </row>
    <row r="311">
      <c r="B311" s="741"/>
    </row>
    <row r="312">
      <c r="B312" s="741"/>
    </row>
    <row r="313">
      <c r="B313" s="741"/>
    </row>
    <row r="314">
      <c r="B314" s="741"/>
    </row>
    <row r="315">
      <c r="B315" s="741"/>
    </row>
    <row r="316">
      <c r="B316" s="741"/>
    </row>
    <row r="317">
      <c r="B317" s="741"/>
    </row>
    <row r="318">
      <c r="B318" s="741"/>
    </row>
    <row r="319">
      <c r="B319" s="741"/>
    </row>
    <row r="320">
      <c r="B320" s="741"/>
    </row>
    <row r="321">
      <c r="B321" s="741"/>
    </row>
    <row r="322">
      <c r="B322" s="741"/>
    </row>
    <row r="323">
      <c r="B323" s="741"/>
    </row>
    <row r="324">
      <c r="B324" s="741"/>
    </row>
    <row r="325">
      <c r="B325" s="741"/>
    </row>
    <row r="326">
      <c r="B326" s="741"/>
    </row>
    <row r="327">
      <c r="B327" s="741"/>
    </row>
    <row r="328">
      <c r="B328" s="741"/>
    </row>
    <row r="329">
      <c r="B329" s="741"/>
    </row>
    <row r="330">
      <c r="B330" s="741"/>
    </row>
    <row r="331">
      <c r="B331" s="741"/>
    </row>
    <row r="332">
      <c r="B332" s="741"/>
    </row>
    <row r="333">
      <c r="B333" s="741"/>
    </row>
    <row r="334">
      <c r="B334" s="741"/>
    </row>
    <row r="335">
      <c r="B335" s="741"/>
    </row>
    <row r="336">
      <c r="B336" s="741"/>
    </row>
    <row r="337">
      <c r="B337" s="741"/>
    </row>
    <row r="338">
      <c r="B338" s="741"/>
    </row>
    <row r="339">
      <c r="B339" s="741"/>
    </row>
    <row r="340">
      <c r="B340" s="741"/>
    </row>
    <row r="341">
      <c r="B341" s="741"/>
    </row>
    <row r="342">
      <c r="B342" s="741"/>
    </row>
    <row r="343">
      <c r="B343" s="741"/>
    </row>
    <row r="344">
      <c r="B344" s="741"/>
    </row>
    <row r="345">
      <c r="B345" s="741"/>
    </row>
    <row r="346">
      <c r="B346" s="741"/>
    </row>
    <row r="347">
      <c r="B347" s="741"/>
    </row>
    <row r="348">
      <c r="B348" s="741"/>
    </row>
    <row r="349">
      <c r="B349" s="741"/>
    </row>
    <row r="350">
      <c r="B350" s="741"/>
    </row>
    <row r="351">
      <c r="B351" s="741"/>
    </row>
    <row r="352">
      <c r="B352" s="741"/>
    </row>
    <row r="353">
      <c r="B353" s="741"/>
    </row>
    <row r="354">
      <c r="B354" s="741"/>
    </row>
    <row r="355">
      <c r="B355" s="741"/>
    </row>
    <row r="356">
      <c r="B356" s="741"/>
    </row>
    <row r="357">
      <c r="B357" s="741"/>
    </row>
    <row r="358">
      <c r="B358" s="741"/>
    </row>
    <row r="359">
      <c r="B359" s="741"/>
    </row>
    <row r="360">
      <c r="B360" s="741"/>
    </row>
    <row r="361">
      <c r="B361" s="741"/>
    </row>
    <row r="362">
      <c r="B362" s="741"/>
    </row>
    <row r="363">
      <c r="B363" s="741"/>
    </row>
    <row r="364">
      <c r="B364" s="741"/>
    </row>
    <row r="365">
      <c r="B365" s="741"/>
    </row>
    <row r="366">
      <c r="B366" s="741"/>
    </row>
    <row r="367">
      <c r="B367" s="741"/>
    </row>
    <row r="368">
      <c r="B368" s="741"/>
    </row>
    <row r="369">
      <c r="B369" s="741"/>
    </row>
    <row r="370">
      <c r="B370" s="741"/>
    </row>
    <row r="371">
      <c r="B371" s="741"/>
    </row>
    <row r="372">
      <c r="B372" s="741"/>
    </row>
    <row r="373">
      <c r="B373" s="741"/>
    </row>
    <row r="374">
      <c r="B374" s="741"/>
    </row>
    <row r="375">
      <c r="B375" s="741"/>
    </row>
    <row r="376">
      <c r="B376" s="741"/>
    </row>
    <row r="377">
      <c r="B377" s="741"/>
    </row>
    <row r="378">
      <c r="B378" s="741"/>
    </row>
    <row r="379">
      <c r="B379" s="741"/>
    </row>
    <row r="380">
      <c r="B380" s="741"/>
    </row>
    <row r="381">
      <c r="B381" s="741"/>
    </row>
    <row r="382">
      <c r="B382" s="741"/>
    </row>
    <row r="383">
      <c r="B383" s="741"/>
    </row>
    <row r="384">
      <c r="B384" s="741"/>
    </row>
    <row r="385">
      <c r="B385" s="741"/>
    </row>
    <row r="386">
      <c r="B386" s="741"/>
    </row>
    <row r="387">
      <c r="B387" s="741"/>
    </row>
    <row r="388">
      <c r="B388" s="741"/>
    </row>
    <row r="389">
      <c r="B389" s="741"/>
    </row>
    <row r="390">
      <c r="B390" s="741"/>
    </row>
    <row r="391">
      <c r="B391" s="741"/>
    </row>
    <row r="392">
      <c r="B392" s="741"/>
    </row>
    <row r="393">
      <c r="B393" s="741"/>
    </row>
    <row r="394">
      <c r="B394" s="741"/>
    </row>
    <row r="395">
      <c r="B395" s="741"/>
    </row>
    <row r="396">
      <c r="B396" s="741"/>
    </row>
    <row r="397">
      <c r="B397" s="741"/>
    </row>
    <row r="398">
      <c r="B398" s="741"/>
    </row>
    <row r="399">
      <c r="B399" s="741"/>
    </row>
    <row r="400">
      <c r="B400" s="741"/>
    </row>
    <row r="401">
      <c r="B401" s="741"/>
    </row>
    <row r="402">
      <c r="B402" s="741"/>
    </row>
    <row r="403">
      <c r="B403" s="741"/>
    </row>
    <row r="404">
      <c r="B404" s="741"/>
    </row>
    <row r="405">
      <c r="B405" s="741"/>
    </row>
    <row r="406">
      <c r="B406" s="741"/>
    </row>
    <row r="407">
      <c r="B407" s="741"/>
    </row>
    <row r="408">
      <c r="B408" s="741"/>
    </row>
    <row r="409">
      <c r="B409" s="741"/>
    </row>
    <row r="410">
      <c r="B410" s="741"/>
    </row>
    <row r="411">
      <c r="B411" s="741"/>
    </row>
    <row r="412">
      <c r="B412" s="741"/>
    </row>
    <row r="413">
      <c r="B413" s="741"/>
    </row>
    <row r="414">
      <c r="B414" s="741"/>
    </row>
    <row r="415">
      <c r="B415" s="741"/>
    </row>
    <row r="416">
      <c r="B416" s="741"/>
    </row>
    <row r="417">
      <c r="B417" s="741"/>
    </row>
    <row r="418">
      <c r="B418" s="741"/>
    </row>
    <row r="419">
      <c r="B419" s="741"/>
    </row>
    <row r="420">
      <c r="B420" s="741"/>
    </row>
    <row r="421">
      <c r="B421" s="741"/>
    </row>
    <row r="422">
      <c r="B422" s="741"/>
    </row>
    <row r="423">
      <c r="B423" s="741"/>
    </row>
    <row r="424">
      <c r="B424" s="741"/>
    </row>
    <row r="425">
      <c r="B425" s="741"/>
    </row>
    <row r="426">
      <c r="B426" s="741"/>
    </row>
    <row r="427">
      <c r="B427" s="741"/>
    </row>
    <row r="428">
      <c r="B428" s="741"/>
    </row>
    <row r="429">
      <c r="B429" s="741"/>
    </row>
    <row r="430">
      <c r="B430" s="741"/>
    </row>
    <row r="431">
      <c r="B431" s="741"/>
    </row>
    <row r="432">
      <c r="B432" s="741"/>
    </row>
    <row r="433">
      <c r="B433" s="741"/>
    </row>
    <row r="434">
      <c r="B434" s="741"/>
    </row>
    <row r="435">
      <c r="B435" s="741"/>
    </row>
    <row r="436">
      <c r="B436" s="741"/>
    </row>
    <row r="437">
      <c r="B437" s="741"/>
    </row>
    <row r="438">
      <c r="B438" s="741"/>
    </row>
    <row r="439">
      <c r="B439" s="741"/>
    </row>
    <row r="440">
      <c r="B440" s="741"/>
    </row>
    <row r="441">
      <c r="B441" s="741"/>
    </row>
    <row r="442">
      <c r="B442" s="741"/>
    </row>
    <row r="443">
      <c r="B443" s="741"/>
    </row>
    <row r="444">
      <c r="B444" s="741"/>
    </row>
    <row r="445">
      <c r="B445" s="741"/>
    </row>
    <row r="446">
      <c r="B446" s="741"/>
    </row>
    <row r="447">
      <c r="B447" s="741"/>
    </row>
    <row r="448">
      <c r="B448" s="741"/>
    </row>
    <row r="449">
      <c r="B449" s="741"/>
    </row>
    <row r="450">
      <c r="B450" s="741"/>
    </row>
    <row r="451">
      <c r="B451" s="741"/>
    </row>
    <row r="452">
      <c r="B452" s="741"/>
    </row>
    <row r="453">
      <c r="B453" s="741"/>
    </row>
    <row r="454">
      <c r="B454" s="741"/>
    </row>
    <row r="455">
      <c r="B455" s="741"/>
    </row>
    <row r="456">
      <c r="B456" s="741"/>
    </row>
    <row r="457">
      <c r="B457" s="741"/>
    </row>
    <row r="458">
      <c r="B458" s="741"/>
    </row>
    <row r="459">
      <c r="B459" s="741"/>
    </row>
    <row r="460">
      <c r="B460" s="741"/>
    </row>
    <row r="461">
      <c r="B461" s="741"/>
    </row>
    <row r="462">
      <c r="B462" s="741"/>
    </row>
    <row r="463">
      <c r="B463" s="741"/>
    </row>
    <row r="464">
      <c r="B464" s="741"/>
    </row>
    <row r="465">
      <c r="B465" s="741"/>
    </row>
    <row r="466">
      <c r="B466" s="741"/>
    </row>
    <row r="467">
      <c r="B467" s="741"/>
    </row>
    <row r="468">
      <c r="B468" s="741"/>
    </row>
    <row r="469">
      <c r="B469" s="741"/>
    </row>
    <row r="470">
      <c r="B470" s="741"/>
    </row>
    <row r="471">
      <c r="B471" s="741"/>
    </row>
    <row r="472">
      <c r="B472" s="741"/>
    </row>
    <row r="473">
      <c r="B473" s="741"/>
    </row>
    <row r="474">
      <c r="B474" s="741"/>
    </row>
    <row r="475">
      <c r="B475" s="741"/>
    </row>
    <row r="476">
      <c r="B476" s="741"/>
    </row>
    <row r="477">
      <c r="B477" s="741"/>
    </row>
    <row r="478">
      <c r="B478" s="741"/>
    </row>
    <row r="479">
      <c r="B479" s="741"/>
    </row>
    <row r="480">
      <c r="B480" s="741"/>
    </row>
    <row r="481">
      <c r="B481" s="741"/>
    </row>
    <row r="482">
      <c r="B482" s="741"/>
    </row>
    <row r="483">
      <c r="B483" s="741"/>
    </row>
    <row r="484">
      <c r="B484" s="741"/>
    </row>
    <row r="485">
      <c r="B485" s="741"/>
    </row>
    <row r="486">
      <c r="B486" s="741"/>
    </row>
    <row r="487">
      <c r="B487" s="741"/>
    </row>
    <row r="488">
      <c r="B488" s="741"/>
    </row>
    <row r="489">
      <c r="B489" s="741"/>
    </row>
    <row r="490">
      <c r="B490" s="741"/>
    </row>
    <row r="491">
      <c r="B491" s="741"/>
    </row>
    <row r="492">
      <c r="B492" s="741"/>
    </row>
    <row r="493">
      <c r="B493" s="741"/>
    </row>
    <row r="494">
      <c r="B494" s="741"/>
    </row>
    <row r="495">
      <c r="B495" s="741"/>
    </row>
    <row r="496">
      <c r="B496" s="741"/>
    </row>
    <row r="497">
      <c r="B497" s="741"/>
    </row>
    <row r="498">
      <c r="B498" s="741"/>
    </row>
    <row r="499">
      <c r="B499" s="741"/>
    </row>
    <row r="500">
      <c r="B500" s="741"/>
    </row>
    <row r="501">
      <c r="B501" s="741"/>
    </row>
    <row r="502">
      <c r="B502" s="741"/>
    </row>
    <row r="503">
      <c r="B503" s="741"/>
    </row>
    <row r="504">
      <c r="B504" s="741"/>
    </row>
    <row r="505">
      <c r="B505" s="741"/>
    </row>
    <row r="506">
      <c r="B506" s="741"/>
    </row>
    <row r="507">
      <c r="B507" s="741"/>
    </row>
    <row r="508">
      <c r="B508" s="741"/>
    </row>
    <row r="509">
      <c r="B509" s="741"/>
    </row>
    <row r="510">
      <c r="B510" s="741"/>
    </row>
    <row r="511">
      <c r="B511" s="741"/>
    </row>
    <row r="512">
      <c r="B512" s="741"/>
    </row>
    <row r="513">
      <c r="B513" s="741"/>
    </row>
    <row r="514">
      <c r="B514" s="741"/>
    </row>
    <row r="515">
      <c r="B515" s="741"/>
    </row>
    <row r="516">
      <c r="B516" s="741"/>
    </row>
    <row r="517">
      <c r="B517" s="741"/>
    </row>
    <row r="518">
      <c r="B518" s="741"/>
    </row>
    <row r="519">
      <c r="B519" s="741"/>
    </row>
    <row r="520">
      <c r="B520" s="741"/>
    </row>
    <row r="521">
      <c r="B521" s="741"/>
    </row>
    <row r="522">
      <c r="B522" s="741"/>
    </row>
    <row r="523">
      <c r="B523" s="741"/>
    </row>
    <row r="524">
      <c r="B524" s="741"/>
    </row>
    <row r="525">
      <c r="B525" s="741"/>
    </row>
    <row r="526">
      <c r="B526" s="741"/>
    </row>
    <row r="527">
      <c r="B527" s="741"/>
    </row>
    <row r="528">
      <c r="B528" s="741"/>
    </row>
    <row r="529">
      <c r="B529" s="741"/>
    </row>
    <row r="530">
      <c r="B530" s="741"/>
    </row>
    <row r="531">
      <c r="B531" s="741"/>
    </row>
    <row r="532">
      <c r="B532" s="741"/>
    </row>
    <row r="533">
      <c r="B533" s="741"/>
    </row>
    <row r="534">
      <c r="B534" s="741"/>
    </row>
    <row r="535">
      <c r="B535" s="741"/>
    </row>
    <row r="536">
      <c r="B536" s="741"/>
    </row>
    <row r="537">
      <c r="B537" s="741"/>
    </row>
    <row r="538">
      <c r="B538" s="741"/>
    </row>
    <row r="539">
      <c r="B539" s="741"/>
    </row>
    <row r="540">
      <c r="B540" s="741"/>
    </row>
    <row r="541">
      <c r="B541" s="741"/>
    </row>
    <row r="542">
      <c r="B542" s="741"/>
    </row>
    <row r="543">
      <c r="B543" s="741"/>
    </row>
    <row r="544">
      <c r="B544" s="741"/>
    </row>
    <row r="545">
      <c r="B545" s="741"/>
    </row>
    <row r="546">
      <c r="B546" s="741"/>
    </row>
    <row r="547">
      <c r="B547" s="741"/>
    </row>
    <row r="548">
      <c r="B548" s="741"/>
    </row>
    <row r="549">
      <c r="B549" s="741"/>
    </row>
    <row r="550">
      <c r="B550" s="741"/>
    </row>
    <row r="551">
      <c r="B551" s="741"/>
    </row>
    <row r="552">
      <c r="B552" s="741"/>
    </row>
    <row r="553">
      <c r="B553" s="741"/>
    </row>
    <row r="554">
      <c r="B554" s="741"/>
    </row>
    <row r="555">
      <c r="B555" s="741"/>
    </row>
    <row r="556">
      <c r="B556" s="741"/>
    </row>
    <row r="557">
      <c r="B557" s="741"/>
    </row>
    <row r="558">
      <c r="B558" s="741"/>
    </row>
    <row r="559">
      <c r="B559" s="741"/>
    </row>
    <row r="560">
      <c r="B560" s="741"/>
    </row>
    <row r="561">
      <c r="B561" s="741"/>
    </row>
    <row r="562">
      <c r="B562" s="741"/>
    </row>
    <row r="563">
      <c r="B563" s="741"/>
    </row>
    <row r="564">
      <c r="B564" s="741"/>
    </row>
    <row r="565">
      <c r="B565" s="741"/>
    </row>
    <row r="566">
      <c r="B566" s="741"/>
    </row>
    <row r="567">
      <c r="B567" s="741"/>
    </row>
    <row r="568">
      <c r="B568" s="741"/>
    </row>
    <row r="569">
      <c r="B569" s="741"/>
    </row>
    <row r="570">
      <c r="B570" s="741"/>
    </row>
    <row r="571">
      <c r="B571" s="741"/>
    </row>
    <row r="572">
      <c r="B572" s="741"/>
    </row>
    <row r="573">
      <c r="B573" s="741"/>
    </row>
    <row r="574">
      <c r="B574" s="741"/>
    </row>
    <row r="575">
      <c r="B575" s="741"/>
    </row>
    <row r="576">
      <c r="B576" s="741"/>
    </row>
    <row r="577">
      <c r="B577" s="741"/>
    </row>
    <row r="578">
      <c r="B578" s="741"/>
    </row>
    <row r="579">
      <c r="B579" s="741"/>
    </row>
    <row r="580">
      <c r="B580" s="741"/>
    </row>
    <row r="581">
      <c r="B581" s="741"/>
    </row>
    <row r="582">
      <c r="B582" s="741"/>
    </row>
    <row r="583">
      <c r="B583" s="741"/>
    </row>
    <row r="584">
      <c r="B584" s="741"/>
    </row>
    <row r="585">
      <c r="B585" s="741"/>
    </row>
    <row r="586">
      <c r="B586" s="741"/>
    </row>
    <row r="587">
      <c r="B587" s="741"/>
    </row>
    <row r="588">
      <c r="B588" s="741"/>
    </row>
    <row r="589">
      <c r="B589" s="741"/>
    </row>
    <row r="590">
      <c r="B590" s="741"/>
    </row>
    <row r="591">
      <c r="B591" s="741"/>
    </row>
    <row r="592">
      <c r="B592" s="741"/>
    </row>
    <row r="593">
      <c r="B593" s="741"/>
    </row>
    <row r="594">
      <c r="B594" s="741"/>
    </row>
    <row r="595">
      <c r="B595" s="741"/>
    </row>
    <row r="596">
      <c r="B596" s="741"/>
    </row>
    <row r="597">
      <c r="B597" s="741"/>
    </row>
    <row r="598">
      <c r="B598" s="741"/>
    </row>
    <row r="599">
      <c r="B599" s="741"/>
    </row>
    <row r="600">
      <c r="B600" s="741"/>
    </row>
    <row r="601">
      <c r="B601" s="741"/>
    </row>
    <row r="602">
      <c r="B602" s="741"/>
    </row>
    <row r="603">
      <c r="B603" s="741"/>
    </row>
    <row r="604">
      <c r="B604" s="741"/>
    </row>
    <row r="605">
      <c r="B605" s="741"/>
    </row>
    <row r="606">
      <c r="B606" s="741"/>
    </row>
    <row r="607">
      <c r="B607" s="741"/>
    </row>
    <row r="608">
      <c r="B608" s="741"/>
    </row>
    <row r="609">
      <c r="B609" s="741"/>
    </row>
    <row r="610">
      <c r="B610" s="741"/>
    </row>
    <row r="611">
      <c r="B611" s="741"/>
    </row>
    <row r="612">
      <c r="B612" s="741"/>
    </row>
    <row r="613">
      <c r="B613" s="741"/>
    </row>
    <row r="614">
      <c r="B614" s="741"/>
    </row>
    <row r="615">
      <c r="B615" s="741"/>
    </row>
    <row r="616">
      <c r="B616" s="741"/>
    </row>
    <row r="617">
      <c r="B617" s="741"/>
    </row>
    <row r="618">
      <c r="B618" s="741"/>
    </row>
    <row r="619">
      <c r="B619" s="741"/>
    </row>
    <row r="620">
      <c r="B620" s="741"/>
    </row>
    <row r="621">
      <c r="B621" s="741"/>
    </row>
    <row r="622">
      <c r="B622" s="741"/>
    </row>
    <row r="623">
      <c r="B623" s="741"/>
    </row>
    <row r="624">
      <c r="B624" s="741"/>
    </row>
    <row r="625">
      <c r="B625" s="741"/>
    </row>
    <row r="626">
      <c r="B626" s="741"/>
    </row>
    <row r="627">
      <c r="B627" s="741"/>
    </row>
    <row r="628">
      <c r="B628" s="741"/>
    </row>
    <row r="629">
      <c r="B629" s="741"/>
    </row>
    <row r="630">
      <c r="B630" s="741"/>
    </row>
    <row r="631">
      <c r="B631" s="741"/>
    </row>
    <row r="632">
      <c r="B632" s="741"/>
    </row>
    <row r="633">
      <c r="B633" s="741"/>
    </row>
    <row r="634">
      <c r="B634" s="741"/>
    </row>
    <row r="635">
      <c r="B635" s="741"/>
    </row>
    <row r="636">
      <c r="B636" s="741"/>
    </row>
    <row r="637">
      <c r="B637" s="741"/>
    </row>
    <row r="638">
      <c r="B638" s="741"/>
    </row>
    <row r="639">
      <c r="B639" s="741"/>
    </row>
    <row r="640">
      <c r="B640" s="741"/>
    </row>
    <row r="641">
      <c r="B641" s="741"/>
    </row>
    <row r="642">
      <c r="B642" s="741"/>
    </row>
    <row r="643">
      <c r="B643" s="741"/>
    </row>
    <row r="644">
      <c r="B644" s="741"/>
    </row>
    <row r="645">
      <c r="B645" s="741"/>
    </row>
    <row r="646">
      <c r="B646" s="741"/>
    </row>
    <row r="647">
      <c r="B647" s="741"/>
    </row>
    <row r="648">
      <c r="B648" s="741"/>
    </row>
    <row r="649">
      <c r="B649" s="741"/>
    </row>
    <row r="650">
      <c r="B650" s="741"/>
    </row>
    <row r="651">
      <c r="B651" s="741"/>
    </row>
    <row r="652">
      <c r="B652" s="741"/>
    </row>
    <row r="653">
      <c r="B653" s="741"/>
    </row>
    <row r="654">
      <c r="B654" s="741"/>
    </row>
    <row r="655">
      <c r="B655" s="741"/>
    </row>
    <row r="656">
      <c r="B656" s="741"/>
    </row>
    <row r="657">
      <c r="B657" s="741"/>
    </row>
    <row r="658">
      <c r="B658" s="741"/>
    </row>
    <row r="659">
      <c r="B659" s="741"/>
    </row>
    <row r="660">
      <c r="B660" s="741"/>
    </row>
    <row r="661">
      <c r="B661" s="741"/>
    </row>
    <row r="662">
      <c r="B662" s="741"/>
    </row>
    <row r="663">
      <c r="B663" s="741"/>
    </row>
    <row r="664">
      <c r="B664" s="741"/>
    </row>
    <row r="665">
      <c r="B665" s="741"/>
    </row>
    <row r="666">
      <c r="B666" s="741"/>
    </row>
    <row r="667">
      <c r="B667" s="741"/>
    </row>
    <row r="668">
      <c r="B668" s="741"/>
    </row>
    <row r="669">
      <c r="B669" s="741"/>
    </row>
    <row r="670">
      <c r="B670" s="741"/>
    </row>
    <row r="671">
      <c r="B671" s="741"/>
    </row>
    <row r="672">
      <c r="B672" s="741"/>
    </row>
    <row r="673">
      <c r="B673" s="741"/>
    </row>
    <row r="674">
      <c r="B674" s="741"/>
    </row>
    <row r="675">
      <c r="B675" s="741"/>
    </row>
    <row r="676">
      <c r="B676" s="741"/>
    </row>
    <row r="677">
      <c r="B677" s="741"/>
    </row>
    <row r="678">
      <c r="B678" s="741"/>
    </row>
    <row r="679">
      <c r="B679" s="741"/>
    </row>
    <row r="680">
      <c r="B680" s="741"/>
    </row>
    <row r="681">
      <c r="B681" s="741"/>
    </row>
    <row r="682">
      <c r="B682" s="741"/>
    </row>
    <row r="683">
      <c r="B683" s="741"/>
    </row>
    <row r="684">
      <c r="B684" s="741"/>
    </row>
    <row r="685">
      <c r="B685" s="741"/>
    </row>
    <row r="686">
      <c r="B686" s="741"/>
    </row>
    <row r="687">
      <c r="B687" s="741"/>
    </row>
    <row r="688">
      <c r="B688" s="741"/>
    </row>
    <row r="689">
      <c r="B689" s="741"/>
    </row>
    <row r="690">
      <c r="B690" s="741"/>
    </row>
    <row r="691">
      <c r="B691" s="741"/>
    </row>
    <row r="692">
      <c r="B692" s="741"/>
    </row>
    <row r="693">
      <c r="B693" s="741"/>
    </row>
    <row r="694">
      <c r="B694" s="741"/>
    </row>
    <row r="695">
      <c r="B695" s="741"/>
    </row>
    <row r="696">
      <c r="B696" s="741"/>
    </row>
    <row r="697">
      <c r="B697" s="741"/>
    </row>
    <row r="698">
      <c r="B698" s="741"/>
    </row>
    <row r="699">
      <c r="B699" s="741"/>
    </row>
    <row r="700">
      <c r="B700" s="741"/>
    </row>
    <row r="701">
      <c r="B701" s="741"/>
    </row>
    <row r="702">
      <c r="B702" s="741"/>
    </row>
    <row r="703">
      <c r="B703" s="741"/>
    </row>
    <row r="704">
      <c r="B704" s="741"/>
    </row>
    <row r="705">
      <c r="B705" s="741"/>
    </row>
    <row r="706">
      <c r="B706" s="741"/>
    </row>
    <row r="707">
      <c r="B707" s="741"/>
    </row>
    <row r="708">
      <c r="B708" s="741"/>
    </row>
    <row r="709">
      <c r="B709" s="741"/>
    </row>
    <row r="710">
      <c r="B710" s="741"/>
    </row>
    <row r="711">
      <c r="B711" s="741"/>
    </row>
    <row r="712">
      <c r="B712" s="741"/>
    </row>
    <row r="713">
      <c r="B713" s="741"/>
    </row>
    <row r="714">
      <c r="B714" s="741"/>
    </row>
    <row r="715">
      <c r="B715" s="741"/>
    </row>
    <row r="716">
      <c r="B716" s="741"/>
    </row>
    <row r="717">
      <c r="B717" s="741"/>
    </row>
    <row r="718">
      <c r="B718" s="741"/>
    </row>
    <row r="719">
      <c r="B719" s="741"/>
    </row>
    <row r="720">
      <c r="B720" s="741"/>
    </row>
    <row r="721">
      <c r="B721" s="741"/>
    </row>
    <row r="722">
      <c r="B722" s="741"/>
    </row>
    <row r="723">
      <c r="B723" s="741"/>
    </row>
    <row r="724">
      <c r="B724" s="741"/>
    </row>
    <row r="725">
      <c r="B725" s="741"/>
    </row>
    <row r="726">
      <c r="B726" s="741"/>
    </row>
    <row r="727">
      <c r="B727" s="741"/>
    </row>
    <row r="728">
      <c r="B728" s="741"/>
    </row>
    <row r="729">
      <c r="B729" s="741"/>
    </row>
    <row r="730">
      <c r="B730" s="741"/>
    </row>
    <row r="731">
      <c r="B731" s="741"/>
    </row>
    <row r="732">
      <c r="B732" s="741"/>
    </row>
    <row r="733">
      <c r="B733" s="741"/>
    </row>
    <row r="734">
      <c r="B734" s="741"/>
    </row>
    <row r="735">
      <c r="B735" s="741"/>
    </row>
    <row r="736">
      <c r="B736" s="741"/>
    </row>
    <row r="737">
      <c r="B737" s="741"/>
    </row>
    <row r="738">
      <c r="B738" s="741"/>
    </row>
    <row r="739">
      <c r="B739" s="741"/>
    </row>
    <row r="740">
      <c r="B740" s="741"/>
    </row>
    <row r="741">
      <c r="B741" s="741"/>
    </row>
    <row r="742">
      <c r="B742" s="741"/>
    </row>
    <row r="743">
      <c r="B743" s="741"/>
    </row>
    <row r="744">
      <c r="B744" s="741"/>
    </row>
    <row r="745">
      <c r="B745" s="741"/>
    </row>
    <row r="746">
      <c r="B746" s="741"/>
    </row>
    <row r="747">
      <c r="B747" s="741"/>
    </row>
    <row r="748">
      <c r="B748" s="741"/>
    </row>
    <row r="749">
      <c r="B749" s="741"/>
    </row>
    <row r="750">
      <c r="B750" s="741"/>
    </row>
    <row r="751">
      <c r="B751" s="741"/>
    </row>
    <row r="752">
      <c r="B752" s="741"/>
    </row>
    <row r="753">
      <c r="B753" s="741"/>
    </row>
    <row r="754">
      <c r="B754" s="741"/>
    </row>
    <row r="755">
      <c r="B755" s="741"/>
    </row>
    <row r="756">
      <c r="B756" s="741"/>
    </row>
    <row r="757">
      <c r="B757" s="741"/>
    </row>
    <row r="758">
      <c r="B758" s="741"/>
    </row>
    <row r="759">
      <c r="B759" s="741"/>
    </row>
    <row r="760">
      <c r="B760" s="741"/>
    </row>
    <row r="761">
      <c r="B761" s="741"/>
    </row>
    <row r="762">
      <c r="B762" s="741"/>
    </row>
    <row r="763">
      <c r="B763" s="741"/>
    </row>
    <row r="764">
      <c r="B764" s="741"/>
    </row>
    <row r="765">
      <c r="B765" s="741"/>
    </row>
    <row r="766">
      <c r="B766" s="741"/>
    </row>
    <row r="767">
      <c r="B767" s="741"/>
    </row>
    <row r="768">
      <c r="B768" s="741"/>
    </row>
    <row r="769">
      <c r="B769" s="741"/>
    </row>
    <row r="770">
      <c r="B770" s="741"/>
    </row>
    <row r="771">
      <c r="B771" s="741"/>
    </row>
    <row r="772">
      <c r="B772" s="741"/>
    </row>
    <row r="773">
      <c r="B773" s="741"/>
    </row>
    <row r="774">
      <c r="B774" s="741"/>
    </row>
    <row r="775">
      <c r="B775" s="741"/>
    </row>
    <row r="776">
      <c r="B776" s="741"/>
    </row>
    <row r="777">
      <c r="B777" s="741"/>
    </row>
    <row r="778">
      <c r="B778" s="741"/>
    </row>
    <row r="779">
      <c r="B779" s="741"/>
    </row>
    <row r="780">
      <c r="B780" s="741"/>
    </row>
    <row r="781">
      <c r="B781" s="741"/>
    </row>
    <row r="782">
      <c r="B782" s="741"/>
    </row>
    <row r="783">
      <c r="B783" s="741"/>
    </row>
    <row r="784">
      <c r="B784" s="741"/>
    </row>
    <row r="785">
      <c r="B785" s="741"/>
    </row>
    <row r="786">
      <c r="B786" s="741"/>
    </row>
    <row r="787">
      <c r="B787" s="741"/>
    </row>
    <row r="788">
      <c r="B788" s="741"/>
    </row>
    <row r="789">
      <c r="B789" s="741"/>
    </row>
    <row r="790">
      <c r="B790" s="741"/>
    </row>
    <row r="791">
      <c r="B791" s="741"/>
    </row>
    <row r="792">
      <c r="B792" s="741"/>
    </row>
    <row r="793">
      <c r="B793" s="741"/>
    </row>
    <row r="794">
      <c r="B794" s="741"/>
    </row>
    <row r="795">
      <c r="B795" s="741"/>
    </row>
    <row r="796">
      <c r="B796" s="741"/>
    </row>
    <row r="797">
      <c r="B797" s="741"/>
    </row>
    <row r="798">
      <c r="B798" s="741"/>
    </row>
    <row r="799">
      <c r="B799" s="741"/>
    </row>
    <row r="800">
      <c r="B800" s="741"/>
    </row>
    <row r="801">
      <c r="B801" s="741"/>
    </row>
    <row r="802">
      <c r="B802" s="741"/>
    </row>
    <row r="803">
      <c r="B803" s="741"/>
    </row>
    <row r="804">
      <c r="B804" s="741"/>
    </row>
    <row r="805">
      <c r="B805" s="741"/>
    </row>
    <row r="806">
      <c r="B806" s="741"/>
    </row>
    <row r="807">
      <c r="B807" s="741"/>
    </row>
    <row r="808">
      <c r="B808" s="741"/>
    </row>
    <row r="809">
      <c r="B809" s="741"/>
    </row>
    <row r="810">
      <c r="B810" s="741"/>
    </row>
    <row r="811">
      <c r="B811" s="741"/>
    </row>
    <row r="812">
      <c r="B812" s="741"/>
    </row>
    <row r="813">
      <c r="B813" s="741"/>
    </row>
    <row r="814">
      <c r="B814" s="741"/>
    </row>
    <row r="815">
      <c r="B815" s="741"/>
    </row>
    <row r="816">
      <c r="B816" s="741"/>
    </row>
    <row r="817">
      <c r="B817" s="741"/>
    </row>
    <row r="818">
      <c r="B818" s="741"/>
    </row>
    <row r="819">
      <c r="B819" s="741"/>
    </row>
    <row r="820">
      <c r="B820" s="741"/>
    </row>
    <row r="821">
      <c r="B821" s="741"/>
    </row>
    <row r="822">
      <c r="B822" s="741"/>
    </row>
    <row r="823">
      <c r="B823" s="741"/>
    </row>
    <row r="824">
      <c r="B824" s="741"/>
    </row>
    <row r="825">
      <c r="B825" s="741"/>
    </row>
    <row r="826">
      <c r="B826" s="741"/>
    </row>
    <row r="827">
      <c r="B827" s="741"/>
    </row>
    <row r="828">
      <c r="B828" s="741"/>
    </row>
    <row r="829">
      <c r="B829" s="741"/>
    </row>
    <row r="830">
      <c r="B830" s="741"/>
    </row>
    <row r="831">
      <c r="B831" s="741"/>
    </row>
    <row r="832">
      <c r="B832" s="741"/>
    </row>
    <row r="833">
      <c r="B833" s="741"/>
    </row>
    <row r="834">
      <c r="B834" s="741"/>
    </row>
    <row r="835">
      <c r="B835" s="741"/>
    </row>
    <row r="836">
      <c r="B836" s="741"/>
    </row>
    <row r="837">
      <c r="B837" s="741"/>
    </row>
    <row r="838">
      <c r="B838" s="741"/>
    </row>
    <row r="839">
      <c r="B839" s="741"/>
    </row>
    <row r="840">
      <c r="B840" s="741"/>
    </row>
    <row r="841">
      <c r="B841" s="741"/>
    </row>
    <row r="842">
      <c r="B842" s="741"/>
    </row>
    <row r="843">
      <c r="B843" s="741"/>
    </row>
    <row r="844">
      <c r="B844" s="741"/>
    </row>
    <row r="845">
      <c r="B845" s="741"/>
    </row>
    <row r="846">
      <c r="B846" s="741"/>
    </row>
    <row r="847">
      <c r="B847" s="741"/>
    </row>
    <row r="848">
      <c r="B848" s="741"/>
    </row>
    <row r="849">
      <c r="B849" s="741"/>
    </row>
    <row r="850">
      <c r="B850" s="741"/>
    </row>
    <row r="851">
      <c r="B851" s="741"/>
    </row>
    <row r="852">
      <c r="B852" s="741"/>
    </row>
    <row r="853">
      <c r="B853" s="741"/>
    </row>
    <row r="854">
      <c r="B854" s="741"/>
    </row>
    <row r="855">
      <c r="B855" s="741"/>
    </row>
    <row r="856">
      <c r="B856" s="741"/>
    </row>
    <row r="857">
      <c r="B857" s="741"/>
    </row>
    <row r="858">
      <c r="B858" s="741"/>
    </row>
    <row r="859">
      <c r="B859" s="741"/>
    </row>
    <row r="860">
      <c r="B860" s="741"/>
    </row>
    <row r="861">
      <c r="B861" s="741"/>
    </row>
    <row r="862">
      <c r="B862" s="741"/>
    </row>
    <row r="863">
      <c r="B863" s="741"/>
    </row>
    <row r="864">
      <c r="B864" s="741"/>
    </row>
    <row r="865">
      <c r="B865" s="741"/>
    </row>
    <row r="866">
      <c r="B866" s="741"/>
    </row>
    <row r="867">
      <c r="B867" s="741"/>
    </row>
    <row r="868">
      <c r="B868" s="741"/>
    </row>
    <row r="869">
      <c r="B869" s="741"/>
    </row>
    <row r="870">
      <c r="B870" s="741"/>
    </row>
    <row r="871">
      <c r="B871" s="741"/>
    </row>
    <row r="872">
      <c r="B872" s="741"/>
    </row>
    <row r="873">
      <c r="B873" s="741"/>
    </row>
    <row r="874">
      <c r="B874" s="741"/>
    </row>
    <row r="875">
      <c r="B875" s="741"/>
    </row>
    <row r="876">
      <c r="B876" s="741"/>
    </row>
    <row r="877">
      <c r="B877" s="741"/>
    </row>
    <row r="878">
      <c r="B878" s="741"/>
    </row>
    <row r="879">
      <c r="B879" s="741"/>
    </row>
    <row r="880">
      <c r="B880" s="741"/>
    </row>
    <row r="881">
      <c r="B881" s="741"/>
    </row>
    <row r="882">
      <c r="B882" s="741"/>
    </row>
    <row r="883">
      <c r="B883" s="741"/>
    </row>
    <row r="884">
      <c r="B884" s="741"/>
    </row>
    <row r="885">
      <c r="B885" s="741"/>
    </row>
    <row r="886">
      <c r="B886" s="741"/>
    </row>
    <row r="887">
      <c r="B887" s="741"/>
    </row>
    <row r="888">
      <c r="B888" s="741"/>
    </row>
    <row r="889">
      <c r="B889" s="741"/>
    </row>
    <row r="890">
      <c r="B890" s="741"/>
    </row>
    <row r="891">
      <c r="B891" s="741"/>
    </row>
    <row r="892">
      <c r="B892" s="741"/>
    </row>
    <row r="893">
      <c r="B893" s="741"/>
    </row>
    <row r="894">
      <c r="B894" s="741"/>
    </row>
    <row r="895">
      <c r="B895" s="741"/>
    </row>
    <row r="896">
      <c r="B896" s="741"/>
    </row>
    <row r="897">
      <c r="B897" s="741"/>
    </row>
    <row r="898">
      <c r="B898" s="741"/>
    </row>
    <row r="899">
      <c r="B899" s="741"/>
    </row>
    <row r="900">
      <c r="B900" s="741"/>
    </row>
    <row r="901">
      <c r="B901" s="741"/>
    </row>
    <row r="902">
      <c r="B902" s="741"/>
    </row>
    <row r="903">
      <c r="B903" s="741"/>
    </row>
    <row r="904">
      <c r="B904" s="741"/>
    </row>
    <row r="905">
      <c r="B905" s="741"/>
    </row>
    <row r="906">
      <c r="B906" s="741"/>
    </row>
    <row r="907">
      <c r="B907" s="741"/>
    </row>
    <row r="908">
      <c r="B908" s="741"/>
    </row>
    <row r="909">
      <c r="B909" s="741"/>
    </row>
    <row r="910">
      <c r="B910" s="741"/>
    </row>
    <row r="911">
      <c r="B911" s="741"/>
    </row>
    <row r="912">
      <c r="B912" s="741"/>
    </row>
    <row r="913">
      <c r="B913" s="741"/>
    </row>
    <row r="914">
      <c r="B914" s="741"/>
    </row>
    <row r="915">
      <c r="B915" s="741"/>
    </row>
    <row r="916">
      <c r="B916" s="741"/>
    </row>
    <row r="917">
      <c r="B917" s="741"/>
    </row>
    <row r="918">
      <c r="B918" s="741"/>
    </row>
    <row r="919">
      <c r="B919" s="741"/>
    </row>
    <row r="920">
      <c r="B920" s="741"/>
    </row>
    <row r="921">
      <c r="B921" s="741"/>
    </row>
    <row r="922">
      <c r="B922" s="741"/>
    </row>
    <row r="923">
      <c r="B923" s="741"/>
    </row>
    <row r="924">
      <c r="B924" s="741"/>
    </row>
    <row r="925">
      <c r="B925" s="741"/>
    </row>
    <row r="926">
      <c r="B926" s="741"/>
    </row>
    <row r="927">
      <c r="B927" s="741"/>
    </row>
    <row r="928">
      <c r="B928" s="741"/>
    </row>
    <row r="929">
      <c r="B929" s="741"/>
    </row>
    <row r="930">
      <c r="B930" s="741"/>
    </row>
    <row r="931">
      <c r="B931" s="741"/>
    </row>
    <row r="932">
      <c r="B932" s="741"/>
    </row>
    <row r="933">
      <c r="B933" s="741"/>
    </row>
    <row r="934">
      <c r="B934" s="741"/>
    </row>
    <row r="935">
      <c r="B935" s="741"/>
    </row>
    <row r="936">
      <c r="B936" s="741"/>
    </row>
    <row r="937">
      <c r="B937" s="741"/>
    </row>
    <row r="938">
      <c r="B938" s="741"/>
    </row>
    <row r="939">
      <c r="B939" s="741"/>
    </row>
    <row r="940">
      <c r="B940" s="741"/>
    </row>
    <row r="941">
      <c r="B941" s="741"/>
    </row>
    <row r="942">
      <c r="B942" s="741"/>
    </row>
    <row r="943">
      <c r="B943" s="741"/>
    </row>
    <row r="944">
      <c r="B944" s="741"/>
    </row>
    <row r="945">
      <c r="B945" s="741"/>
    </row>
    <row r="946">
      <c r="B946" s="741"/>
    </row>
    <row r="947">
      <c r="B947" s="741"/>
    </row>
    <row r="948">
      <c r="B948" s="741"/>
    </row>
    <row r="949">
      <c r="B949" s="741"/>
    </row>
    <row r="950">
      <c r="B950" s="741"/>
    </row>
    <row r="951">
      <c r="B951" s="741"/>
    </row>
    <row r="952">
      <c r="B952" s="741"/>
    </row>
    <row r="953">
      <c r="B953" s="741"/>
    </row>
    <row r="954">
      <c r="B954" s="741"/>
    </row>
    <row r="955">
      <c r="B955" s="741"/>
    </row>
    <row r="956">
      <c r="B956" s="741"/>
    </row>
    <row r="957">
      <c r="B957" s="741"/>
    </row>
    <row r="958">
      <c r="B958" s="741"/>
    </row>
    <row r="959">
      <c r="B959" s="741"/>
    </row>
    <row r="960">
      <c r="B960" s="741"/>
    </row>
    <row r="961">
      <c r="B961" s="741"/>
    </row>
    <row r="962">
      <c r="B962" s="741"/>
    </row>
    <row r="963">
      <c r="B963" s="741"/>
    </row>
    <row r="964">
      <c r="B964" s="741"/>
    </row>
    <row r="965">
      <c r="B965" s="741"/>
    </row>
    <row r="966">
      <c r="B966" s="741"/>
    </row>
    <row r="967">
      <c r="B967" s="741"/>
    </row>
    <row r="968">
      <c r="B968" s="741"/>
    </row>
    <row r="969">
      <c r="B969" s="741"/>
    </row>
    <row r="970">
      <c r="B970" s="741"/>
    </row>
    <row r="971">
      <c r="B971" s="741"/>
    </row>
    <row r="972">
      <c r="B972" s="741"/>
    </row>
    <row r="973">
      <c r="B973" s="741"/>
    </row>
    <row r="974">
      <c r="B974" s="741"/>
    </row>
    <row r="975">
      <c r="B975" s="741"/>
    </row>
    <row r="976">
      <c r="B976" s="741"/>
    </row>
    <row r="977">
      <c r="B977" s="741"/>
    </row>
    <row r="978">
      <c r="B978" s="741"/>
    </row>
    <row r="979">
      <c r="B979" s="741"/>
    </row>
    <row r="980">
      <c r="B980" s="741"/>
    </row>
    <row r="981">
      <c r="B981" s="741"/>
    </row>
    <row r="982">
      <c r="B982" s="741"/>
    </row>
    <row r="983">
      <c r="B983" s="741"/>
    </row>
    <row r="984">
      <c r="B984" s="741"/>
    </row>
    <row r="985">
      <c r="B985" s="741"/>
    </row>
    <row r="986">
      <c r="B986" s="741"/>
    </row>
    <row r="987">
      <c r="B987" s="741"/>
    </row>
    <row r="988">
      <c r="B988" s="741"/>
    </row>
    <row r="989">
      <c r="B989" s="741"/>
    </row>
    <row r="990">
      <c r="B990" s="741"/>
    </row>
    <row r="991">
      <c r="B991" s="741"/>
    </row>
    <row r="992">
      <c r="B992" s="741"/>
    </row>
    <row r="993">
      <c r="B993" s="741"/>
    </row>
    <row r="994">
      <c r="B994" s="741"/>
    </row>
    <row r="995">
      <c r="B995" s="741"/>
    </row>
    <row r="996">
      <c r="B996" s="741"/>
    </row>
    <row r="997">
      <c r="B997" s="741"/>
    </row>
    <row r="998">
      <c r="B998" s="741"/>
    </row>
    <row r="999">
      <c r="B999" s="741"/>
    </row>
    <row r="1000">
      <c r="B1000" s="741"/>
    </row>
    <row r="1001">
      <c r="B1001" s="741"/>
    </row>
    <row r="1002">
      <c r="B1002" s="741"/>
    </row>
    <row r="1003">
      <c r="B1003" s="741"/>
    </row>
  </sheetData>
  <mergeCells count="25">
    <mergeCell ref="F47:F48"/>
    <mergeCell ref="G47:G48"/>
    <mergeCell ref="B1:H1"/>
    <mergeCell ref="B34:H35"/>
    <mergeCell ref="B45:H46"/>
    <mergeCell ref="B47:B48"/>
    <mergeCell ref="C47:C48"/>
    <mergeCell ref="D47:D48"/>
    <mergeCell ref="E47:E48"/>
    <mergeCell ref="G61:G62"/>
    <mergeCell ref="H61:H62"/>
    <mergeCell ref="B72:B74"/>
    <mergeCell ref="C72:C74"/>
    <mergeCell ref="D72:D74"/>
    <mergeCell ref="E72:E74"/>
    <mergeCell ref="F72:F74"/>
    <mergeCell ref="G72:G74"/>
    <mergeCell ref="H72:H74"/>
    <mergeCell ref="H47:H48"/>
    <mergeCell ref="B59:H60"/>
    <mergeCell ref="B61:B62"/>
    <mergeCell ref="C61:C62"/>
    <mergeCell ref="D61:D62"/>
    <mergeCell ref="E61:E62"/>
    <mergeCell ref="F61:F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5.86"/>
    <col customWidth="1" min="4" max="4" width="23.14"/>
    <col customWidth="1" min="5" max="5" width="18.86"/>
    <col customWidth="1" min="6" max="6" width="16.71"/>
    <col customWidth="1" min="7" max="7" width="15.0"/>
    <col customWidth="1" min="8" max="11" width="3.71"/>
    <col customWidth="1" min="12" max="12" width="1.57"/>
    <col customWidth="1" min="13" max="14" width="5.86"/>
    <col customWidth="1" min="15" max="15" width="20.71"/>
    <col customWidth="1" min="16" max="16" width="15.29"/>
    <col customWidth="1" min="17" max="17" width="18.43"/>
    <col customWidth="1" min="18" max="18" width="14.0"/>
    <col customWidth="1" min="19" max="22" width="3.71"/>
  </cols>
  <sheetData>
    <row r="1" ht="15.75" customHeight="1">
      <c r="A1" s="770" t="s">
        <v>22</v>
      </c>
      <c r="B1" s="771">
        <v>46173.0</v>
      </c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3"/>
      <c r="S1" s="774"/>
      <c r="T1" s="774"/>
      <c r="U1" s="774"/>
      <c r="V1" s="775"/>
    </row>
    <row r="2" ht="51.0" customHeight="1">
      <c r="A2" s="776"/>
      <c r="B2" s="777"/>
      <c r="C2" s="772"/>
      <c r="D2" s="772"/>
      <c r="E2" s="772"/>
      <c r="F2" s="772"/>
      <c r="G2" s="773"/>
      <c r="H2" s="778"/>
      <c r="I2" s="778"/>
      <c r="J2" s="778"/>
      <c r="K2" s="778"/>
      <c r="L2" s="779"/>
      <c r="M2" s="777"/>
      <c r="N2" s="772"/>
      <c r="O2" s="772"/>
      <c r="P2" s="772"/>
      <c r="Q2" s="772"/>
      <c r="R2" s="773"/>
      <c r="S2" s="780"/>
      <c r="T2" s="780"/>
      <c r="U2" s="780"/>
      <c r="V2" s="781"/>
    </row>
    <row r="3" ht="15.75" customHeight="1">
      <c r="A3" s="782"/>
      <c r="B3" s="783" t="s">
        <v>4</v>
      </c>
      <c r="C3" s="784" t="s">
        <v>5</v>
      </c>
      <c r="D3" s="784" t="s">
        <v>6</v>
      </c>
      <c r="E3" s="784" t="s">
        <v>7</v>
      </c>
      <c r="F3" s="784" t="s">
        <v>8</v>
      </c>
      <c r="G3" s="784" t="s">
        <v>9</v>
      </c>
      <c r="H3" s="785" t="s">
        <v>10</v>
      </c>
      <c r="I3" s="785" t="s">
        <v>11</v>
      </c>
      <c r="J3" s="785" t="s">
        <v>12</v>
      </c>
      <c r="K3" s="786" t="s">
        <v>13</v>
      </c>
      <c r="L3" s="787"/>
      <c r="M3" s="788" t="s">
        <v>4</v>
      </c>
      <c r="N3" s="789" t="s">
        <v>5</v>
      </c>
      <c r="O3" s="790" t="s">
        <v>6</v>
      </c>
      <c r="P3" s="790" t="s">
        <v>7</v>
      </c>
      <c r="Q3" s="790" t="s">
        <v>8</v>
      </c>
      <c r="R3" s="791" t="s">
        <v>9</v>
      </c>
      <c r="S3" s="792" t="s">
        <v>10</v>
      </c>
      <c r="T3" s="793" t="s">
        <v>11</v>
      </c>
      <c r="U3" s="793" t="s">
        <v>12</v>
      </c>
      <c r="V3" s="794"/>
    </row>
    <row r="4" ht="15.75" customHeight="1">
      <c r="A4" s="35" t="s">
        <v>15</v>
      </c>
      <c r="B4" s="795" t="s">
        <v>16</v>
      </c>
      <c r="C4" s="46" t="s">
        <v>469</v>
      </c>
      <c r="D4" s="796" t="s">
        <v>37</v>
      </c>
      <c r="E4" s="797" t="s">
        <v>38</v>
      </c>
      <c r="F4" s="797" t="s">
        <v>39</v>
      </c>
      <c r="G4" s="798" t="s">
        <v>40</v>
      </c>
      <c r="H4" s="799" t="s">
        <v>31</v>
      </c>
      <c r="I4" s="800" t="s">
        <v>168</v>
      </c>
      <c r="J4" s="800" t="s">
        <v>24</v>
      </c>
      <c r="K4" s="801" t="s">
        <v>68</v>
      </c>
      <c r="L4" s="802" t="s">
        <v>50</v>
      </c>
      <c r="M4" s="803" t="s">
        <v>16</v>
      </c>
      <c r="N4" s="804"/>
      <c r="O4" s="47"/>
      <c r="P4" s="797"/>
      <c r="Q4" s="797"/>
      <c r="R4" s="805"/>
      <c r="S4" s="799"/>
      <c r="T4" s="800"/>
      <c r="U4" s="800"/>
      <c r="V4" s="806"/>
    </row>
    <row r="5" ht="15.75" customHeight="1">
      <c r="A5" s="48" t="s">
        <v>34</v>
      </c>
      <c r="B5" s="795" t="s">
        <v>35</v>
      </c>
      <c r="C5" s="37" t="s">
        <v>332</v>
      </c>
      <c r="D5" s="796"/>
      <c r="E5" s="40"/>
      <c r="F5" s="40"/>
      <c r="G5" s="41"/>
      <c r="H5" s="807"/>
      <c r="I5" s="808"/>
      <c r="J5" s="808"/>
      <c r="K5" s="809"/>
      <c r="L5" s="810"/>
      <c r="M5" s="811" t="s">
        <v>35</v>
      </c>
      <c r="N5" s="804"/>
      <c r="O5" s="40"/>
      <c r="P5" s="812"/>
      <c r="Q5" s="35"/>
      <c r="R5" s="798"/>
      <c r="S5" s="807"/>
      <c r="T5" s="808"/>
      <c r="U5" s="808"/>
      <c r="V5" s="806"/>
    </row>
    <row r="6" ht="15.75" customHeight="1">
      <c r="A6" s="48" t="s">
        <v>50</v>
      </c>
      <c r="B6" s="795" t="s">
        <v>51</v>
      </c>
      <c r="C6" s="37" t="s">
        <v>335</v>
      </c>
      <c r="D6" s="47" t="s">
        <v>327</v>
      </c>
      <c r="E6" s="1"/>
      <c r="F6" s="1" t="s">
        <v>470</v>
      </c>
      <c r="G6" s="49" t="s">
        <v>471</v>
      </c>
      <c r="H6" s="807" t="s">
        <v>118</v>
      </c>
      <c r="I6" s="808" t="s">
        <v>168</v>
      </c>
      <c r="J6" s="808" t="s">
        <v>24</v>
      </c>
      <c r="K6" s="809" t="s">
        <v>202</v>
      </c>
      <c r="L6" s="802" t="s">
        <v>15</v>
      </c>
      <c r="M6" s="803" t="s">
        <v>51</v>
      </c>
      <c r="N6" s="804"/>
      <c r="O6" s="40"/>
      <c r="P6" s="797"/>
      <c r="Q6" s="813"/>
      <c r="R6" s="814"/>
      <c r="S6" s="807"/>
      <c r="T6" s="808"/>
      <c r="U6" s="808"/>
      <c r="V6" s="806"/>
    </row>
    <row r="7" ht="15.75" customHeight="1">
      <c r="A7" s="48" t="s">
        <v>31</v>
      </c>
      <c r="B7" s="815" t="s">
        <v>62</v>
      </c>
      <c r="C7" s="94" t="s">
        <v>71</v>
      </c>
      <c r="D7" s="816"/>
      <c r="E7" s="817"/>
      <c r="F7" s="818"/>
      <c r="G7" s="819"/>
      <c r="H7" s="807"/>
      <c r="I7" s="808"/>
      <c r="J7" s="808"/>
      <c r="K7" s="809"/>
      <c r="L7" s="810"/>
      <c r="M7" s="820" t="s">
        <v>62</v>
      </c>
      <c r="N7" s="821" t="s">
        <v>70</v>
      </c>
      <c r="O7" s="822"/>
      <c r="P7" s="818"/>
      <c r="Q7" s="818"/>
      <c r="R7" s="823"/>
      <c r="S7" s="807"/>
      <c r="T7" s="808"/>
      <c r="U7" s="808"/>
      <c r="V7" s="806"/>
    </row>
    <row r="8" ht="15.75" customHeight="1">
      <c r="A8" s="48" t="s">
        <v>57</v>
      </c>
      <c r="B8" s="815" t="s">
        <v>73</v>
      </c>
      <c r="C8" s="98"/>
      <c r="D8" s="824"/>
      <c r="E8" s="817"/>
      <c r="F8" s="825"/>
      <c r="G8" s="100"/>
      <c r="H8" s="807"/>
      <c r="I8" s="808"/>
      <c r="J8" s="808"/>
      <c r="K8" s="809"/>
      <c r="L8" s="810"/>
      <c r="M8" s="820" t="s">
        <v>73</v>
      </c>
      <c r="N8" s="818" t="s">
        <v>80</v>
      </c>
      <c r="O8" s="95"/>
      <c r="P8" s="818"/>
      <c r="Q8" s="818"/>
      <c r="R8" s="823"/>
      <c r="S8" s="807"/>
      <c r="T8" s="808"/>
      <c r="U8" s="826"/>
      <c r="V8" s="806"/>
    </row>
    <row r="9" ht="15.75" customHeight="1">
      <c r="A9" s="35" t="s">
        <v>83</v>
      </c>
      <c r="B9" s="17" t="s">
        <v>84</v>
      </c>
      <c r="C9" s="123" t="s">
        <v>472</v>
      </c>
      <c r="D9" s="106" t="s">
        <v>126</v>
      </c>
      <c r="E9" s="48" t="s">
        <v>473</v>
      </c>
      <c r="F9" s="48" t="s">
        <v>128</v>
      </c>
      <c r="G9" s="48" t="s">
        <v>129</v>
      </c>
      <c r="H9" s="807" t="s">
        <v>31</v>
      </c>
      <c r="I9" s="808" t="s">
        <v>474</v>
      </c>
      <c r="J9" s="808" t="s">
        <v>475</v>
      </c>
      <c r="K9" s="809" t="s">
        <v>144</v>
      </c>
      <c r="L9" s="827"/>
      <c r="M9" s="828" t="s">
        <v>84</v>
      </c>
      <c r="N9" s="829" t="s">
        <v>476</v>
      </c>
      <c r="O9" s="137"/>
      <c r="P9" s="812"/>
      <c r="Q9" s="812"/>
      <c r="R9" s="830"/>
      <c r="S9" s="807"/>
      <c r="T9" s="808"/>
      <c r="U9" s="808"/>
      <c r="V9" s="806"/>
    </row>
    <row r="10" ht="15.75" customHeight="1">
      <c r="A10" s="35" t="s">
        <v>90</v>
      </c>
      <c r="B10" s="17" t="s">
        <v>91</v>
      </c>
      <c r="C10" s="123" t="s">
        <v>477</v>
      </c>
      <c r="D10" s="106" t="s">
        <v>152</v>
      </c>
      <c r="E10" s="374" t="s">
        <v>478</v>
      </c>
      <c r="F10" s="39" t="s">
        <v>479</v>
      </c>
      <c r="G10" s="88" t="s">
        <v>155</v>
      </c>
      <c r="H10" s="807" t="s">
        <v>47</v>
      </c>
      <c r="I10" s="808" t="s">
        <v>474</v>
      </c>
      <c r="J10" s="808" t="s">
        <v>475</v>
      </c>
      <c r="K10" s="809" t="s">
        <v>111</v>
      </c>
      <c r="L10" s="810"/>
      <c r="M10" s="831" t="s">
        <v>91</v>
      </c>
      <c r="N10" s="829" t="s">
        <v>480</v>
      </c>
      <c r="O10" s="137"/>
      <c r="P10" s="216"/>
      <c r="Q10" s="170"/>
      <c r="R10" s="832"/>
      <c r="S10" s="807"/>
      <c r="T10" s="808"/>
      <c r="U10" s="808"/>
      <c r="V10" s="806"/>
    </row>
    <row r="11" ht="15.75" customHeight="1">
      <c r="A11" s="35" t="s">
        <v>68</v>
      </c>
      <c r="B11" s="17" t="s">
        <v>106</v>
      </c>
      <c r="C11" s="123" t="s">
        <v>481</v>
      </c>
      <c r="D11" s="106" t="s">
        <v>178</v>
      </c>
      <c r="E11" s="39" t="s">
        <v>482</v>
      </c>
      <c r="F11" s="48" t="s">
        <v>483</v>
      </c>
      <c r="G11" s="49" t="s">
        <v>181</v>
      </c>
      <c r="H11" s="807"/>
      <c r="I11" s="808"/>
      <c r="J11" s="808"/>
      <c r="K11" s="809"/>
      <c r="L11" s="810"/>
      <c r="M11" s="831" t="s">
        <v>106</v>
      </c>
      <c r="N11" s="833" t="s">
        <v>484</v>
      </c>
      <c r="O11" s="137"/>
      <c r="P11" s="834"/>
      <c r="Q11" s="35"/>
      <c r="R11" s="835"/>
      <c r="S11" s="807"/>
      <c r="T11" s="808"/>
      <c r="U11" s="808"/>
      <c r="V11" s="806"/>
    </row>
    <row r="12" ht="15.75" customHeight="1">
      <c r="A12" s="35" t="s">
        <v>118</v>
      </c>
      <c r="B12" s="17" t="s">
        <v>119</v>
      </c>
      <c r="C12" s="123" t="s">
        <v>485</v>
      </c>
      <c r="D12" s="106" t="s">
        <v>360</v>
      </c>
      <c r="E12" s="797" t="s">
        <v>486</v>
      </c>
      <c r="F12" s="48" t="s">
        <v>487</v>
      </c>
      <c r="G12" s="836" t="s">
        <v>488</v>
      </c>
      <c r="H12" s="807" t="s">
        <v>31</v>
      </c>
      <c r="I12" s="808" t="s">
        <v>489</v>
      </c>
      <c r="J12" s="808" t="s">
        <v>475</v>
      </c>
      <c r="K12" s="809" t="s">
        <v>111</v>
      </c>
      <c r="L12" s="810"/>
      <c r="M12" s="831" t="s">
        <v>119</v>
      </c>
      <c r="N12" s="833" t="s">
        <v>490</v>
      </c>
      <c r="O12" s="137"/>
      <c r="P12" s="837"/>
      <c r="Q12" s="837"/>
      <c r="R12" s="838"/>
      <c r="S12" s="807"/>
      <c r="T12" s="808"/>
      <c r="U12" s="808"/>
      <c r="V12" s="806"/>
    </row>
    <row r="13" ht="15.75" customHeight="1">
      <c r="A13" s="35" t="s">
        <v>132</v>
      </c>
      <c r="B13" s="17" t="s">
        <v>133</v>
      </c>
      <c r="C13" s="123" t="s">
        <v>491</v>
      </c>
      <c r="D13" s="106" t="s">
        <v>205</v>
      </c>
      <c r="E13" s="39" t="s">
        <v>206</v>
      </c>
      <c r="F13" s="48" t="s">
        <v>219</v>
      </c>
      <c r="G13" s="156" t="s">
        <v>220</v>
      </c>
      <c r="H13" s="807" t="s">
        <v>57</v>
      </c>
      <c r="I13" s="808" t="s">
        <v>168</v>
      </c>
      <c r="J13" s="808" t="s">
        <v>24</v>
      </c>
      <c r="K13" s="809" t="s">
        <v>111</v>
      </c>
      <c r="L13" s="810"/>
      <c r="M13" s="828" t="s">
        <v>133</v>
      </c>
      <c r="N13" s="833" t="s">
        <v>492</v>
      </c>
      <c r="O13" s="137"/>
      <c r="P13" s="35"/>
      <c r="Q13" s="35"/>
      <c r="R13" s="835"/>
      <c r="S13" s="807"/>
      <c r="T13" s="808"/>
      <c r="U13" s="808"/>
      <c r="V13" s="806"/>
    </row>
    <row r="14" ht="15.75" customHeight="1">
      <c r="A14" s="35" t="s">
        <v>144</v>
      </c>
      <c r="B14" s="17" t="s">
        <v>145</v>
      </c>
      <c r="C14" s="123" t="s">
        <v>493</v>
      </c>
      <c r="D14" s="106" t="s">
        <v>229</v>
      </c>
      <c r="E14" s="813" t="s">
        <v>230</v>
      </c>
      <c r="F14" s="35" t="s">
        <v>494</v>
      </c>
      <c r="G14" s="798" t="s">
        <v>495</v>
      </c>
      <c r="H14" s="807" t="s">
        <v>57</v>
      </c>
      <c r="I14" s="808" t="s">
        <v>474</v>
      </c>
      <c r="J14" s="808" t="s">
        <v>475</v>
      </c>
      <c r="K14" s="809" t="s">
        <v>58</v>
      </c>
      <c r="L14" s="810"/>
      <c r="M14" s="831" t="s">
        <v>145</v>
      </c>
      <c r="N14" s="833" t="s">
        <v>496</v>
      </c>
      <c r="O14" s="137"/>
      <c r="P14" s="839"/>
      <c r="Q14" s="812"/>
      <c r="R14" s="835"/>
      <c r="S14" s="807"/>
      <c r="T14" s="808"/>
      <c r="U14" s="808"/>
      <c r="V14" s="806"/>
    </row>
    <row r="15" ht="15.75" customHeight="1">
      <c r="A15" s="35" t="s">
        <v>25</v>
      </c>
      <c r="B15" s="17" t="s">
        <v>158</v>
      </c>
      <c r="C15" s="123" t="s">
        <v>497</v>
      </c>
      <c r="D15" s="106"/>
      <c r="E15" s="48"/>
      <c r="F15" s="48"/>
      <c r="G15" s="830"/>
      <c r="H15" s="840"/>
      <c r="I15" s="808"/>
      <c r="J15" s="841"/>
      <c r="K15" s="842"/>
      <c r="L15" s="810"/>
      <c r="M15" s="828" t="s">
        <v>158</v>
      </c>
      <c r="N15" s="833" t="s">
        <v>498</v>
      </c>
      <c r="O15" s="137"/>
      <c r="P15" s="839"/>
      <c r="Q15" s="837"/>
      <c r="R15" s="835"/>
      <c r="S15" s="840"/>
      <c r="T15" s="808"/>
      <c r="U15" s="808"/>
      <c r="V15" s="806"/>
    </row>
    <row r="16" ht="15.75" customHeight="1">
      <c r="A16" s="35" t="s">
        <v>47</v>
      </c>
      <c r="B16" s="17" t="s">
        <v>171</v>
      </c>
      <c r="C16" s="123" t="s">
        <v>499</v>
      </c>
      <c r="D16" s="106"/>
      <c r="E16" s="797"/>
      <c r="F16" s="797"/>
      <c r="G16" s="798"/>
      <c r="H16" s="807"/>
      <c r="I16" s="808"/>
      <c r="J16" s="808"/>
      <c r="K16" s="809"/>
      <c r="L16" s="843"/>
      <c r="M16" s="828" t="s">
        <v>171</v>
      </c>
      <c r="N16" s="833" t="s">
        <v>500</v>
      </c>
      <c r="O16" s="137"/>
      <c r="P16" s="844"/>
      <c r="Q16" s="797"/>
      <c r="R16" s="845"/>
      <c r="S16" s="807"/>
      <c r="T16" s="808"/>
      <c r="U16" s="808"/>
      <c r="V16" s="806"/>
    </row>
    <row r="17" ht="15.75" customHeight="1">
      <c r="A17" s="35" t="s">
        <v>58</v>
      </c>
      <c r="B17" s="17" t="s">
        <v>182</v>
      </c>
      <c r="C17" s="123" t="s">
        <v>501</v>
      </c>
      <c r="D17" s="106"/>
      <c r="E17" s="846"/>
      <c r="F17" s="839"/>
      <c r="G17" s="847"/>
      <c r="H17" s="807"/>
      <c r="I17" s="808"/>
      <c r="J17" s="808"/>
      <c r="K17" s="809"/>
      <c r="L17" s="848"/>
      <c r="M17" s="849" t="s">
        <v>182</v>
      </c>
      <c r="N17" s="850" t="s">
        <v>188</v>
      </c>
      <c r="O17" s="106"/>
      <c r="P17" s="844"/>
      <c r="Q17" s="797"/>
      <c r="R17" s="835"/>
      <c r="S17" s="807"/>
      <c r="T17" s="808"/>
      <c r="U17" s="808"/>
      <c r="V17" s="806"/>
    </row>
    <row r="18" ht="15.75" customHeight="1">
      <c r="A18" s="35" t="s">
        <v>97</v>
      </c>
      <c r="B18" s="17" t="s">
        <v>189</v>
      </c>
      <c r="C18" s="123" t="s">
        <v>502</v>
      </c>
      <c r="D18" s="106"/>
      <c r="E18" s="1"/>
      <c r="F18" s="35"/>
      <c r="G18" s="798"/>
      <c r="H18" s="326"/>
      <c r="I18" s="808"/>
      <c r="J18" s="808"/>
      <c r="K18" s="809"/>
      <c r="L18" s="848"/>
      <c r="M18" s="849" t="s">
        <v>189</v>
      </c>
      <c r="N18" s="829" t="s">
        <v>200</v>
      </c>
      <c r="O18" s="106"/>
      <c r="P18" s="48"/>
      <c r="Q18" s="48"/>
      <c r="R18" s="136"/>
      <c r="S18" s="840"/>
      <c r="T18" s="841"/>
      <c r="U18" s="841"/>
      <c r="V18" s="851"/>
    </row>
    <row r="19" ht="15.75" customHeight="1">
      <c r="A19" s="35" t="s">
        <v>202</v>
      </c>
      <c r="B19" s="17" t="s">
        <v>203</v>
      </c>
      <c r="C19" s="123" t="s">
        <v>503</v>
      </c>
      <c r="D19" s="106"/>
      <c r="E19" s="844"/>
      <c r="F19" s="797"/>
      <c r="G19" s="798"/>
      <c r="H19" s="807"/>
      <c r="I19" s="808"/>
      <c r="J19" s="808"/>
      <c r="K19" s="809"/>
      <c r="L19" s="848"/>
      <c r="M19" s="849" t="s">
        <v>203</v>
      </c>
      <c r="N19" s="850" t="s">
        <v>214</v>
      </c>
      <c r="O19" s="106"/>
      <c r="P19" s="205"/>
      <c r="Q19" s="852"/>
      <c r="R19" s="853"/>
      <c r="S19" s="807"/>
      <c r="T19" s="808"/>
      <c r="U19" s="808"/>
      <c r="V19" s="806"/>
    </row>
    <row r="20" ht="15.75" customHeight="1">
      <c r="A20" s="35" t="s">
        <v>103</v>
      </c>
      <c r="B20" s="17" t="s">
        <v>216</v>
      </c>
      <c r="C20" s="123" t="s">
        <v>504</v>
      </c>
      <c r="D20" s="106"/>
      <c r="E20" s="797"/>
      <c r="F20" s="797"/>
      <c r="G20" s="798"/>
      <c r="H20" s="807"/>
      <c r="I20" s="808"/>
      <c r="J20" s="808"/>
      <c r="K20" s="809"/>
      <c r="L20" s="848"/>
      <c r="M20" s="854" t="s">
        <v>216</v>
      </c>
      <c r="N20" s="850" t="s">
        <v>226</v>
      </c>
      <c r="O20" s="106"/>
      <c r="P20" s="1"/>
      <c r="Q20" s="35"/>
      <c r="R20" s="156"/>
      <c r="S20" s="807"/>
      <c r="T20" s="808"/>
      <c r="U20" s="808"/>
      <c r="V20" s="806"/>
    </row>
    <row r="21" ht="15.75" customHeight="1">
      <c r="A21" s="35" t="s">
        <v>111</v>
      </c>
      <c r="B21" s="17" t="s">
        <v>233</v>
      </c>
      <c r="C21" s="123" t="s">
        <v>505</v>
      </c>
      <c r="D21" s="106"/>
      <c r="E21" s="797"/>
      <c r="F21" s="844"/>
      <c r="G21" s="855"/>
      <c r="H21" s="856"/>
      <c r="I21" s="808"/>
      <c r="J21" s="808"/>
      <c r="K21" s="809"/>
      <c r="L21" s="848"/>
      <c r="M21" s="849" t="s">
        <v>233</v>
      </c>
      <c r="N21" s="850" t="s">
        <v>239</v>
      </c>
      <c r="O21" s="106"/>
      <c r="P21" s="857"/>
      <c r="Q21" s="1"/>
      <c r="R21" s="156"/>
      <c r="S21" s="858"/>
      <c r="T21" s="808"/>
      <c r="U21" s="808"/>
      <c r="V21" s="806"/>
    </row>
    <row r="22" ht="15.75" customHeight="1">
      <c r="A22" s="35" t="s">
        <v>241</v>
      </c>
      <c r="B22" s="17" t="s">
        <v>242</v>
      </c>
      <c r="C22" s="123" t="s">
        <v>506</v>
      </c>
      <c r="D22" s="106"/>
      <c r="E22" s="797"/>
      <c r="F22" s="35"/>
      <c r="G22" s="859"/>
      <c r="H22" s="807"/>
      <c r="I22" s="808"/>
      <c r="J22" s="808"/>
      <c r="K22" s="809"/>
      <c r="L22" s="848"/>
      <c r="M22" s="860" t="s">
        <v>242</v>
      </c>
      <c r="N22" s="833" t="s">
        <v>252</v>
      </c>
      <c r="O22" s="137"/>
      <c r="P22" s="1"/>
      <c r="Q22" s="797"/>
      <c r="R22" s="201"/>
      <c r="S22" s="807"/>
      <c r="T22" s="808"/>
      <c r="U22" s="808"/>
      <c r="V22" s="806"/>
    </row>
    <row r="23" ht="15.75" customHeight="1">
      <c r="A23" s="35" t="s">
        <v>69</v>
      </c>
      <c r="B23" s="215" t="s">
        <v>254</v>
      </c>
      <c r="C23" s="123" t="s">
        <v>507</v>
      </c>
      <c r="D23" s="861"/>
      <c r="E23" s="35"/>
      <c r="F23" s="35"/>
      <c r="G23" s="836"/>
      <c r="H23" s="807"/>
      <c r="I23" s="808"/>
      <c r="J23" s="808"/>
      <c r="K23" s="862"/>
      <c r="L23" s="848"/>
      <c r="M23" s="860" t="s">
        <v>254</v>
      </c>
      <c r="N23" s="863" t="s">
        <v>261</v>
      </c>
      <c r="O23" s="137"/>
      <c r="P23" s="797"/>
      <c r="Q23" s="797"/>
      <c r="R23" s="798"/>
      <c r="S23" s="807"/>
      <c r="T23" s="808"/>
      <c r="U23" s="808"/>
      <c r="V23" s="806"/>
    </row>
    <row r="24" ht="15.75" customHeight="1">
      <c r="A24" s="35" t="s">
        <v>263</v>
      </c>
      <c r="B24" s="17" t="s">
        <v>264</v>
      </c>
      <c r="C24" s="123" t="s">
        <v>508</v>
      </c>
      <c r="D24" s="106"/>
      <c r="E24" s="839"/>
      <c r="F24" s="839"/>
      <c r="G24" s="855"/>
      <c r="H24" s="807"/>
      <c r="I24" s="808"/>
      <c r="J24" s="808"/>
      <c r="K24" s="862"/>
      <c r="L24" s="848"/>
      <c r="M24" s="860" t="s">
        <v>264</v>
      </c>
      <c r="N24" s="863" t="s">
        <v>270</v>
      </c>
      <c r="O24" s="137"/>
      <c r="P24" s="812"/>
      <c r="Q24" s="35"/>
      <c r="R24" s="853"/>
      <c r="S24" s="807"/>
      <c r="T24" s="808"/>
      <c r="U24" s="808"/>
      <c r="V24" s="806"/>
    </row>
    <row r="25" ht="15.75" customHeight="1">
      <c r="A25" s="35" t="s">
        <v>272</v>
      </c>
      <c r="B25" s="17" t="s">
        <v>273</v>
      </c>
      <c r="C25" s="138" t="s">
        <v>509</v>
      </c>
      <c r="D25" s="106"/>
      <c r="E25" s="797"/>
      <c r="F25" s="35"/>
      <c r="G25" s="859"/>
      <c r="H25" s="807"/>
      <c r="I25" s="808"/>
      <c r="J25" s="808"/>
      <c r="K25" s="809"/>
      <c r="L25" s="848"/>
      <c r="M25" s="860" t="s">
        <v>273</v>
      </c>
      <c r="N25" s="863" t="s">
        <v>281</v>
      </c>
      <c r="O25" s="137"/>
      <c r="P25" s="844"/>
      <c r="Q25" s="797"/>
      <c r="R25" s="864"/>
      <c r="S25" s="826"/>
      <c r="T25" s="808"/>
      <c r="U25" s="808"/>
      <c r="V25" s="806"/>
    </row>
    <row r="26" ht="15.75" customHeight="1">
      <c r="A26" s="35" t="s">
        <v>284</v>
      </c>
      <c r="B26" s="215" t="s">
        <v>285</v>
      </c>
      <c r="C26" s="123" t="s">
        <v>510</v>
      </c>
      <c r="D26" s="137"/>
      <c r="E26" s="170"/>
      <c r="F26" s="39"/>
      <c r="G26" s="88"/>
      <c r="H26" s="807"/>
      <c r="I26" s="808"/>
      <c r="J26" s="808"/>
      <c r="K26" s="862"/>
      <c r="L26" s="848"/>
      <c r="M26" s="860" t="s">
        <v>285</v>
      </c>
      <c r="N26" s="863" t="s">
        <v>291</v>
      </c>
      <c r="O26" s="137"/>
      <c r="P26" s="865"/>
      <c r="Q26" s="35"/>
      <c r="R26" s="798"/>
      <c r="S26" s="326"/>
      <c r="T26" s="808"/>
      <c r="U26" s="808"/>
      <c r="V26" s="806"/>
    </row>
    <row r="27" ht="15.75" customHeight="1">
      <c r="A27" s="35" t="s">
        <v>79</v>
      </c>
      <c r="B27" s="866" t="s">
        <v>293</v>
      </c>
      <c r="C27" s="867" t="s">
        <v>511</v>
      </c>
      <c r="D27" s="233" t="s">
        <v>295</v>
      </c>
      <c r="E27" s="868" t="s">
        <v>512</v>
      </c>
      <c r="F27" s="869" t="s">
        <v>136</v>
      </c>
      <c r="G27" s="870" t="s">
        <v>513</v>
      </c>
      <c r="H27" s="807" t="s">
        <v>34</v>
      </c>
      <c r="I27" s="808" t="s">
        <v>474</v>
      </c>
      <c r="J27" s="808" t="s">
        <v>475</v>
      </c>
      <c r="K27" s="862" t="s">
        <v>132</v>
      </c>
      <c r="L27" s="848"/>
      <c r="M27" s="871" t="s">
        <v>293</v>
      </c>
      <c r="N27" s="867"/>
      <c r="O27" s="228"/>
      <c r="P27" s="868"/>
      <c r="Q27" s="869"/>
      <c r="R27" s="870"/>
      <c r="S27" s="807"/>
      <c r="T27" s="808"/>
      <c r="U27" s="808"/>
      <c r="V27" s="806"/>
    </row>
    <row r="28" ht="15.75" customHeight="1">
      <c r="A28" s="35" t="s">
        <v>306</v>
      </c>
      <c r="B28" s="872" t="s">
        <v>307</v>
      </c>
      <c r="C28" s="873"/>
      <c r="D28" s="874"/>
      <c r="E28" s="875"/>
      <c r="F28" s="876"/>
      <c r="G28" s="877"/>
      <c r="H28" s="878"/>
      <c r="I28" s="879"/>
      <c r="J28" s="879"/>
      <c r="K28" s="880"/>
      <c r="L28" s="810"/>
      <c r="M28" s="881" t="s">
        <v>307</v>
      </c>
      <c r="N28" s="873"/>
      <c r="O28" s="874"/>
      <c r="P28" s="875"/>
      <c r="Q28" s="876"/>
      <c r="R28" s="877"/>
      <c r="S28" s="807"/>
      <c r="T28" s="808"/>
      <c r="U28" s="808"/>
      <c r="V28" s="806"/>
    </row>
    <row r="29" ht="64.5" customHeight="1">
      <c r="A29" s="882"/>
      <c r="B29" s="883" t="s">
        <v>514</v>
      </c>
      <c r="L29" s="884"/>
      <c r="M29" s="885"/>
      <c r="N29" s="328"/>
      <c r="O29" s="886"/>
      <c r="V29" s="886"/>
    </row>
    <row r="30" ht="15.75" customHeight="1">
      <c r="A30" s="882"/>
      <c r="L30" s="887"/>
      <c r="M30" s="885"/>
      <c r="N30" s="885"/>
      <c r="O30" s="888"/>
      <c r="P30" s="886"/>
      <c r="Q30" s="886"/>
      <c r="R30" s="886"/>
      <c r="S30" s="886"/>
      <c r="T30" s="886"/>
      <c r="U30" s="886"/>
      <c r="V30" s="886"/>
    </row>
    <row r="31" ht="18.0" customHeight="1">
      <c r="A31" s="882"/>
      <c r="L31" s="887"/>
      <c r="M31" s="889"/>
      <c r="N31" s="885"/>
      <c r="O31" s="889"/>
      <c r="P31" s="885"/>
      <c r="Q31" s="885"/>
      <c r="R31" s="885"/>
      <c r="S31" s="885"/>
      <c r="T31" s="885"/>
      <c r="U31" s="885"/>
      <c r="V31" s="885"/>
    </row>
    <row r="32" ht="33.0" customHeight="1">
      <c r="A32" s="882"/>
      <c r="L32" s="887"/>
      <c r="M32" s="885"/>
      <c r="N32" s="885"/>
      <c r="O32" s="885"/>
      <c r="P32" s="890"/>
      <c r="Q32" s="890"/>
      <c r="R32" s="890"/>
      <c r="S32" s="890"/>
      <c r="T32" s="890"/>
      <c r="U32" s="890"/>
      <c r="V32" s="890"/>
    </row>
    <row r="33" ht="15.75" customHeight="1">
      <c r="A33" s="891"/>
      <c r="B33" s="892"/>
      <c r="C33" s="893"/>
      <c r="D33" s="894" t="s">
        <v>326</v>
      </c>
      <c r="E33" s="894" t="s">
        <v>515</v>
      </c>
      <c r="F33" s="894" t="s">
        <v>516</v>
      </c>
      <c r="G33" s="894"/>
      <c r="H33" s="895"/>
      <c r="I33" s="895"/>
      <c r="J33" s="895"/>
      <c r="K33" s="895"/>
      <c r="L33" s="896"/>
      <c r="M33" s="885"/>
      <c r="N33" s="885"/>
      <c r="O33" s="897"/>
      <c r="P33" s="890"/>
      <c r="Q33" s="898"/>
      <c r="R33" s="890"/>
      <c r="S33" s="890"/>
      <c r="T33" s="890"/>
      <c r="U33" s="890"/>
      <c r="V33" s="890"/>
    </row>
    <row r="34" ht="15.75" customHeight="1">
      <c r="A34" s="882"/>
      <c r="B34" s="899"/>
      <c r="C34" s="323"/>
      <c r="D34" s="761"/>
      <c r="E34" s="761"/>
      <c r="F34" s="761"/>
      <c r="G34" s="761"/>
      <c r="H34" s="895"/>
      <c r="I34" s="895"/>
      <c r="J34" s="895"/>
      <c r="K34" s="895"/>
      <c r="L34" s="885"/>
      <c r="M34" s="885"/>
      <c r="N34" s="885"/>
      <c r="O34" s="885"/>
      <c r="P34" s="885"/>
      <c r="Q34" s="898"/>
      <c r="R34" s="900"/>
      <c r="S34" s="900"/>
      <c r="T34" s="900"/>
      <c r="U34" s="900"/>
      <c r="V34" s="900"/>
    </row>
    <row r="35">
      <c r="A35" s="882"/>
      <c r="B35" s="901">
        <v>1.0</v>
      </c>
      <c r="C35" s="346"/>
      <c r="D35" s="347" t="s">
        <v>205</v>
      </c>
      <c r="E35" s="902">
        <v>1.0</v>
      </c>
      <c r="F35" s="903"/>
      <c r="G35" s="216"/>
      <c r="H35" s="904"/>
      <c r="I35" s="904"/>
      <c r="J35" s="904"/>
      <c r="K35" s="904"/>
      <c r="L35" s="885"/>
      <c r="M35" s="897"/>
      <c r="N35" s="897"/>
      <c r="O35" s="897"/>
      <c r="P35" s="897"/>
      <c r="Q35" s="898"/>
      <c r="R35" s="900"/>
      <c r="S35" s="900"/>
      <c r="T35" s="900"/>
      <c r="U35" s="900"/>
      <c r="V35" s="900"/>
    </row>
    <row r="36" ht="15.75" customHeight="1">
      <c r="A36" s="882"/>
      <c r="B36" s="901">
        <v>2.0</v>
      </c>
      <c r="C36" s="346"/>
      <c r="D36" s="347" t="s">
        <v>229</v>
      </c>
      <c r="E36" s="902">
        <v>1.0</v>
      </c>
      <c r="F36" s="903"/>
      <c r="G36" s="164"/>
      <c r="H36" s="904"/>
      <c r="I36" s="904"/>
      <c r="J36" s="904"/>
      <c r="K36" s="904"/>
      <c r="L36" s="885"/>
      <c r="M36" s="898"/>
      <c r="N36" s="898"/>
      <c r="O36" s="898"/>
      <c r="P36" s="898"/>
      <c r="Q36" s="900"/>
      <c r="R36" s="900"/>
      <c r="S36" s="900"/>
      <c r="T36" s="900"/>
      <c r="U36" s="900"/>
      <c r="V36" s="900"/>
    </row>
    <row r="37" ht="15.75" customHeight="1">
      <c r="A37" s="882"/>
      <c r="B37" s="901">
        <v>3.0</v>
      </c>
      <c r="C37" s="346"/>
      <c r="D37" s="347" t="s">
        <v>256</v>
      </c>
      <c r="E37" s="905"/>
      <c r="F37" s="903"/>
      <c r="G37" s="164"/>
      <c r="H37" s="904"/>
      <c r="I37" s="904"/>
      <c r="J37" s="904"/>
      <c r="K37" s="904"/>
      <c r="L37" s="885"/>
      <c r="M37" s="898"/>
      <c r="N37" s="906"/>
      <c r="O37" s="898"/>
      <c r="P37" s="898"/>
      <c r="Q37" s="898"/>
      <c r="R37" s="898"/>
      <c r="S37" s="898"/>
      <c r="T37" s="898"/>
      <c r="U37" s="898"/>
      <c r="V37" s="898"/>
    </row>
    <row r="38" ht="15.75" customHeight="1">
      <c r="A38" s="882"/>
      <c r="B38" s="901">
        <v>4.0</v>
      </c>
      <c r="C38" s="346"/>
      <c r="D38" s="347" t="s">
        <v>333</v>
      </c>
      <c r="E38" s="905"/>
      <c r="F38" s="907"/>
      <c r="G38" s="164"/>
      <c r="H38" s="904"/>
      <c r="I38" s="904"/>
      <c r="J38" s="904"/>
      <c r="K38" s="904"/>
      <c r="L38" s="885"/>
      <c r="M38" s="898"/>
      <c r="N38" s="898"/>
      <c r="O38" s="898"/>
      <c r="P38" s="898"/>
      <c r="Q38" s="898"/>
      <c r="R38" s="897"/>
      <c r="S38" s="897"/>
      <c r="T38" s="897"/>
      <c r="U38" s="897"/>
      <c r="V38" s="897"/>
    </row>
    <row r="39" ht="15.0" customHeight="1">
      <c r="A39" s="882"/>
      <c r="B39" s="901">
        <v>5.0</v>
      </c>
      <c r="C39" s="346"/>
      <c r="D39" s="347" t="s">
        <v>275</v>
      </c>
      <c r="E39" s="905"/>
      <c r="F39" s="907"/>
      <c r="G39" s="164"/>
      <c r="H39" s="904"/>
      <c r="I39" s="904"/>
      <c r="J39" s="904"/>
      <c r="K39" s="904"/>
      <c r="L39" s="897"/>
      <c r="M39" s="898"/>
      <c r="N39" s="898"/>
      <c r="O39" s="898"/>
      <c r="P39" s="898"/>
      <c r="Q39" s="898"/>
      <c r="R39" s="898"/>
      <c r="S39" s="898"/>
      <c r="T39" s="898"/>
      <c r="U39" s="898"/>
      <c r="V39" s="898"/>
    </row>
    <row r="40" ht="15.75" customHeight="1">
      <c r="A40" s="882"/>
      <c r="B40" s="908">
        <v>6.0</v>
      </c>
      <c r="C40" s="346"/>
      <c r="D40" s="383" t="s">
        <v>99</v>
      </c>
      <c r="E40" s="905"/>
      <c r="F40" s="907"/>
      <c r="G40" s="909"/>
      <c r="H40" s="904"/>
      <c r="I40" s="904"/>
      <c r="J40" s="904"/>
      <c r="K40" s="904"/>
      <c r="L40" s="898"/>
      <c r="M40" s="898"/>
      <c r="N40" s="898"/>
      <c r="O40" s="898"/>
      <c r="P40" s="898"/>
      <c r="Q40" s="898"/>
      <c r="R40" s="898"/>
      <c r="S40" s="898"/>
      <c r="T40" s="898"/>
      <c r="U40" s="898"/>
      <c r="V40" s="898"/>
    </row>
    <row r="41" ht="15.75" customHeight="1">
      <c r="A41" s="882"/>
      <c r="B41" s="908">
        <v>7.0</v>
      </c>
      <c r="C41" s="346"/>
      <c r="D41" s="383" t="s">
        <v>126</v>
      </c>
      <c r="E41" s="905">
        <v>1.0</v>
      </c>
      <c r="F41" s="903"/>
      <c r="G41" s="909"/>
      <c r="H41" s="904"/>
      <c r="I41" s="904"/>
      <c r="J41" s="904"/>
      <c r="K41" s="904"/>
      <c r="L41" s="898"/>
      <c r="M41" s="898"/>
      <c r="N41" s="898"/>
      <c r="O41" s="898"/>
      <c r="P41" s="898"/>
      <c r="Q41" s="898"/>
      <c r="R41" s="898"/>
      <c r="S41" s="898"/>
      <c r="T41" s="898"/>
      <c r="U41" s="898"/>
      <c r="V41" s="898"/>
    </row>
    <row r="42" ht="15.75" customHeight="1">
      <c r="A42" s="882"/>
      <c r="B42" s="908">
        <v>8.0</v>
      </c>
      <c r="C42" s="346"/>
      <c r="D42" s="383" t="s">
        <v>152</v>
      </c>
      <c r="E42" s="905">
        <v>1.0</v>
      </c>
      <c r="F42" s="907"/>
      <c r="G42" s="909"/>
      <c r="H42" s="904"/>
      <c r="I42" s="904"/>
      <c r="J42" s="904"/>
      <c r="K42" s="904"/>
      <c r="L42" s="898"/>
      <c r="M42" s="898"/>
      <c r="N42" s="898"/>
      <c r="O42" s="898"/>
      <c r="P42" s="898"/>
      <c r="Q42" s="898"/>
      <c r="R42" s="898"/>
      <c r="S42" s="898"/>
      <c r="T42" s="898"/>
      <c r="U42" s="898"/>
      <c r="V42" s="898"/>
    </row>
    <row r="43" ht="15.75" customHeight="1">
      <c r="A43" s="882"/>
      <c r="B43" s="908">
        <v>9.0</v>
      </c>
      <c r="C43" s="346"/>
      <c r="D43" s="383" t="s">
        <v>178</v>
      </c>
      <c r="E43" s="905">
        <v>1.0</v>
      </c>
      <c r="F43" s="903"/>
      <c r="G43" s="909"/>
      <c r="H43" s="904"/>
      <c r="I43" s="904"/>
      <c r="J43" s="904"/>
      <c r="K43" s="904"/>
      <c r="L43" s="898"/>
      <c r="M43" s="898"/>
      <c r="N43" s="898"/>
      <c r="O43" s="898"/>
      <c r="P43" s="898"/>
      <c r="Q43" s="898"/>
      <c r="R43" s="898"/>
      <c r="S43" s="898"/>
      <c r="T43" s="898"/>
      <c r="U43" s="898"/>
      <c r="V43" s="898"/>
    </row>
    <row r="44" ht="15.75" customHeight="1">
      <c r="A44" s="882"/>
      <c r="B44" s="908">
        <v>10.0</v>
      </c>
      <c r="C44" s="346"/>
      <c r="D44" s="383" t="s">
        <v>360</v>
      </c>
      <c r="E44" s="902">
        <v>1.0</v>
      </c>
      <c r="F44" s="907"/>
      <c r="G44" s="909"/>
      <c r="H44" s="904"/>
      <c r="I44" s="904"/>
      <c r="J44" s="904"/>
      <c r="K44" s="904"/>
      <c r="L44" s="898"/>
      <c r="M44" s="898"/>
      <c r="N44" s="898"/>
      <c r="O44" s="898"/>
      <c r="P44" s="898"/>
      <c r="Q44" s="898"/>
      <c r="R44" s="898"/>
      <c r="S44" s="898"/>
      <c r="T44" s="898"/>
      <c r="U44" s="898"/>
      <c r="V44" s="898"/>
    </row>
    <row r="45" ht="15.75" customHeight="1">
      <c r="A45" s="882"/>
      <c r="B45" s="910">
        <v>11.0</v>
      </c>
      <c r="C45" s="346"/>
      <c r="D45" s="911"/>
      <c r="E45" s="902"/>
      <c r="F45" s="907"/>
      <c r="G45" s="902"/>
      <c r="H45" s="912"/>
      <c r="I45" s="912"/>
      <c r="J45" s="912"/>
      <c r="K45" s="912"/>
      <c r="L45" s="898"/>
      <c r="M45" s="898"/>
      <c r="N45" s="898"/>
      <c r="O45" s="898"/>
      <c r="P45" s="898"/>
      <c r="Q45" s="898"/>
      <c r="R45" s="898"/>
      <c r="S45" s="898"/>
      <c r="T45" s="898"/>
      <c r="U45" s="898"/>
      <c r="V45" s="898"/>
    </row>
    <row r="46" ht="15.75" customHeight="1">
      <c r="A46" s="882"/>
      <c r="B46" s="913">
        <v>12.0</v>
      </c>
      <c r="C46" s="346"/>
      <c r="D46" s="914"/>
      <c r="E46" s="40"/>
      <c r="F46" s="907"/>
      <c r="G46" s="915"/>
      <c r="H46" s="916"/>
      <c r="I46" s="916"/>
      <c r="J46" s="916"/>
      <c r="K46" s="916"/>
      <c r="L46" s="898"/>
      <c r="M46" s="898"/>
      <c r="N46" s="898"/>
      <c r="O46" s="898"/>
      <c r="P46" s="898"/>
      <c r="Q46" s="898"/>
      <c r="R46" s="898"/>
      <c r="S46" s="898"/>
      <c r="T46" s="898"/>
      <c r="U46" s="898"/>
      <c r="V46" s="898"/>
    </row>
    <row r="47" ht="15.75" customHeight="1">
      <c r="A47" s="882"/>
      <c r="B47" s="913">
        <v>13.0</v>
      </c>
      <c r="C47" s="346"/>
      <c r="D47" s="914"/>
      <c r="E47" s="40"/>
      <c r="F47" s="907"/>
      <c r="G47" s="915"/>
      <c r="H47" s="916"/>
      <c r="I47" s="916"/>
      <c r="J47" s="916"/>
      <c r="K47" s="916"/>
      <c r="L47" s="898"/>
      <c r="M47" s="898"/>
      <c r="N47" s="898"/>
      <c r="O47" s="898"/>
      <c r="P47" s="898"/>
      <c r="Q47" s="898"/>
      <c r="R47" s="898"/>
      <c r="S47" s="898"/>
      <c r="T47" s="898"/>
      <c r="U47" s="898"/>
      <c r="V47" s="898"/>
    </row>
    <row r="48" ht="15.75" customHeight="1">
      <c r="A48" s="882"/>
      <c r="B48" s="913">
        <v>14.0</v>
      </c>
      <c r="C48" s="346"/>
      <c r="D48" s="914"/>
      <c r="E48" s="40"/>
      <c r="F48" s="907"/>
      <c r="G48" s="915"/>
      <c r="H48" s="916"/>
      <c r="I48" s="916"/>
      <c r="J48" s="916"/>
      <c r="K48" s="916"/>
      <c r="L48" s="898"/>
      <c r="M48" s="917"/>
      <c r="N48" s="917"/>
      <c r="O48" s="917"/>
      <c r="P48" s="917"/>
      <c r="Q48" s="917"/>
      <c r="R48" s="917"/>
      <c r="S48" s="917"/>
      <c r="T48" s="917"/>
      <c r="U48" s="917"/>
      <c r="V48" s="917"/>
    </row>
    <row r="49" ht="15.75" customHeight="1">
      <c r="A49" s="882"/>
      <c r="B49" s="913">
        <v>15.0</v>
      </c>
      <c r="C49" s="346"/>
      <c r="D49" s="914"/>
      <c r="E49" s="40"/>
      <c r="F49" s="907"/>
      <c r="G49" s="915"/>
      <c r="H49" s="916"/>
      <c r="I49" s="916"/>
      <c r="J49" s="916"/>
      <c r="K49" s="916"/>
      <c r="L49" s="898"/>
      <c r="M49" s="917"/>
      <c r="N49" s="917"/>
      <c r="O49" s="917"/>
      <c r="P49" s="917"/>
      <c r="Q49" s="917"/>
      <c r="R49" s="917"/>
      <c r="S49" s="917"/>
      <c r="T49" s="917"/>
      <c r="U49" s="917"/>
      <c r="V49" s="917"/>
    </row>
    <row r="50" ht="15.75" customHeight="1">
      <c r="A50" s="882"/>
      <c r="B50" s="918" t="s">
        <v>517</v>
      </c>
      <c r="C50" s="919"/>
      <c r="D50" s="919"/>
      <c r="E50" s="919"/>
      <c r="F50" s="919"/>
      <c r="G50" s="893"/>
      <c r="H50" s="920"/>
      <c r="I50" s="920"/>
      <c r="J50" s="920"/>
      <c r="K50" s="920"/>
      <c r="L50" s="898"/>
      <c r="M50" s="898"/>
      <c r="N50" s="898"/>
      <c r="O50" s="898"/>
      <c r="P50" s="898"/>
      <c r="Q50" s="898"/>
      <c r="R50" s="898"/>
      <c r="S50" s="898"/>
      <c r="T50" s="898"/>
      <c r="U50" s="898"/>
      <c r="V50" s="898"/>
    </row>
    <row r="51">
      <c r="A51" s="882"/>
      <c r="B51" s="899"/>
      <c r="C51" s="319"/>
      <c r="D51" s="319"/>
      <c r="E51" s="319"/>
      <c r="F51" s="319"/>
      <c r="G51" s="323"/>
      <c r="H51" s="920"/>
      <c r="I51" s="920"/>
      <c r="J51" s="920"/>
      <c r="K51" s="920"/>
      <c r="L51" s="898"/>
      <c r="M51" s="898"/>
      <c r="N51" s="898"/>
      <c r="O51" s="898"/>
      <c r="P51" s="898"/>
      <c r="Q51" s="898"/>
      <c r="R51" s="898"/>
      <c r="S51" s="898"/>
      <c r="T51" s="898"/>
      <c r="U51" s="898"/>
      <c r="V51" s="898"/>
    </row>
    <row r="52" ht="15.75" customHeight="1">
      <c r="A52" s="921"/>
      <c r="B52" s="922">
        <v>1.0</v>
      </c>
      <c r="C52" s="346"/>
      <c r="D52" s="923" t="s">
        <v>327</v>
      </c>
      <c r="E52" s="902">
        <v>1.0</v>
      </c>
      <c r="F52" s="924"/>
      <c r="G52" s="925"/>
      <c r="H52" s="926"/>
      <c r="I52" s="926"/>
      <c r="J52" s="926"/>
      <c r="K52" s="926"/>
      <c r="L52" s="917"/>
      <c r="M52" s="898"/>
      <c r="N52" s="898"/>
      <c r="O52" s="898"/>
      <c r="P52" s="898"/>
      <c r="Q52" s="898"/>
      <c r="R52" s="898"/>
      <c r="S52" s="898"/>
      <c r="T52" s="898"/>
      <c r="U52" s="898"/>
      <c r="V52" s="898"/>
    </row>
    <row r="53" ht="15.75" customHeight="1">
      <c r="A53" s="921"/>
      <c r="B53" s="922">
        <v>2.0</v>
      </c>
      <c r="C53" s="346"/>
      <c r="D53" s="927" t="s">
        <v>37</v>
      </c>
      <c r="E53" s="902">
        <v>1.0</v>
      </c>
      <c r="F53" s="924"/>
      <c r="G53" s="925"/>
      <c r="H53" s="926"/>
      <c r="I53" s="926"/>
      <c r="J53" s="926"/>
      <c r="K53" s="926"/>
      <c r="L53" s="917"/>
      <c r="M53" s="898"/>
      <c r="N53" s="898"/>
    </row>
    <row r="54" ht="15.75" customHeight="1">
      <c r="A54" s="882"/>
      <c r="B54" s="928">
        <v>3.0</v>
      </c>
      <c r="C54" s="346"/>
      <c r="D54" s="929"/>
      <c r="E54" s="902"/>
      <c r="F54" s="924"/>
      <c r="G54" s="925"/>
      <c r="H54" s="926"/>
      <c r="I54" s="926"/>
      <c r="J54" s="926"/>
      <c r="K54" s="926"/>
      <c r="L54" s="898"/>
      <c r="M54" s="898"/>
      <c r="N54" s="898"/>
    </row>
    <row r="55" ht="15.75" customHeight="1">
      <c r="A55" s="882"/>
      <c r="B55" s="918" t="s">
        <v>518</v>
      </c>
      <c r="C55" s="919"/>
      <c r="D55" s="919"/>
      <c r="E55" s="919"/>
      <c r="F55" s="919"/>
      <c r="G55" s="893"/>
      <c r="H55" s="926"/>
      <c r="I55" s="926"/>
      <c r="J55" s="926"/>
      <c r="K55" s="926"/>
      <c r="L55" s="898"/>
      <c r="M55" s="900"/>
      <c r="N55" s="900"/>
      <c r="O55" s="930"/>
      <c r="P55" s="931"/>
      <c r="S55" s="931"/>
      <c r="T55" s="931"/>
      <c r="U55" s="931"/>
      <c r="V55" s="931"/>
    </row>
    <row r="56" ht="15.75" customHeight="1">
      <c r="A56" s="882"/>
      <c r="B56" s="899"/>
      <c r="C56" s="319"/>
      <c r="D56" s="319"/>
      <c r="E56" s="319"/>
      <c r="F56" s="319"/>
      <c r="G56" s="323"/>
      <c r="H56" s="926"/>
      <c r="I56" s="926"/>
      <c r="J56" s="926"/>
      <c r="K56" s="926"/>
      <c r="L56" s="898"/>
      <c r="M56" s="898"/>
      <c r="N56" s="898"/>
      <c r="O56" s="898"/>
      <c r="P56" s="898"/>
      <c r="Q56" s="898"/>
      <c r="R56" s="898"/>
      <c r="S56" s="898"/>
      <c r="T56" s="898"/>
      <c r="U56" s="898"/>
      <c r="V56" s="898"/>
    </row>
    <row r="57" ht="15.75" customHeight="1">
      <c r="A57" s="882"/>
      <c r="B57" s="932">
        <v>1.0</v>
      </c>
      <c r="C57" s="346"/>
      <c r="D57" s="233" t="s">
        <v>295</v>
      </c>
      <c r="E57" s="902">
        <v>1.0</v>
      </c>
      <c r="F57" s="924"/>
      <c r="G57" s="933"/>
      <c r="H57" s="895"/>
      <c r="I57" s="895"/>
      <c r="J57" s="895"/>
      <c r="K57" s="895"/>
      <c r="L57" s="898"/>
      <c r="M57" s="900"/>
      <c r="N57" s="934"/>
      <c r="O57" s="930"/>
      <c r="P57" s="935"/>
      <c r="S57" s="935"/>
      <c r="T57" s="935"/>
      <c r="U57" s="935"/>
      <c r="V57" s="935"/>
    </row>
    <row r="58" ht="15.75" customHeight="1">
      <c r="A58" s="882"/>
      <c r="B58" s="932">
        <v>2.0</v>
      </c>
      <c r="C58" s="346"/>
      <c r="D58" s="936" t="s">
        <v>309</v>
      </c>
      <c r="E58" s="902"/>
      <c r="F58" s="924"/>
      <c r="G58" s="937"/>
      <c r="H58" s="938"/>
      <c r="I58" s="938"/>
      <c r="J58" s="938"/>
      <c r="K58" s="938"/>
      <c r="L58" s="898"/>
      <c r="M58" s="900"/>
      <c r="N58" s="900"/>
      <c r="O58" s="930"/>
      <c r="P58" s="939" t="s">
        <v>519</v>
      </c>
      <c r="S58" s="939"/>
      <c r="T58" s="939"/>
      <c r="U58" s="939"/>
      <c r="V58" s="939"/>
    </row>
    <row r="59" ht="15.75" customHeight="1">
      <c r="A59" s="940"/>
      <c r="B59" s="941"/>
      <c r="C59" s="346"/>
      <c r="D59" s="942"/>
      <c r="E59" s="943"/>
      <c r="F59" s="943"/>
      <c r="G59" s="915"/>
      <c r="H59" s="916"/>
      <c r="I59" s="916"/>
      <c r="J59" s="916"/>
      <c r="K59" s="916"/>
      <c r="L59" s="900"/>
      <c r="M59" s="900"/>
      <c r="N59" s="900"/>
      <c r="O59" s="930"/>
      <c r="P59" s="944"/>
      <c r="S59" s="944"/>
      <c r="T59" s="944"/>
      <c r="U59" s="944"/>
      <c r="V59" s="944"/>
    </row>
    <row r="60" ht="15.75" customHeight="1">
      <c r="A60" s="882"/>
      <c r="B60" s="918" t="s">
        <v>520</v>
      </c>
      <c r="C60" s="919"/>
      <c r="D60" s="919"/>
      <c r="E60" s="919"/>
      <c r="F60" s="919"/>
      <c r="G60" s="893"/>
      <c r="H60" s="945"/>
      <c r="I60" s="945"/>
      <c r="J60" s="945"/>
      <c r="K60" s="945"/>
      <c r="L60" s="898"/>
      <c r="M60" s="900"/>
      <c r="N60" s="900"/>
      <c r="O60" s="900"/>
      <c r="P60" s="900"/>
      <c r="Q60" s="898"/>
      <c r="R60" s="898"/>
      <c r="S60" s="898"/>
      <c r="T60" s="898"/>
      <c r="U60" s="898"/>
      <c r="V60" s="898"/>
    </row>
    <row r="61" ht="15.75" customHeight="1">
      <c r="A61" s="940"/>
      <c r="B61" s="899"/>
      <c r="C61" s="319"/>
      <c r="D61" s="319"/>
      <c r="E61" s="319"/>
      <c r="F61" s="319"/>
      <c r="G61" s="323"/>
      <c r="H61" s="938"/>
      <c r="I61" s="938"/>
      <c r="J61" s="938"/>
      <c r="K61" s="938"/>
      <c r="L61" s="900"/>
      <c r="M61" s="946"/>
      <c r="N61" s="946"/>
      <c r="O61" s="946"/>
      <c r="P61" s="946"/>
      <c r="Q61" s="947"/>
      <c r="R61" s="947"/>
      <c r="S61" s="947"/>
      <c r="T61" s="947"/>
      <c r="U61" s="947"/>
      <c r="V61" s="947"/>
    </row>
    <row r="62" ht="15.75" customHeight="1">
      <c r="A62" s="940"/>
      <c r="B62" s="948">
        <v>1.0</v>
      </c>
      <c r="C62" s="346"/>
      <c r="D62" s="824" t="s">
        <v>75</v>
      </c>
      <c r="E62" s="949"/>
      <c r="F62" s="950"/>
      <c r="G62" s="915"/>
      <c r="H62" s="916"/>
      <c r="I62" s="916"/>
      <c r="J62" s="916"/>
      <c r="K62" s="916"/>
      <c r="L62" s="900"/>
      <c r="M62" s="898"/>
      <c r="N62" s="898"/>
      <c r="O62" s="898"/>
      <c r="P62" s="898"/>
      <c r="Q62" s="898"/>
      <c r="R62" s="898"/>
      <c r="S62" s="898"/>
      <c r="T62" s="898"/>
      <c r="U62" s="898"/>
      <c r="V62" s="898"/>
    </row>
    <row r="63" ht="15.75" customHeight="1">
      <c r="A63" s="940"/>
      <c r="B63" s="948">
        <v>2.0</v>
      </c>
      <c r="C63" s="346"/>
      <c r="D63" s="951"/>
      <c r="E63" s="902"/>
      <c r="F63" s="924"/>
      <c r="G63" s="915"/>
      <c r="H63" s="916"/>
      <c r="I63" s="916"/>
      <c r="J63" s="916"/>
      <c r="K63" s="916"/>
      <c r="L63" s="900"/>
      <c r="M63" s="898"/>
      <c r="N63" s="898"/>
      <c r="O63" s="898"/>
      <c r="P63" s="898"/>
      <c r="Q63" s="898"/>
      <c r="R63" s="898"/>
      <c r="S63" s="898"/>
      <c r="T63" s="898"/>
      <c r="U63" s="898"/>
      <c r="V63" s="898"/>
    </row>
    <row r="64" ht="15.75" customHeight="1">
      <c r="A64" s="940"/>
      <c r="B64" s="941"/>
      <c r="C64" s="346"/>
      <c r="D64" s="942"/>
      <c r="E64" s="943"/>
      <c r="F64" s="943"/>
      <c r="G64" s="915"/>
      <c r="H64" s="916"/>
      <c r="I64" s="916"/>
      <c r="J64" s="916"/>
      <c r="K64" s="916"/>
      <c r="L64" s="900"/>
    </row>
    <row r="65" ht="15.75" customHeight="1">
      <c r="A65" s="952"/>
      <c r="B65" s="953" t="s">
        <v>346</v>
      </c>
      <c r="C65" s="346"/>
      <c r="D65" s="954"/>
      <c r="E65" s="955">
        <f>SUM(E35:E64)</f>
        <v>9</v>
      </c>
      <c r="F65" s="955">
        <f>SUM(F35:F61)</f>
        <v>0</v>
      </c>
      <c r="G65" s="956"/>
      <c r="H65" s="957"/>
      <c r="I65" s="957"/>
      <c r="J65" s="957"/>
      <c r="K65" s="957"/>
      <c r="L65" s="946"/>
    </row>
    <row r="66" ht="15.75" customHeight="1">
      <c r="A66" s="882"/>
      <c r="B66" s="882"/>
      <c r="C66" s="882"/>
      <c r="D66" s="882"/>
      <c r="E66" s="882"/>
      <c r="F66" s="882"/>
      <c r="G66" s="958"/>
      <c r="H66" s="958"/>
      <c r="I66" s="958"/>
      <c r="J66" s="958"/>
      <c r="K66" s="958"/>
      <c r="L66" s="898"/>
    </row>
    <row r="67" ht="15.75" customHeight="1">
      <c r="A67" s="882"/>
      <c r="B67" s="882"/>
      <c r="C67" s="882"/>
      <c r="D67" s="959"/>
      <c r="E67" s="960"/>
      <c r="F67" s="960"/>
      <c r="G67" s="960"/>
      <c r="H67" s="960"/>
      <c r="I67" s="960"/>
      <c r="J67" s="960"/>
      <c r="K67" s="960"/>
      <c r="L67" s="898"/>
    </row>
    <row r="68" ht="15.75" customHeight="1"/>
    <row r="69" ht="15.75" customHeight="1">
      <c r="Q69" s="961" t="s">
        <v>367</v>
      </c>
    </row>
    <row r="70" ht="15.75" customHeight="1"/>
    <row r="71" ht="15.75" customHeight="1"/>
    <row r="72" ht="15.75" customHeight="1"/>
    <row r="73" ht="15.75" customHeight="1"/>
  </sheetData>
  <mergeCells count="42">
    <mergeCell ref="B1:R1"/>
    <mergeCell ref="B2:G2"/>
    <mergeCell ref="M2:R2"/>
    <mergeCell ref="B29:K32"/>
    <mergeCell ref="O29:U29"/>
    <mergeCell ref="B33:C34"/>
    <mergeCell ref="D33:D34"/>
    <mergeCell ref="G33:G34"/>
    <mergeCell ref="E33:E34"/>
    <mergeCell ref="F33:F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G51"/>
    <mergeCell ref="B52:C52"/>
    <mergeCell ref="B53:C53"/>
    <mergeCell ref="B54:C54"/>
    <mergeCell ref="B59:C59"/>
    <mergeCell ref="B60:G61"/>
    <mergeCell ref="B62:C62"/>
    <mergeCell ref="B63:C63"/>
    <mergeCell ref="B64:C64"/>
    <mergeCell ref="B65:C65"/>
    <mergeCell ref="B55:G56"/>
    <mergeCell ref="P55:R55"/>
    <mergeCell ref="B57:C57"/>
    <mergeCell ref="P57:R57"/>
    <mergeCell ref="B58:C58"/>
    <mergeCell ref="P58:R58"/>
    <mergeCell ref="P59:R59"/>
  </mergeCells>
  <conditionalFormatting sqref="M31:Q31 L34:L36">
    <cfRule type="notContainsBlanks" dxfId="0" priority="1">
      <formula>LEN(TRIM(M31))&gt;0</formula>
    </cfRule>
  </conditionalFormatting>
  <printOptions gridLines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0"/>
  <cols>
    <col customWidth="1" min="2" max="32" width="4.43"/>
  </cols>
  <sheetData>
    <row r="1">
      <c r="A1" s="962"/>
      <c r="B1" s="963">
        <v>45658.0</v>
      </c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346"/>
    </row>
    <row r="2">
      <c r="A2" s="962"/>
      <c r="B2" s="964" t="s">
        <v>521</v>
      </c>
      <c r="C2" s="964" t="s">
        <v>522</v>
      </c>
      <c r="D2" s="964" t="s">
        <v>523</v>
      </c>
      <c r="E2" s="964" t="s">
        <v>524</v>
      </c>
      <c r="F2" s="964" t="s">
        <v>525</v>
      </c>
      <c r="G2" s="964" t="s">
        <v>526</v>
      </c>
      <c r="H2" s="964" t="s">
        <v>527</v>
      </c>
      <c r="I2" s="964" t="s">
        <v>521</v>
      </c>
      <c r="J2" s="964" t="s">
        <v>522</v>
      </c>
      <c r="K2" s="964" t="s">
        <v>523</v>
      </c>
      <c r="L2" s="964" t="s">
        <v>524</v>
      </c>
      <c r="M2" s="964" t="s">
        <v>525</v>
      </c>
      <c r="N2" s="964" t="s">
        <v>526</v>
      </c>
      <c r="O2" s="964" t="s">
        <v>527</v>
      </c>
      <c r="P2" s="964" t="s">
        <v>521</v>
      </c>
      <c r="Q2" s="964" t="s">
        <v>522</v>
      </c>
      <c r="R2" s="964" t="s">
        <v>523</v>
      </c>
      <c r="S2" s="964" t="s">
        <v>524</v>
      </c>
      <c r="T2" s="964" t="s">
        <v>525</v>
      </c>
      <c r="U2" s="964" t="s">
        <v>526</v>
      </c>
      <c r="V2" s="964" t="s">
        <v>527</v>
      </c>
      <c r="W2" s="964" t="s">
        <v>521</v>
      </c>
      <c r="X2" s="964" t="s">
        <v>522</v>
      </c>
      <c r="Y2" s="964" t="s">
        <v>523</v>
      </c>
      <c r="Z2" s="964" t="s">
        <v>524</v>
      </c>
      <c r="AA2" s="964" t="s">
        <v>525</v>
      </c>
      <c r="AB2" s="964" t="s">
        <v>526</v>
      </c>
      <c r="AC2" s="964" t="s">
        <v>527</v>
      </c>
      <c r="AD2" s="964" t="s">
        <v>521</v>
      </c>
      <c r="AE2" s="964" t="s">
        <v>522</v>
      </c>
      <c r="AF2" s="964" t="s">
        <v>523</v>
      </c>
    </row>
    <row r="3">
      <c r="A3" s="962"/>
      <c r="B3" s="965">
        <v>1.0</v>
      </c>
      <c r="C3" s="965">
        <v>2.0</v>
      </c>
      <c r="D3" s="965">
        <v>3.0</v>
      </c>
      <c r="E3" s="965">
        <v>4.0</v>
      </c>
      <c r="F3" s="965">
        <v>5.0</v>
      </c>
      <c r="G3" s="964">
        <v>6.0</v>
      </c>
      <c r="H3" s="964">
        <v>7.0</v>
      </c>
      <c r="I3" s="964">
        <v>8.0</v>
      </c>
      <c r="J3" s="964">
        <v>9.0</v>
      </c>
      <c r="K3" s="964">
        <v>10.0</v>
      </c>
      <c r="L3" s="964">
        <v>11.0</v>
      </c>
      <c r="M3" s="964">
        <v>12.0</v>
      </c>
      <c r="N3" s="964">
        <v>13.0</v>
      </c>
      <c r="O3" s="964">
        <v>14.0</v>
      </c>
      <c r="P3" s="964">
        <v>15.0</v>
      </c>
      <c r="Q3" s="964">
        <v>16.0</v>
      </c>
      <c r="R3" s="964">
        <v>17.0</v>
      </c>
      <c r="S3" s="964">
        <v>18.0</v>
      </c>
      <c r="T3" s="964">
        <v>19.0</v>
      </c>
      <c r="U3" s="964">
        <v>20.0</v>
      </c>
      <c r="V3" s="964">
        <v>21.0</v>
      </c>
      <c r="W3" s="964">
        <v>22.0</v>
      </c>
      <c r="X3" s="964">
        <v>23.0</v>
      </c>
      <c r="Y3" s="964">
        <v>24.0</v>
      </c>
      <c r="Z3" s="964">
        <v>25.0</v>
      </c>
      <c r="AA3" s="964">
        <v>26.0</v>
      </c>
      <c r="AB3" s="964">
        <v>27.0</v>
      </c>
      <c r="AC3" s="964">
        <v>28.0</v>
      </c>
      <c r="AD3" s="964">
        <v>29.0</v>
      </c>
      <c r="AE3" s="964">
        <v>30.0</v>
      </c>
      <c r="AF3" s="964">
        <v>31.0</v>
      </c>
    </row>
    <row r="4">
      <c r="A4" s="966" t="s">
        <v>528</v>
      </c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  <c r="N4" s="675"/>
      <c r="O4" s="675"/>
      <c r="P4" s="675"/>
      <c r="Q4" s="675"/>
      <c r="R4" s="675"/>
      <c r="S4" s="675"/>
      <c r="T4" s="675"/>
      <c r="U4" s="675"/>
      <c r="V4" s="675"/>
      <c r="W4" s="967"/>
      <c r="X4" s="675"/>
      <c r="Y4" s="675"/>
      <c r="Z4" s="675"/>
      <c r="AA4" s="675"/>
      <c r="AB4" s="675"/>
      <c r="AC4" s="675"/>
      <c r="AD4" s="967"/>
      <c r="AE4" s="675"/>
      <c r="AF4" s="675"/>
    </row>
    <row r="5">
      <c r="A5" s="966" t="s">
        <v>205</v>
      </c>
      <c r="B5" s="675"/>
      <c r="C5" s="675"/>
      <c r="D5" s="675"/>
      <c r="E5" s="675"/>
      <c r="F5" s="675"/>
      <c r="G5" s="675"/>
      <c r="H5" s="675"/>
      <c r="I5" s="675"/>
      <c r="J5" s="675"/>
      <c r="K5" s="675"/>
      <c r="L5" s="675"/>
      <c r="M5" s="675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5"/>
      <c r="Y5" s="675"/>
      <c r="Z5" s="675"/>
      <c r="AA5" s="675"/>
      <c r="AB5" s="675"/>
      <c r="AC5" s="675"/>
      <c r="AD5" s="675"/>
      <c r="AE5" s="675"/>
      <c r="AF5" s="675"/>
    </row>
    <row r="6">
      <c r="A6" s="962" t="s">
        <v>121</v>
      </c>
      <c r="B6" s="675"/>
      <c r="C6" s="675"/>
      <c r="D6" s="675"/>
      <c r="E6" s="675"/>
      <c r="F6" s="675"/>
      <c r="G6" s="675"/>
      <c r="H6" s="675"/>
      <c r="I6" s="675"/>
      <c r="J6" s="675"/>
      <c r="K6" s="675"/>
      <c r="L6" s="675"/>
      <c r="M6" s="675"/>
      <c r="N6" s="675"/>
      <c r="O6" s="675"/>
      <c r="P6" s="675"/>
      <c r="Q6" s="675"/>
      <c r="R6" s="675"/>
      <c r="S6" s="675"/>
      <c r="T6" s="675"/>
      <c r="U6" s="675"/>
      <c r="V6" s="675"/>
      <c r="W6" s="675"/>
      <c r="X6" s="675"/>
      <c r="Y6" s="675"/>
      <c r="Z6" s="675"/>
      <c r="AA6" s="675"/>
      <c r="AB6" s="675"/>
      <c r="AC6" s="675"/>
      <c r="AD6" s="675"/>
      <c r="AE6" s="675"/>
      <c r="AF6" s="675"/>
    </row>
    <row r="7">
      <c r="A7" s="962" t="s">
        <v>384</v>
      </c>
      <c r="B7" s="675"/>
      <c r="C7" s="675"/>
      <c r="D7" s="675"/>
      <c r="E7" s="675"/>
      <c r="F7" s="675"/>
      <c r="G7" s="675"/>
      <c r="H7" s="675"/>
      <c r="I7" s="675"/>
      <c r="J7" s="675"/>
      <c r="K7" s="675"/>
      <c r="L7" s="675"/>
      <c r="M7" s="675"/>
      <c r="N7" s="675"/>
      <c r="O7" s="675"/>
      <c r="P7" s="675"/>
      <c r="Q7" s="675"/>
      <c r="R7" s="675"/>
      <c r="S7" s="675"/>
      <c r="T7" s="675"/>
      <c r="U7" s="675"/>
      <c r="V7" s="675"/>
      <c r="W7" s="675"/>
      <c r="X7" s="675"/>
      <c r="Y7" s="967"/>
    </row>
    <row r="8">
      <c r="A8" s="962" t="s">
        <v>353</v>
      </c>
      <c r="B8" s="675"/>
      <c r="C8" s="675"/>
      <c r="D8" s="675"/>
      <c r="E8" s="675"/>
      <c r="F8" s="675"/>
      <c r="G8" s="675"/>
      <c r="H8" s="675"/>
      <c r="I8" s="675"/>
      <c r="J8" s="675"/>
      <c r="K8" s="675"/>
      <c r="L8" s="675"/>
      <c r="M8" s="675"/>
      <c r="N8" s="675"/>
      <c r="O8" s="675"/>
      <c r="P8" s="675"/>
      <c r="Q8" s="675"/>
      <c r="R8" s="675"/>
      <c r="S8" s="675"/>
      <c r="T8" s="675"/>
      <c r="U8" s="675"/>
      <c r="V8" s="675"/>
      <c r="W8" s="675"/>
      <c r="X8" s="675"/>
      <c r="Y8" s="967"/>
      <c r="Z8" s="675"/>
      <c r="AA8" s="675"/>
      <c r="AB8" s="675"/>
      <c r="AC8" s="675"/>
      <c r="AD8" s="675"/>
      <c r="AE8" s="675"/>
      <c r="AF8" s="675"/>
    </row>
    <row r="9">
      <c r="A9" s="962" t="s">
        <v>147</v>
      </c>
      <c r="B9" s="675"/>
      <c r="C9" s="675"/>
      <c r="D9" s="675"/>
      <c r="E9" s="675"/>
      <c r="F9" s="675"/>
      <c r="G9" s="675"/>
      <c r="H9" s="675"/>
      <c r="I9" s="675"/>
      <c r="J9" s="675"/>
      <c r="K9" s="675"/>
      <c r="L9" s="675"/>
      <c r="M9" s="675"/>
      <c r="N9" s="675"/>
      <c r="O9" s="675"/>
      <c r="P9" s="675"/>
      <c r="Q9" s="675"/>
      <c r="R9" s="675"/>
      <c r="S9" s="675"/>
      <c r="T9" s="675"/>
      <c r="U9" s="675"/>
      <c r="V9" s="675"/>
      <c r="W9" s="675"/>
      <c r="X9" s="675"/>
      <c r="Y9" s="675"/>
      <c r="Z9" s="675"/>
      <c r="AA9" s="675"/>
      <c r="AB9" s="675"/>
      <c r="AC9" s="675"/>
      <c r="AD9" s="675"/>
      <c r="AE9" s="675"/>
      <c r="AF9" s="675"/>
    </row>
    <row r="10">
      <c r="A10" s="962" t="s">
        <v>360</v>
      </c>
      <c r="B10" s="675"/>
      <c r="C10" s="675"/>
      <c r="D10" s="675"/>
      <c r="E10" s="675"/>
      <c r="F10" s="675"/>
      <c r="G10" s="968"/>
      <c r="H10" s="675"/>
      <c r="I10" s="675"/>
      <c r="J10" s="675"/>
      <c r="K10" s="675"/>
      <c r="L10" s="675"/>
      <c r="M10" s="675"/>
      <c r="N10" s="675"/>
      <c r="O10" s="675"/>
      <c r="P10" s="675"/>
      <c r="Q10" s="675"/>
      <c r="R10" s="675"/>
      <c r="S10" s="675"/>
      <c r="T10" s="675"/>
      <c r="U10" s="675"/>
      <c r="V10" s="675"/>
      <c r="W10" s="675"/>
      <c r="X10" s="675"/>
      <c r="Y10" s="675"/>
      <c r="Z10" s="675"/>
      <c r="AA10" s="675"/>
      <c r="AB10" s="675"/>
      <c r="AC10" s="675"/>
      <c r="AD10" s="675"/>
      <c r="AE10" s="675"/>
      <c r="AF10" s="675"/>
    </row>
    <row r="11">
      <c r="A11" s="962" t="s">
        <v>229</v>
      </c>
      <c r="B11" s="675"/>
      <c r="C11" s="675"/>
      <c r="D11" s="675"/>
      <c r="E11" s="675"/>
      <c r="F11" s="675"/>
      <c r="G11" s="675"/>
      <c r="H11" s="675"/>
      <c r="I11" s="675"/>
      <c r="J11" s="675"/>
      <c r="K11" s="675"/>
      <c r="L11" s="675"/>
      <c r="M11" s="675"/>
      <c r="N11" s="675"/>
      <c r="O11" s="675"/>
      <c r="P11" s="675"/>
      <c r="Q11" s="675"/>
      <c r="R11" s="675"/>
      <c r="S11" s="675"/>
      <c r="T11" s="675"/>
      <c r="U11" s="675"/>
      <c r="V11" s="675"/>
      <c r="W11" s="675"/>
      <c r="X11" s="675"/>
      <c r="Y11" s="675"/>
      <c r="Z11" s="675"/>
      <c r="AA11" s="675"/>
      <c r="AB11" s="675"/>
      <c r="AC11" s="675"/>
      <c r="AD11" s="675"/>
      <c r="AE11" s="675"/>
      <c r="AF11" s="675"/>
    </row>
    <row r="12">
      <c r="A12" s="962" t="s">
        <v>235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675"/>
      <c r="O12" s="675"/>
      <c r="P12" s="675"/>
      <c r="Q12" s="675"/>
      <c r="R12" s="675"/>
      <c r="S12" s="675"/>
      <c r="T12" s="675"/>
      <c r="U12" s="675"/>
      <c r="V12" s="675"/>
      <c r="W12" s="675"/>
      <c r="X12" s="675"/>
      <c r="Y12" s="675"/>
      <c r="Z12" s="675"/>
      <c r="AA12" s="675"/>
      <c r="AB12" s="675"/>
      <c r="AC12" s="675"/>
      <c r="AD12" s="675"/>
      <c r="AE12" s="675"/>
      <c r="AF12" s="675"/>
    </row>
    <row r="13">
      <c r="A13" s="962" t="s">
        <v>385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675"/>
      <c r="O13" s="675"/>
      <c r="P13" s="675"/>
      <c r="Q13" s="675"/>
      <c r="R13" s="675"/>
      <c r="S13" s="675"/>
      <c r="T13" s="675"/>
      <c r="U13" s="675"/>
      <c r="V13" s="675"/>
      <c r="W13" s="675"/>
      <c r="X13" s="675"/>
      <c r="Y13" s="675"/>
      <c r="Z13" s="675"/>
      <c r="AA13" s="675"/>
      <c r="AB13" s="675"/>
      <c r="AC13" s="675"/>
      <c r="AD13" s="967"/>
      <c r="AE13" s="675"/>
      <c r="AF13" s="675"/>
    </row>
    <row r="14">
      <c r="A14" s="969" t="s">
        <v>380</v>
      </c>
      <c r="B14" s="717"/>
      <c r="C14" s="717"/>
      <c r="D14" s="717"/>
      <c r="E14" s="717"/>
      <c r="F14" s="717"/>
      <c r="G14" s="717"/>
      <c r="H14" s="717"/>
      <c r="I14" s="717"/>
      <c r="J14" s="717"/>
      <c r="K14" s="717"/>
      <c r="L14" s="717"/>
      <c r="M14" s="717"/>
      <c r="N14" s="717"/>
      <c r="O14" s="717"/>
      <c r="P14" s="717"/>
      <c r="Q14" s="717"/>
      <c r="R14" s="717"/>
      <c r="S14" s="717"/>
      <c r="T14" s="717"/>
      <c r="U14" s="717"/>
      <c r="V14" s="717"/>
      <c r="W14" s="717"/>
      <c r="X14" s="717"/>
      <c r="Y14" s="717"/>
      <c r="Z14" s="717"/>
      <c r="AA14" s="717"/>
      <c r="AB14" s="717"/>
      <c r="AC14" s="717"/>
      <c r="AD14" s="717"/>
      <c r="AE14" s="717"/>
      <c r="AF14" s="717"/>
    </row>
    <row r="15">
      <c r="A15" s="969" t="s">
        <v>370</v>
      </c>
    </row>
    <row r="16">
      <c r="A16" s="969" t="s">
        <v>160</v>
      </c>
    </row>
    <row r="17">
      <c r="A17" s="969" t="s">
        <v>126</v>
      </c>
    </row>
    <row r="18">
      <c r="A18" s="969" t="s">
        <v>458</v>
      </c>
    </row>
    <row r="19">
      <c r="A19" s="969" t="s">
        <v>377</v>
      </c>
    </row>
    <row r="20">
      <c r="A20" s="969" t="s">
        <v>529</v>
      </c>
    </row>
    <row r="21">
      <c r="A21" s="969" t="s">
        <v>222</v>
      </c>
      <c r="X21" s="724"/>
    </row>
    <row r="22">
      <c r="A22" s="969" t="s">
        <v>178</v>
      </c>
    </row>
    <row r="23">
      <c r="A23" s="969" t="s">
        <v>459</v>
      </c>
    </row>
    <row r="24">
      <c r="A24" s="969" t="s">
        <v>248</v>
      </c>
    </row>
    <row r="25">
      <c r="A25" s="969" t="s">
        <v>191</v>
      </c>
    </row>
    <row r="26">
      <c r="A26" s="969" t="s">
        <v>530</v>
      </c>
    </row>
    <row r="27">
      <c r="A27" s="969" t="s">
        <v>531</v>
      </c>
    </row>
    <row r="28">
      <c r="A28" s="969" t="s">
        <v>532</v>
      </c>
      <c r="W28" s="724"/>
      <c r="AD28" s="724"/>
    </row>
    <row r="29">
      <c r="A29" s="969" t="s">
        <v>533</v>
      </c>
      <c r="AF29" s="724"/>
    </row>
    <row r="30">
      <c r="A30" s="969" t="s">
        <v>534</v>
      </c>
    </row>
    <row r="31">
      <c r="A31" s="969" t="s">
        <v>210</v>
      </c>
    </row>
    <row r="32">
      <c r="A32" s="969" t="s">
        <v>535</v>
      </c>
      <c r="AE32" s="724"/>
    </row>
    <row r="33">
      <c r="A33" s="969" t="s">
        <v>536</v>
      </c>
      <c r="AB33" s="724"/>
    </row>
    <row r="34">
      <c r="A34" s="969" t="s">
        <v>537</v>
      </c>
    </row>
    <row r="35">
      <c r="A35" s="969" t="s">
        <v>538</v>
      </c>
    </row>
    <row r="36">
      <c r="A36" s="962"/>
      <c r="B36" s="970">
        <v>45689.0</v>
      </c>
      <c r="C36" s="519"/>
      <c r="D36" s="519"/>
      <c r="E36" s="519"/>
      <c r="F36" s="519"/>
      <c r="G36" s="519"/>
      <c r="H36" s="519"/>
      <c r="I36" s="519"/>
      <c r="J36" s="519"/>
      <c r="K36" s="519"/>
      <c r="L36" s="519"/>
      <c r="M36" s="519"/>
      <c r="N36" s="519"/>
      <c r="O36" s="519"/>
      <c r="P36" s="519"/>
      <c r="Q36" s="519"/>
      <c r="R36" s="519"/>
      <c r="S36" s="519"/>
      <c r="T36" s="519"/>
      <c r="U36" s="519"/>
      <c r="V36" s="519"/>
      <c r="W36" s="519"/>
      <c r="X36" s="519"/>
      <c r="Y36" s="519"/>
      <c r="Z36" s="519"/>
      <c r="AA36" s="519"/>
      <c r="AB36" s="519"/>
      <c r="AC36" s="519"/>
      <c r="AD36" s="519"/>
      <c r="AE36" s="519"/>
      <c r="AF36" s="346"/>
    </row>
    <row r="37">
      <c r="A37" s="962"/>
      <c r="B37" s="971">
        <v>1.0</v>
      </c>
      <c r="C37" s="971">
        <v>2.0</v>
      </c>
      <c r="D37" s="971">
        <v>3.0</v>
      </c>
      <c r="E37" s="971">
        <v>4.0</v>
      </c>
      <c r="F37" s="971">
        <v>5.0</v>
      </c>
      <c r="G37" s="971">
        <v>6.0</v>
      </c>
      <c r="H37" s="971">
        <v>7.0</v>
      </c>
      <c r="I37" s="971">
        <v>8.0</v>
      </c>
      <c r="J37" s="971">
        <v>9.0</v>
      </c>
      <c r="K37" s="971">
        <v>10.0</v>
      </c>
      <c r="L37" s="971">
        <v>11.0</v>
      </c>
      <c r="M37" s="971">
        <v>12.0</v>
      </c>
      <c r="N37" s="971">
        <v>13.0</v>
      </c>
      <c r="O37" s="971">
        <v>14.0</v>
      </c>
      <c r="P37" s="971">
        <v>15.0</v>
      </c>
      <c r="Q37" s="971">
        <v>16.0</v>
      </c>
      <c r="R37" s="971">
        <v>17.0</v>
      </c>
      <c r="S37" s="971">
        <v>18.0</v>
      </c>
      <c r="T37" s="971">
        <v>19.0</v>
      </c>
      <c r="U37" s="971">
        <v>20.0</v>
      </c>
      <c r="V37" s="971">
        <v>21.0</v>
      </c>
      <c r="W37" s="971">
        <v>22.0</v>
      </c>
      <c r="X37" s="971">
        <v>23.0</v>
      </c>
      <c r="Y37" s="971">
        <v>24.0</v>
      </c>
      <c r="Z37" s="971">
        <v>25.0</v>
      </c>
      <c r="AA37" s="971">
        <v>26.0</v>
      </c>
      <c r="AB37" s="971">
        <v>27.0</v>
      </c>
      <c r="AC37" s="971">
        <v>28.0</v>
      </c>
      <c r="AD37" s="964"/>
      <c r="AE37" s="964"/>
      <c r="AF37" s="964"/>
    </row>
    <row r="38">
      <c r="A38" s="962"/>
      <c r="B38" s="972" t="s">
        <v>524</v>
      </c>
      <c r="C38" s="972" t="s">
        <v>525</v>
      </c>
      <c r="D38" s="972" t="s">
        <v>526</v>
      </c>
      <c r="E38" s="972" t="s">
        <v>527</v>
      </c>
      <c r="F38" s="972" t="s">
        <v>521</v>
      </c>
      <c r="G38" s="971" t="s">
        <v>522</v>
      </c>
      <c r="H38" s="971" t="s">
        <v>523</v>
      </c>
      <c r="I38" s="971" t="s">
        <v>524</v>
      </c>
      <c r="J38" s="971" t="s">
        <v>525</v>
      </c>
      <c r="K38" s="971" t="s">
        <v>526</v>
      </c>
      <c r="L38" s="971" t="s">
        <v>527</v>
      </c>
      <c r="M38" s="971" t="s">
        <v>521</v>
      </c>
      <c r="N38" s="971" t="s">
        <v>522</v>
      </c>
      <c r="O38" s="971" t="s">
        <v>523</v>
      </c>
      <c r="P38" s="971" t="s">
        <v>524</v>
      </c>
      <c r="Q38" s="971" t="s">
        <v>525</v>
      </c>
      <c r="R38" s="971" t="s">
        <v>526</v>
      </c>
      <c r="S38" s="971" t="s">
        <v>527</v>
      </c>
      <c r="T38" s="971" t="s">
        <v>521</v>
      </c>
      <c r="U38" s="971" t="s">
        <v>522</v>
      </c>
      <c r="V38" s="971" t="s">
        <v>523</v>
      </c>
      <c r="W38" s="971" t="s">
        <v>524</v>
      </c>
      <c r="X38" s="971" t="s">
        <v>525</v>
      </c>
      <c r="Y38" s="971" t="s">
        <v>526</v>
      </c>
      <c r="Z38" s="971" t="s">
        <v>527</v>
      </c>
      <c r="AA38" s="971" t="s">
        <v>521</v>
      </c>
      <c r="AB38" s="971" t="s">
        <v>522</v>
      </c>
      <c r="AC38" s="971" t="s">
        <v>523</v>
      </c>
      <c r="AD38" s="964"/>
      <c r="AE38" s="964"/>
      <c r="AF38" s="964"/>
    </row>
    <row r="39">
      <c r="A39" s="966" t="s">
        <v>528</v>
      </c>
      <c r="B39" s="675"/>
      <c r="C39" s="675"/>
      <c r="D39" s="675"/>
      <c r="E39" s="675"/>
      <c r="F39" s="675"/>
      <c r="G39" s="967"/>
      <c r="H39" s="675"/>
      <c r="I39" s="675"/>
      <c r="J39" s="675"/>
      <c r="K39" s="675"/>
      <c r="L39" s="675"/>
      <c r="M39" s="675"/>
      <c r="N39" s="675"/>
      <c r="O39" s="675"/>
      <c r="P39" s="675"/>
      <c r="Q39" s="675"/>
      <c r="R39" s="675"/>
      <c r="S39" s="675"/>
      <c r="T39" s="675"/>
      <c r="U39" s="675"/>
      <c r="V39" s="675"/>
      <c r="W39" s="675"/>
      <c r="X39" s="675"/>
      <c r="Y39" s="675"/>
      <c r="Z39" s="675"/>
      <c r="AA39" s="675"/>
      <c r="AB39" s="675"/>
      <c r="AC39" s="675"/>
      <c r="AD39" s="675"/>
      <c r="AE39" s="675"/>
      <c r="AF39" s="675"/>
    </row>
    <row r="40">
      <c r="A40" s="966" t="s">
        <v>205</v>
      </c>
      <c r="B40" s="675"/>
      <c r="C40" s="675"/>
      <c r="D40" s="675"/>
      <c r="E40" s="675"/>
      <c r="F40" s="967"/>
      <c r="G40" s="675"/>
      <c r="H40" s="675"/>
      <c r="I40" s="675"/>
      <c r="J40" s="675"/>
      <c r="K40" s="675"/>
      <c r="L40" s="675"/>
      <c r="M40" s="675"/>
      <c r="N40" s="675"/>
      <c r="O40" s="675"/>
      <c r="P40" s="675"/>
      <c r="Q40" s="675"/>
      <c r="R40" s="675"/>
      <c r="S40" s="675"/>
      <c r="T40" s="675"/>
      <c r="U40" s="675"/>
      <c r="V40" s="675"/>
      <c r="W40" s="675"/>
      <c r="X40" s="675"/>
      <c r="Y40" s="675"/>
      <c r="Z40" s="675"/>
      <c r="AA40" s="675"/>
      <c r="AB40" s="675"/>
      <c r="AC40" s="675"/>
      <c r="AD40" s="675"/>
      <c r="AE40" s="675"/>
      <c r="AF40" s="675"/>
    </row>
    <row r="41">
      <c r="A41" s="962" t="s">
        <v>121</v>
      </c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5"/>
      <c r="P41" s="675"/>
      <c r="Q41" s="675"/>
      <c r="R41" s="675"/>
      <c r="S41" s="675"/>
      <c r="T41" s="675"/>
      <c r="U41" s="675"/>
      <c r="V41" s="675"/>
      <c r="W41" s="675"/>
      <c r="X41" s="675"/>
      <c r="Y41" s="675"/>
      <c r="Z41" s="675"/>
      <c r="AA41" s="675"/>
      <c r="AB41" s="675"/>
      <c r="AC41" s="675"/>
      <c r="AD41" s="675"/>
      <c r="AE41" s="675"/>
      <c r="AF41" s="675"/>
    </row>
    <row r="42">
      <c r="A42" s="962" t="s">
        <v>384</v>
      </c>
      <c r="B42" s="967"/>
      <c r="D42" s="675"/>
      <c r="E42" s="675"/>
      <c r="F42" s="675"/>
      <c r="G42" s="967"/>
      <c r="H42" s="675"/>
      <c r="I42" s="675"/>
      <c r="J42" s="675"/>
      <c r="K42" s="675"/>
      <c r="L42" s="675"/>
      <c r="M42" s="675"/>
      <c r="N42" s="675"/>
      <c r="O42" s="675"/>
      <c r="P42" s="675"/>
      <c r="Q42" s="675"/>
      <c r="R42" s="675"/>
      <c r="S42" s="675"/>
      <c r="T42" s="675"/>
      <c r="U42" s="675"/>
      <c r="V42" s="675"/>
      <c r="W42" s="675"/>
      <c r="X42" s="675"/>
      <c r="Y42" s="675"/>
      <c r="Z42" s="675"/>
      <c r="AA42" s="675"/>
      <c r="AB42" s="675"/>
      <c r="AC42" s="675"/>
      <c r="AD42" s="675"/>
      <c r="AE42" s="675"/>
      <c r="AF42" s="675"/>
    </row>
    <row r="43">
      <c r="A43" s="962" t="s">
        <v>353</v>
      </c>
      <c r="B43" s="675"/>
      <c r="C43" s="675"/>
      <c r="D43" s="675"/>
      <c r="E43" s="675"/>
      <c r="F43" s="675"/>
      <c r="G43" s="675"/>
      <c r="H43" s="967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75"/>
      <c r="AB43" s="675"/>
      <c r="AC43" s="675"/>
      <c r="AD43" s="675"/>
      <c r="AE43" s="675"/>
      <c r="AF43" s="675"/>
    </row>
    <row r="44">
      <c r="A44" s="962" t="s">
        <v>147</v>
      </c>
      <c r="B44" s="675"/>
      <c r="C44" s="675"/>
      <c r="D44" s="675"/>
      <c r="E44" s="675"/>
      <c r="F44" s="675"/>
      <c r="G44" s="967"/>
      <c r="H44" s="675"/>
      <c r="I44" s="675"/>
      <c r="J44" s="675"/>
      <c r="K44" s="675"/>
      <c r="L44" s="675"/>
      <c r="M44" s="675"/>
      <c r="N44" s="675"/>
      <c r="O44" s="675"/>
      <c r="P44" s="675"/>
      <c r="Q44" s="675"/>
      <c r="R44" s="675"/>
      <c r="S44" s="675"/>
      <c r="T44" s="675"/>
      <c r="U44" s="675"/>
      <c r="V44" s="675"/>
      <c r="W44" s="675"/>
      <c r="X44" s="675"/>
      <c r="Y44" s="675"/>
      <c r="Z44" s="675"/>
      <c r="AA44" s="675"/>
      <c r="AB44" s="675"/>
      <c r="AC44" s="675"/>
      <c r="AD44" s="675"/>
      <c r="AE44" s="675"/>
      <c r="AF44" s="675"/>
    </row>
    <row r="45">
      <c r="A45" s="962" t="s">
        <v>360</v>
      </c>
      <c r="B45" s="675"/>
      <c r="C45" s="675"/>
      <c r="D45" s="675"/>
      <c r="E45" s="675"/>
      <c r="F45" s="675"/>
      <c r="G45" s="968"/>
      <c r="H45" s="675"/>
      <c r="I45" s="675"/>
      <c r="J45" s="675"/>
      <c r="K45" s="675"/>
      <c r="L45" s="675"/>
      <c r="M45" s="675"/>
      <c r="N45" s="675"/>
      <c r="O45" s="675"/>
      <c r="P45" s="675"/>
      <c r="Q45" s="675"/>
      <c r="R45" s="675"/>
      <c r="S45" s="675"/>
      <c r="T45" s="675"/>
      <c r="U45" s="675"/>
      <c r="V45" s="675"/>
      <c r="W45" s="675"/>
      <c r="X45" s="675"/>
      <c r="Y45" s="675"/>
      <c r="Z45" s="675"/>
      <c r="AA45" s="675"/>
      <c r="AB45" s="675"/>
      <c r="AC45" s="675"/>
      <c r="AD45" s="675"/>
      <c r="AE45" s="675"/>
      <c r="AF45" s="675"/>
    </row>
    <row r="46">
      <c r="A46" s="962" t="s">
        <v>229</v>
      </c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75"/>
      <c r="R46" s="675"/>
      <c r="S46" s="675"/>
      <c r="T46" s="675"/>
      <c r="U46" s="675"/>
      <c r="V46" s="675"/>
      <c r="W46" s="675"/>
      <c r="X46" s="675"/>
      <c r="Y46" s="675"/>
      <c r="Z46" s="675"/>
      <c r="AA46" s="675"/>
      <c r="AB46" s="675"/>
      <c r="AC46" s="675"/>
      <c r="AD46" s="675"/>
      <c r="AE46" s="675"/>
      <c r="AF46" s="675"/>
    </row>
    <row r="47">
      <c r="A47" s="962" t="s">
        <v>235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75"/>
      <c r="AB47" s="675"/>
      <c r="AC47" s="675"/>
      <c r="AD47" s="675"/>
      <c r="AE47" s="675"/>
      <c r="AF47" s="675"/>
    </row>
    <row r="48">
      <c r="A48" s="962" t="s">
        <v>385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75"/>
      <c r="AB48" s="675"/>
      <c r="AC48" s="675"/>
      <c r="AD48" s="675"/>
      <c r="AE48" s="675"/>
      <c r="AF48" s="675"/>
    </row>
    <row r="49">
      <c r="A49" s="969" t="s">
        <v>380</v>
      </c>
      <c r="B49" s="717"/>
      <c r="C49" s="717"/>
      <c r="D49" s="717"/>
      <c r="E49" s="717"/>
      <c r="F49" s="717"/>
      <c r="G49" s="717"/>
      <c r="H49" s="717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Y49" s="717"/>
      <c r="Z49" s="717"/>
      <c r="AA49" s="717"/>
      <c r="AB49" s="717"/>
      <c r="AC49" s="717"/>
      <c r="AD49" s="717"/>
      <c r="AE49" s="717"/>
      <c r="AF49" s="717"/>
    </row>
    <row r="50">
      <c r="A50" s="969" t="s">
        <v>370</v>
      </c>
      <c r="E50" s="724"/>
    </row>
    <row r="51">
      <c r="A51" s="969" t="s">
        <v>160</v>
      </c>
      <c r="E51" s="967"/>
    </row>
    <row r="52">
      <c r="A52" s="969" t="s">
        <v>126</v>
      </c>
    </row>
    <row r="53">
      <c r="A53" s="969" t="s">
        <v>458</v>
      </c>
      <c r="E53" s="724"/>
    </row>
    <row r="54">
      <c r="A54" s="969" t="s">
        <v>377</v>
      </c>
      <c r="F54" s="724"/>
    </row>
    <row r="55">
      <c r="A55" s="969" t="s">
        <v>529</v>
      </c>
    </row>
    <row r="56">
      <c r="A56" s="969" t="s">
        <v>222</v>
      </c>
    </row>
    <row r="57">
      <c r="A57" s="969" t="s">
        <v>178</v>
      </c>
    </row>
    <row r="58">
      <c r="A58" s="969" t="s">
        <v>459</v>
      </c>
      <c r="F58" s="724"/>
      <c r="AC58" s="717"/>
    </row>
    <row r="59">
      <c r="A59" s="969" t="s">
        <v>248</v>
      </c>
    </row>
    <row r="60">
      <c r="A60" s="969" t="s">
        <v>191</v>
      </c>
    </row>
    <row r="61">
      <c r="A61" s="969" t="s">
        <v>530</v>
      </c>
    </row>
    <row r="62">
      <c r="A62" s="969" t="s">
        <v>531</v>
      </c>
    </row>
    <row r="63">
      <c r="A63" s="969" t="s">
        <v>532</v>
      </c>
    </row>
    <row r="64">
      <c r="A64" s="969" t="s">
        <v>533</v>
      </c>
      <c r="H64" s="724"/>
    </row>
    <row r="65">
      <c r="A65" s="969" t="s">
        <v>534</v>
      </c>
    </row>
    <row r="66">
      <c r="A66" s="969" t="s">
        <v>210</v>
      </c>
    </row>
    <row r="67">
      <c r="A67" s="969" t="s">
        <v>535</v>
      </c>
      <c r="H67" s="724"/>
    </row>
    <row r="68">
      <c r="A68" s="969" t="s">
        <v>536</v>
      </c>
      <c r="AB68" s="717"/>
    </row>
    <row r="69">
      <c r="A69" s="969" t="s">
        <v>537</v>
      </c>
      <c r="D69" s="724"/>
    </row>
    <row r="70">
      <c r="A70" s="969" t="s">
        <v>538</v>
      </c>
    </row>
    <row r="71">
      <c r="A71" s="962"/>
      <c r="B71" s="970">
        <v>45717.0</v>
      </c>
      <c r="C71" s="519"/>
      <c r="D71" s="519"/>
      <c r="E71" s="519"/>
      <c r="F71" s="519"/>
      <c r="G71" s="519"/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19"/>
      <c r="AB71" s="519"/>
      <c r="AC71" s="519"/>
      <c r="AD71" s="519"/>
      <c r="AE71" s="519"/>
      <c r="AF71" s="346"/>
    </row>
    <row r="72">
      <c r="A72" s="962"/>
      <c r="B72" s="971">
        <v>1.0</v>
      </c>
      <c r="C72" s="971">
        <v>2.0</v>
      </c>
      <c r="D72" s="971">
        <v>3.0</v>
      </c>
      <c r="E72" s="971">
        <v>4.0</v>
      </c>
      <c r="F72" s="971">
        <v>5.0</v>
      </c>
      <c r="G72" s="971">
        <v>6.0</v>
      </c>
      <c r="H72" s="971">
        <v>7.0</v>
      </c>
      <c r="I72" s="971">
        <v>8.0</v>
      </c>
      <c r="J72" s="971">
        <v>9.0</v>
      </c>
      <c r="K72" s="971">
        <v>10.0</v>
      </c>
      <c r="L72" s="971">
        <v>11.0</v>
      </c>
      <c r="M72" s="971">
        <v>12.0</v>
      </c>
      <c r="N72" s="971">
        <v>13.0</v>
      </c>
      <c r="O72" s="971">
        <v>14.0</v>
      </c>
      <c r="P72" s="971">
        <v>15.0</v>
      </c>
      <c r="Q72" s="971">
        <v>16.0</v>
      </c>
      <c r="R72" s="971">
        <v>17.0</v>
      </c>
      <c r="S72" s="971">
        <v>18.0</v>
      </c>
      <c r="T72" s="971">
        <v>19.0</v>
      </c>
      <c r="U72" s="971">
        <v>20.0</v>
      </c>
      <c r="V72" s="971">
        <v>21.0</v>
      </c>
      <c r="W72" s="971">
        <v>22.0</v>
      </c>
      <c r="X72" s="971">
        <v>23.0</v>
      </c>
      <c r="Y72" s="971">
        <v>24.0</v>
      </c>
      <c r="Z72" s="971">
        <v>25.0</v>
      </c>
      <c r="AA72" s="971">
        <v>26.0</v>
      </c>
      <c r="AB72" s="971">
        <v>27.0</v>
      </c>
      <c r="AC72" s="971">
        <v>28.0</v>
      </c>
      <c r="AD72" s="971">
        <v>29.0</v>
      </c>
      <c r="AE72" s="971">
        <v>30.0</v>
      </c>
      <c r="AF72" s="971">
        <v>31.0</v>
      </c>
    </row>
    <row r="73">
      <c r="A73" s="962"/>
      <c r="B73" s="972" t="s">
        <v>524</v>
      </c>
      <c r="C73" s="972" t="s">
        <v>525</v>
      </c>
      <c r="D73" s="972" t="s">
        <v>526</v>
      </c>
      <c r="E73" s="972" t="s">
        <v>527</v>
      </c>
      <c r="F73" s="972" t="s">
        <v>521</v>
      </c>
      <c r="G73" s="971" t="s">
        <v>522</v>
      </c>
      <c r="H73" s="971" t="s">
        <v>523</v>
      </c>
      <c r="I73" s="971" t="s">
        <v>524</v>
      </c>
      <c r="J73" s="971" t="s">
        <v>525</v>
      </c>
      <c r="K73" s="971" t="s">
        <v>526</v>
      </c>
      <c r="L73" s="971" t="s">
        <v>527</v>
      </c>
      <c r="M73" s="971" t="s">
        <v>521</v>
      </c>
      <c r="N73" s="971" t="s">
        <v>522</v>
      </c>
      <c r="O73" s="971" t="s">
        <v>523</v>
      </c>
      <c r="P73" s="971" t="s">
        <v>524</v>
      </c>
      <c r="Q73" s="971" t="s">
        <v>525</v>
      </c>
      <c r="R73" s="971" t="s">
        <v>526</v>
      </c>
      <c r="S73" s="971" t="s">
        <v>527</v>
      </c>
      <c r="T73" s="971" t="s">
        <v>521</v>
      </c>
      <c r="U73" s="971" t="s">
        <v>522</v>
      </c>
      <c r="V73" s="971" t="s">
        <v>523</v>
      </c>
      <c r="W73" s="971" t="s">
        <v>524</v>
      </c>
      <c r="X73" s="971" t="s">
        <v>525</v>
      </c>
      <c r="Y73" s="971" t="s">
        <v>526</v>
      </c>
      <c r="Z73" s="971" t="s">
        <v>527</v>
      </c>
      <c r="AA73" s="971" t="s">
        <v>521</v>
      </c>
      <c r="AB73" s="971" t="s">
        <v>522</v>
      </c>
      <c r="AC73" s="971" t="s">
        <v>523</v>
      </c>
      <c r="AD73" s="971" t="s">
        <v>524</v>
      </c>
      <c r="AE73" s="971" t="s">
        <v>525</v>
      </c>
      <c r="AF73" s="971" t="s">
        <v>526</v>
      </c>
    </row>
    <row r="74">
      <c r="A74" s="966" t="s">
        <v>528</v>
      </c>
      <c r="B74" s="675"/>
      <c r="C74" s="675"/>
      <c r="D74" s="675"/>
      <c r="E74" s="675"/>
      <c r="F74" s="675"/>
      <c r="G74" s="675"/>
      <c r="H74" s="675"/>
      <c r="I74" s="675"/>
      <c r="J74" s="675"/>
      <c r="K74" s="675"/>
      <c r="L74" s="675"/>
      <c r="M74" s="675"/>
      <c r="N74" s="675"/>
      <c r="O74" s="675"/>
      <c r="P74" s="675"/>
      <c r="Q74" s="675"/>
      <c r="R74" s="675"/>
      <c r="S74" s="675"/>
      <c r="T74" s="675"/>
      <c r="U74" s="675"/>
      <c r="V74" s="675"/>
      <c r="W74" s="675"/>
      <c r="X74" s="675"/>
      <c r="Y74" s="675"/>
      <c r="Z74" s="675"/>
      <c r="AA74" s="675"/>
      <c r="AB74" s="967"/>
      <c r="AC74" s="675"/>
      <c r="AD74" s="675"/>
      <c r="AE74" s="675"/>
      <c r="AF74" s="675"/>
    </row>
    <row r="75">
      <c r="A75" s="966" t="s">
        <v>205</v>
      </c>
      <c r="B75" s="675"/>
      <c r="C75" s="675"/>
      <c r="D75" s="675"/>
      <c r="E75" s="675"/>
      <c r="F75" s="675"/>
      <c r="G75" s="967"/>
      <c r="H75" s="675"/>
      <c r="I75" s="675"/>
      <c r="J75" s="675"/>
      <c r="K75" s="675"/>
      <c r="L75" s="675"/>
      <c r="M75" s="675"/>
      <c r="N75" s="675"/>
      <c r="O75" s="675"/>
      <c r="P75" s="675"/>
      <c r="Q75" s="675"/>
      <c r="R75" s="675"/>
      <c r="S75" s="675"/>
      <c r="T75" s="675"/>
      <c r="U75" s="675"/>
      <c r="V75" s="675"/>
      <c r="W75" s="675"/>
      <c r="X75" s="675"/>
      <c r="Y75" s="675"/>
      <c r="Z75" s="675"/>
      <c r="AA75" s="675"/>
      <c r="AB75" s="675"/>
      <c r="AC75" s="675"/>
      <c r="AD75" s="675"/>
      <c r="AE75" s="675"/>
      <c r="AF75" s="675"/>
    </row>
    <row r="76">
      <c r="A76" s="962" t="s">
        <v>121</v>
      </c>
      <c r="B76" s="675"/>
      <c r="C76" s="675"/>
      <c r="D76" s="675"/>
      <c r="E76" s="675"/>
      <c r="F76" s="675"/>
      <c r="G76" s="675"/>
      <c r="H76" s="675"/>
      <c r="I76" s="675"/>
      <c r="J76" s="675"/>
      <c r="K76" s="675"/>
      <c r="L76" s="675"/>
      <c r="M76" s="675"/>
      <c r="N76" s="675"/>
      <c r="O76" s="675"/>
      <c r="P76" s="675"/>
      <c r="Q76" s="675"/>
      <c r="R76" s="675"/>
      <c r="S76" s="675"/>
      <c r="T76" s="675"/>
      <c r="U76" s="675"/>
      <c r="V76" s="675"/>
      <c r="W76" s="675"/>
      <c r="X76" s="675"/>
      <c r="Y76" s="675"/>
      <c r="Z76" s="675"/>
      <c r="AA76" s="675"/>
      <c r="AB76" s="675"/>
      <c r="AC76" s="675"/>
      <c r="AD76" s="675"/>
      <c r="AE76" s="675"/>
      <c r="AF76" s="675"/>
    </row>
    <row r="77">
      <c r="A77" s="962" t="s">
        <v>384</v>
      </c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5"/>
      <c r="P77" s="675"/>
      <c r="Q77" s="675"/>
      <c r="R77" s="675"/>
      <c r="S77" s="675"/>
      <c r="T77" s="675"/>
      <c r="U77" s="675"/>
      <c r="V77" s="675"/>
      <c r="W77" s="675"/>
      <c r="X77" s="675"/>
      <c r="Y77" s="675"/>
      <c r="Z77" s="675"/>
      <c r="AA77" s="675"/>
      <c r="AB77" s="675"/>
      <c r="AC77" s="675"/>
      <c r="AD77" s="675"/>
      <c r="AE77" s="675"/>
      <c r="AF77" s="675"/>
    </row>
    <row r="78">
      <c r="A78" s="962" t="s">
        <v>353</v>
      </c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5"/>
      <c r="P78" s="675"/>
      <c r="Q78" s="675"/>
      <c r="R78" s="675"/>
      <c r="S78" s="675"/>
      <c r="T78" s="675"/>
      <c r="U78" s="675"/>
      <c r="V78" s="675"/>
      <c r="W78" s="675"/>
      <c r="X78" s="675"/>
      <c r="Y78" s="675"/>
      <c r="Z78" s="675"/>
      <c r="AA78" s="675"/>
      <c r="AB78" s="675"/>
      <c r="AC78" s="675"/>
      <c r="AD78" s="675"/>
      <c r="AE78" s="675"/>
      <c r="AF78" s="675"/>
    </row>
    <row r="79">
      <c r="A79" s="962" t="s">
        <v>147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967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75"/>
      <c r="AB79" s="675"/>
      <c r="AC79" s="675"/>
      <c r="AD79" s="675"/>
      <c r="AE79" s="675"/>
      <c r="AF79" s="675"/>
    </row>
    <row r="80">
      <c r="A80" s="962" t="s">
        <v>360</v>
      </c>
      <c r="B80" s="675"/>
      <c r="C80" s="675"/>
      <c r="D80" s="675"/>
      <c r="E80" s="675"/>
      <c r="F80" s="675"/>
      <c r="G80" s="968"/>
      <c r="H80" s="675"/>
      <c r="I80" s="675"/>
      <c r="J80" s="675"/>
      <c r="K80" s="675"/>
      <c r="L80" s="675"/>
      <c r="M80" s="675"/>
      <c r="N80" s="675"/>
      <c r="O80" s="675"/>
      <c r="P80" s="675"/>
      <c r="Q80" s="675"/>
      <c r="R80" s="675"/>
      <c r="S80" s="675"/>
      <c r="T80" s="675"/>
      <c r="U80" s="675"/>
      <c r="V80" s="675"/>
      <c r="W80" s="675"/>
      <c r="X80" s="675"/>
      <c r="Y80" s="675"/>
      <c r="Z80" s="675"/>
      <c r="AA80" s="675"/>
      <c r="AB80" s="675"/>
      <c r="AC80" s="675"/>
      <c r="AD80" s="675"/>
      <c r="AE80" s="675"/>
      <c r="AF80" s="675"/>
    </row>
    <row r="81">
      <c r="A81" s="962" t="s">
        <v>229</v>
      </c>
      <c r="B81" s="675"/>
      <c r="C81" s="675"/>
      <c r="D81" s="675"/>
      <c r="E81" s="675"/>
      <c r="F81" s="675"/>
      <c r="G81" s="675"/>
      <c r="H81" s="675"/>
      <c r="I81" s="675"/>
      <c r="J81" s="675"/>
      <c r="K81" s="675"/>
      <c r="L81" s="675"/>
      <c r="M81" s="675"/>
      <c r="N81" s="675"/>
      <c r="O81" s="675"/>
      <c r="P81" s="675"/>
      <c r="Q81" s="675"/>
      <c r="R81" s="675"/>
      <c r="S81" s="675"/>
      <c r="T81" s="675"/>
      <c r="U81" s="675"/>
      <c r="V81" s="675"/>
      <c r="W81" s="675"/>
      <c r="X81" s="675"/>
      <c r="Y81" s="675"/>
      <c r="Z81" s="675"/>
      <c r="AA81" s="675"/>
      <c r="AB81" s="675"/>
      <c r="AC81" s="675"/>
      <c r="AD81" s="675"/>
      <c r="AE81" s="675"/>
      <c r="AF81" s="675"/>
    </row>
    <row r="82">
      <c r="A82" s="962" t="s">
        <v>235</v>
      </c>
      <c r="B82" s="675"/>
      <c r="C82" s="675"/>
      <c r="D82" s="675"/>
      <c r="E82" s="675"/>
      <c r="F82" s="675"/>
      <c r="G82" s="675"/>
      <c r="H82" s="675"/>
      <c r="I82" s="675"/>
      <c r="J82" s="675"/>
      <c r="K82" s="675"/>
      <c r="L82" s="675"/>
      <c r="M82" s="675"/>
      <c r="N82" s="675"/>
      <c r="O82" s="675"/>
      <c r="P82" s="675"/>
      <c r="Q82" s="675"/>
      <c r="R82" s="675"/>
      <c r="S82" s="675"/>
      <c r="T82" s="675"/>
      <c r="U82" s="675"/>
      <c r="V82" s="675"/>
      <c r="W82" s="675"/>
      <c r="X82" s="675"/>
      <c r="Y82" s="675"/>
      <c r="Z82" s="675"/>
      <c r="AA82" s="675"/>
      <c r="AB82" s="675"/>
      <c r="AC82" s="675"/>
      <c r="AD82" s="675"/>
      <c r="AE82" s="675"/>
      <c r="AF82" s="675"/>
    </row>
    <row r="83">
      <c r="A83" s="962" t="s">
        <v>385</v>
      </c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5"/>
      <c r="P83" s="675"/>
      <c r="Q83" s="675"/>
      <c r="R83" s="675"/>
      <c r="S83" s="675"/>
      <c r="T83" s="675"/>
      <c r="U83" s="675"/>
      <c r="V83" s="675"/>
      <c r="W83" s="675"/>
      <c r="X83" s="675"/>
      <c r="Y83" s="675"/>
      <c r="Z83" s="675"/>
      <c r="AA83" s="675"/>
      <c r="AB83" s="675"/>
      <c r="AC83" s="675"/>
      <c r="AD83" s="675"/>
      <c r="AE83" s="675"/>
      <c r="AF83" s="675"/>
    </row>
    <row r="84">
      <c r="A84" s="969" t="s">
        <v>380</v>
      </c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/>
      <c r="P84" s="717"/>
      <c r="Q84" s="717"/>
      <c r="R84" s="717"/>
      <c r="S84" s="717"/>
      <c r="T84" s="717"/>
      <c r="U84" s="717"/>
      <c r="V84" s="717"/>
      <c r="W84" s="717"/>
      <c r="X84" s="717"/>
      <c r="Y84" s="717"/>
      <c r="Z84" s="717"/>
      <c r="AA84" s="717"/>
      <c r="AB84" s="717"/>
      <c r="AC84" s="717"/>
      <c r="AD84" s="717"/>
      <c r="AE84" s="717"/>
      <c r="AF84" s="717"/>
    </row>
    <row r="85">
      <c r="A85" s="969" t="s">
        <v>370</v>
      </c>
    </row>
    <row r="86">
      <c r="A86" s="969" t="s">
        <v>160</v>
      </c>
    </row>
    <row r="87">
      <c r="A87" s="969" t="s">
        <v>126</v>
      </c>
    </row>
    <row r="88">
      <c r="A88" s="969" t="s">
        <v>458</v>
      </c>
    </row>
    <row r="89">
      <c r="A89" s="969" t="s">
        <v>377</v>
      </c>
    </row>
    <row r="90">
      <c r="A90" s="969" t="s">
        <v>529</v>
      </c>
    </row>
    <row r="91">
      <c r="A91" s="969" t="s">
        <v>222</v>
      </c>
    </row>
    <row r="92">
      <c r="A92" s="969" t="s">
        <v>178</v>
      </c>
      <c r="F92" s="724"/>
    </row>
    <row r="93">
      <c r="A93" s="969" t="s">
        <v>459</v>
      </c>
      <c r="F93" s="724"/>
    </row>
    <row r="94">
      <c r="A94" s="969" t="s">
        <v>248</v>
      </c>
      <c r="G94" s="724"/>
    </row>
    <row r="95">
      <c r="A95" s="969" t="s">
        <v>191</v>
      </c>
    </row>
    <row r="96">
      <c r="A96" s="969" t="s">
        <v>530</v>
      </c>
    </row>
    <row r="97">
      <c r="A97" s="969" t="s">
        <v>531</v>
      </c>
    </row>
    <row r="98">
      <c r="A98" s="969" t="s">
        <v>532</v>
      </c>
      <c r="Z98" s="724"/>
    </row>
    <row r="99">
      <c r="A99" s="969" t="s">
        <v>533</v>
      </c>
    </row>
    <row r="100">
      <c r="A100" s="969" t="s">
        <v>534</v>
      </c>
    </row>
    <row r="101">
      <c r="A101" s="969" t="s">
        <v>210</v>
      </c>
      <c r="G101" s="724"/>
    </row>
    <row r="102">
      <c r="A102" s="969" t="s">
        <v>535</v>
      </c>
    </row>
    <row r="103">
      <c r="A103" s="969" t="s">
        <v>536</v>
      </c>
    </row>
    <row r="104">
      <c r="A104" s="969" t="s">
        <v>537</v>
      </c>
    </row>
    <row r="105">
      <c r="A105" s="969" t="s">
        <v>538</v>
      </c>
      <c r="F105" s="724"/>
    </row>
    <row r="106">
      <c r="A106" s="962"/>
      <c r="B106" s="970">
        <v>45748.0</v>
      </c>
      <c r="C106" s="519"/>
      <c r="D106" s="519"/>
      <c r="E106" s="519"/>
      <c r="F106" s="519"/>
      <c r="G106" s="519"/>
      <c r="H106" s="519"/>
      <c r="I106" s="519"/>
      <c r="J106" s="519"/>
      <c r="K106" s="519"/>
      <c r="L106" s="519"/>
      <c r="M106" s="519"/>
      <c r="N106" s="519"/>
      <c r="O106" s="519"/>
      <c r="P106" s="519"/>
      <c r="Q106" s="519"/>
      <c r="R106" s="519"/>
      <c r="S106" s="519"/>
      <c r="T106" s="519"/>
      <c r="U106" s="519"/>
      <c r="V106" s="519"/>
      <c r="W106" s="519"/>
      <c r="X106" s="519"/>
      <c r="Y106" s="519"/>
      <c r="Z106" s="519"/>
      <c r="AA106" s="519"/>
      <c r="AB106" s="519"/>
      <c r="AC106" s="519"/>
      <c r="AD106" s="519"/>
      <c r="AE106" s="519"/>
      <c r="AF106" s="346"/>
    </row>
    <row r="107">
      <c r="A107" s="962"/>
      <c r="B107" s="971">
        <v>1.0</v>
      </c>
      <c r="C107" s="971">
        <v>2.0</v>
      </c>
      <c r="D107" s="971">
        <v>3.0</v>
      </c>
      <c r="E107" s="971">
        <v>4.0</v>
      </c>
      <c r="F107" s="971">
        <v>5.0</v>
      </c>
      <c r="G107" s="971">
        <v>6.0</v>
      </c>
      <c r="H107" s="971">
        <v>7.0</v>
      </c>
      <c r="I107" s="971">
        <v>8.0</v>
      </c>
      <c r="J107" s="971">
        <v>9.0</v>
      </c>
      <c r="K107" s="971">
        <v>10.0</v>
      </c>
      <c r="L107" s="971">
        <v>11.0</v>
      </c>
      <c r="M107" s="971">
        <v>12.0</v>
      </c>
      <c r="N107" s="971">
        <v>13.0</v>
      </c>
      <c r="O107" s="971">
        <v>14.0</v>
      </c>
      <c r="P107" s="971">
        <v>15.0</v>
      </c>
      <c r="Q107" s="971">
        <v>16.0</v>
      </c>
      <c r="R107" s="971">
        <v>17.0</v>
      </c>
      <c r="S107" s="971">
        <v>18.0</v>
      </c>
      <c r="T107" s="971">
        <v>19.0</v>
      </c>
      <c r="U107" s="971">
        <v>20.0</v>
      </c>
      <c r="V107" s="971">
        <v>21.0</v>
      </c>
      <c r="W107" s="971">
        <v>22.0</v>
      </c>
      <c r="X107" s="971">
        <v>23.0</v>
      </c>
      <c r="Y107" s="971">
        <v>24.0</v>
      </c>
      <c r="Z107" s="971">
        <v>25.0</v>
      </c>
      <c r="AA107" s="971">
        <v>26.0</v>
      </c>
      <c r="AB107" s="971">
        <v>27.0</v>
      </c>
      <c r="AC107" s="971">
        <v>28.0</v>
      </c>
      <c r="AD107" s="971">
        <v>29.0</v>
      </c>
      <c r="AE107" s="971">
        <v>30.0</v>
      </c>
      <c r="AF107" s="971"/>
    </row>
    <row r="108">
      <c r="A108" s="962"/>
      <c r="B108" s="972" t="s">
        <v>527</v>
      </c>
      <c r="C108" s="972" t="s">
        <v>521</v>
      </c>
      <c r="D108" s="972" t="s">
        <v>522</v>
      </c>
      <c r="E108" s="972" t="s">
        <v>523</v>
      </c>
      <c r="F108" s="972" t="s">
        <v>524</v>
      </c>
      <c r="G108" s="971" t="s">
        <v>525</v>
      </c>
      <c r="H108" s="971" t="s">
        <v>526</v>
      </c>
      <c r="I108" s="971" t="s">
        <v>527</v>
      </c>
      <c r="J108" s="971" t="s">
        <v>521</v>
      </c>
      <c r="K108" s="971" t="s">
        <v>522</v>
      </c>
      <c r="L108" s="971" t="s">
        <v>523</v>
      </c>
      <c r="M108" s="971" t="s">
        <v>524</v>
      </c>
      <c r="N108" s="971" t="s">
        <v>525</v>
      </c>
      <c r="O108" s="971" t="s">
        <v>526</v>
      </c>
      <c r="P108" s="971" t="s">
        <v>527</v>
      </c>
      <c r="Q108" s="971" t="s">
        <v>521</v>
      </c>
      <c r="R108" s="971" t="s">
        <v>522</v>
      </c>
      <c r="S108" s="971" t="s">
        <v>523</v>
      </c>
      <c r="T108" s="971" t="s">
        <v>524</v>
      </c>
      <c r="U108" s="971" t="s">
        <v>525</v>
      </c>
      <c r="V108" s="971" t="s">
        <v>526</v>
      </c>
      <c r="W108" s="971" t="s">
        <v>527</v>
      </c>
      <c r="X108" s="971" t="s">
        <v>521</v>
      </c>
      <c r="Y108" s="971" t="s">
        <v>522</v>
      </c>
      <c r="Z108" s="971" t="s">
        <v>523</v>
      </c>
      <c r="AA108" s="971" t="s">
        <v>524</v>
      </c>
      <c r="AB108" s="971" t="s">
        <v>525</v>
      </c>
      <c r="AC108" s="971" t="s">
        <v>526</v>
      </c>
      <c r="AD108" s="971" t="s">
        <v>527</v>
      </c>
      <c r="AE108" s="971" t="s">
        <v>521</v>
      </c>
      <c r="AF108" s="971"/>
    </row>
    <row r="109">
      <c r="A109" s="966" t="s">
        <v>528</v>
      </c>
      <c r="B109" s="675"/>
      <c r="C109" s="675"/>
      <c r="D109" s="675"/>
      <c r="E109" s="675"/>
      <c r="F109" s="675"/>
      <c r="G109" s="675"/>
      <c r="H109" s="675"/>
      <c r="I109" s="675"/>
      <c r="J109" s="675"/>
      <c r="K109" s="675"/>
      <c r="L109" s="675"/>
      <c r="M109" s="675"/>
      <c r="N109" s="675"/>
      <c r="O109" s="675"/>
      <c r="P109" s="675"/>
      <c r="Q109" s="675"/>
      <c r="R109" s="675"/>
      <c r="S109" s="675"/>
      <c r="T109" s="675"/>
      <c r="U109" s="675"/>
      <c r="V109" s="675"/>
      <c r="W109" s="675"/>
      <c r="X109" s="675"/>
      <c r="Y109" s="675"/>
      <c r="Z109" s="675"/>
      <c r="AA109" s="675"/>
      <c r="AB109" s="675"/>
      <c r="AC109" s="675"/>
      <c r="AD109" s="675"/>
      <c r="AE109" s="675"/>
      <c r="AF109" s="675"/>
    </row>
    <row r="110">
      <c r="A110" s="966" t="s">
        <v>205</v>
      </c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5"/>
      <c r="P110" s="675"/>
      <c r="Q110" s="675"/>
      <c r="R110" s="675"/>
      <c r="S110" s="675"/>
      <c r="T110" s="675"/>
      <c r="U110" s="675"/>
      <c r="V110" s="675"/>
      <c r="W110" s="675"/>
      <c r="X110" s="675"/>
      <c r="Y110" s="675"/>
      <c r="Z110" s="675"/>
      <c r="AA110" s="675"/>
      <c r="AB110" s="675"/>
      <c r="AC110" s="967"/>
      <c r="AD110" s="675"/>
      <c r="AE110" s="675"/>
      <c r="AF110" s="675"/>
    </row>
    <row r="111">
      <c r="A111" s="962" t="s">
        <v>121</v>
      </c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5"/>
      <c r="P111" s="675"/>
      <c r="Q111" s="675"/>
      <c r="R111" s="675"/>
      <c r="S111" s="675"/>
      <c r="T111" s="675"/>
      <c r="U111" s="675"/>
      <c r="V111" s="675"/>
      <c r="W111" s="675"/>
      <c r="X111" s="675"/>
      <c r="Y111" s="675"/>
      <c r="Z111" s="675"/>
      <c r="AA111" s="675"/>
      <c r="AB111" s="675"/>
      <c r="AC111" s="675"/>
      <c r="AD111" s="675"/>
      <c r="AE111" s="675"/>
      <c r="AF111" s="675"/>
    </row>
    <row r="112">
      <c r="A112" s="962" t="s">
        <v>384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75"/>
      <c r="AB112" s="675"/>
      <c r="AC112" s="675"/>
      <c r="AD112" s="675"/>
      <c r="AE112" s="675"/>
      <c r="AF112" s="675"/>
    </row>
    <row r="113">
      <c r="A113" s="962" t="s">
        <v>353</v>
      </c>
      <c r="B113" s="675"/>
      <c r="C113" s="675"/>
      <c r="D113" s="675"/>
      <c r="E113" s="675"/>
      <c r="F113" s="675"/>
      <c r="G113" s="675"/>
      <c r="H113" s="675"/>
      <c r="I113" s="675"/>
      <c r="J113" s="675"/>
      <c r="K113" s="675"/>
      <c r="L113" s="675"/>
      <c r="M113" s="675"/>
      <c r="N113" s="675"/>
      <c r="O113" s="675"/>
      <c r="P113" s="675"/>
      <c r="Q113" s="675"/>
      <c r="R113" s="675"/>
      <c r="S113" s="675"/>
      <c r="T113" s="675"/>
      <c r="U113" s="675"/>
      <c r="V113" s="675"/>
      <c r="W113" s="675"/>
      <c r="X113" s="675"/>
      <c r="Y113" s="675"/>
      <c r="Z113" s="675"/>
      <c r="AA113" s="675"/>
      <c r="AB113" s="675"/>
      <c r="AC113" s="675"/>
      <c r="AD113" s="675"/>
      <c r="AE113" s="675"/>
      <c r="AF113" s="675"/>
    </row>
    <row r="114">
      <c r="A114" s="962" t="s">
        <v>147</v>
      </c>
      <c r="B114" s="675"/>
      <c r="C114" s="675"/>
      <c r="D114" s="675"/>
      <c r="E114" s="675"/>
      <c r="F114" s="675"/>
      <c r="G114" s="675"/>
      <c r="H114" s="675"/>
      <c r="I114" s="675"/>
      <c r="J114" s="675"/>
      <c r="K114" s="675"/>
      <c r="L114" s="675"/>
      <c r="M114" s="675"/>
      <c r="N114" s="675"/>
      <c r="O114" s="675"/>
      <c r="P114" s="675"/>
      <c r="Q114" s="675"/>
      <c r="R114" s="675"/>
      <c r="S114" s="675"/>
      <c r="T114" s="675"/>
      <c r="U114" s="675"/>
      <c r="V114" s="675"/>
      <c r="W114" s="675"/>
      <c r="X114" s="675"/>
      <c r="Y114" s="675"/>
      <c r="Z114" s="675"/>
      <c r="AA114" s="675"/>
      <c r="AB114" s="675"/>
      <c r="AC114" s="675"/>
      <c r="AD114" s="675"/>
      <c r="AE114" s="675"/>
      <c r="AF114" s="675"/>
    </row>
    <row r="115">
      <c r="A115" s="962" t="s">
        <v>360</v>
      </c>
      <c r="B115" s="675"/>
      <c r="C115" s="675"/>
      <c r="D115" s="675"/>
      <c r="E115" s="675"/>
      <c r="F115" s="675"/>
      <c r="G115" s="968"/>
      <c r="H115" s="675"/>
      <c r="I115" s="675"/>
      <c r="J115" s="675"/>
      <c r="K115" s="675"/>
      <c r="L115" s="675"/>
      <c r="M115" s="675"/>
      <c r="N115" s="675"/>
      <c r="O115" s="675"/>
      <c r="P115" s="675"/>
      <c r="Q115" s="675"/>
      <c r="R115" s="675"/>
      <c r="S115" s="675"/>
      <c r="T115" s="675"/>
      <c r="U115" s="675"/>
      <c r="V115" s="675"/>
      <c r="W115" s="675"/>
      <c r="X115" s="675"/>
      <c r="Y115" s="675"/>
      <c r="Z115" s="675"/>
      <c r="AA115" s="675"/>
      <c r="AB115" s="675"/>
      <c r="AC115" s="675"/>
      <c r="AD115" s="675"/>
      <c r="AE115" s="675"/>
      <c r="AF115" s="675"/>
    </row>
    <row r="116">
      <c r="A116" s="962" t="s">
        <v>229</v>
      </c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5"/>
      <c r="P116" s="675"/>
      <c r="Q116" s="675"/>
      <c r="R116" s="675"/>
      <c r="S116" s="675"/>
      <c r="T116" s="675"/>
      <c r="U116" s="675"/>
      <c r="V116" s="675"/>
      <c r="W116" s="675"/>
      <c r="X116" s="675"/>
      <c r="Y116" s="675"/>
      <c r="Z116" s="675"/>
      <c r="AA116" s="675"/>
      <c r="AB116" s="675"/>
      <c r="AC116" s="675"/>
      <c r="AD116" s="675"/>
      <c r="AE116" s="675"/>
      <c r="AF116" s="675"/>
    </row>
    <row r="117">
      <c r="A117" s="962" t="s">
        <v>235</v>
      </c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5"/>
      <c r="P117" s="675"/>
      <c r="Q117" s="675"/>
      <c r="R117" s="675"/>
      <c r="S117" s="675"/>
      <c r="T117" s="675"/>
      <c r="U117" s="675"/>
      <c r="V117" s="675"/>
      <c r="W117" s="675"/>
      <c r="X117" s="675"/>
      <c r="Y117" s="675"/>
      <c r="Z117" s="675"/>
      <c r="AA117" s="675"/>
      <c r="AB117" s="675"/>
      <c r="AC117" s="675"/>
      <c r="AD117" s="675"/>
      <c r="AE117" s="675"/>
      <c r="AF117" s="675"/>
    </row>
    <row r="118">
      <c r="A118" s="962" t="s">
        <v>385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75"/>
      <c r="AB118" s="675"/>
      <c r="AC118" s="675"/>
      <c r="AD118" s="675"/>
      <c r="AE118" s="675"/>
      <c r="AF118" s="675"/>
    </row>
    <row r="119">
      <c r="A119" s="969" t="s">
        <v>380</v>
      </c>
      <c r="B119" s="717"/>
      <c r="C119" s="717"/>
      <c r="D119" s="717"/>
      <c r="E119" s="717"/>
      <c r="F119" s="717"/>
      <c r="G119" s="717"/>
      <c r="H119" s="717"/>
      <c r="I119" s="717"/>
      <c r="J119" s="717"/>
      <c r="K119" s="717"/>
      <c r="L119" s="717"/>
      <c r="M119" s="717"/>
      <c r="N119" s="717"/>
      <c r="O119" s="717"/>
      <c r="P119" s="717"/>
      <c r="Q119" s="717"/>
      <c r="R119" s="717"/>
      <c r="S119" s="717"/>
      <c r="T119" s="717"/>
      <c r="U119" s="717"/>
      <c r="V119" s="717"/>
      <c r="W119" s="717"/>
      <c r="X119" s="717"/>
      <c r="Y119" s="717"/>
      <c r="Z119" s="717"/>
      <c r="AA119" s="717"/>
      <c r="AB119" s="717"/>
      <c r="AC119" s="717"/>
      <c r="AD119" s="717"/>
      <c r="AE119" s="717"/>
      <c r="AF119" s="717"/>
    </row>
    <row r="120">
      <c r="A120" s="969" t="s">
        <v>370</v>
      </c>
    </row>
    <row r="121">
      <c r="A121" s="969" t="s">
        <v>160</v>
      </c>
    </row>
    <row r="122">
      <c r="A122" s="969" t="s">
        <v>126</v>
      </c>
    </row>
    <row r="123">
      <c r="A123" s="969" t="s">
        <v>458</v>
      </c>
    </row>
    <row r="124">
      <c r="A124" s="969" t="s">
        <v>377</v>
      </c>
    </row>
    <row r="125">
      <c r="A125" s="969" t="s">
        <v>529</v>
      </c>
    </row>
    <row r="126">
      <c r="A126" s="969" t="s">
        <v>222</v>
      </c>
    </row>
    <row r="127">
      <c r="A127" s="969" t="s">
        <v>178</v>
      </c>
    </row>
    <row r="128">
      <c r="A128" s="969" t="s">
        <v>459</v>
      </c>
    </row>
    <row r="129">
      <c r="A129" s="969" t="s">
        <v>248</v>
      </c>
    </row>
    <row r="130">
      <c r="A130" s="969" t="s">
        <v>191</v>
      </c>
    </row>
    <row r="131">
      <c r="A131" s="969" t="s">
        <v>530</v>
      </c>
    </row>
    <row r="132">
      <c r="A132" s="969" t="s">
        <v>531</v>
      </c>
    </row>
    <row r="133">
      <c r="A133" s="969" t="s">
        <v>532</v>
      </c>
    </row>
    <row r="134">
      <c r="A134" s="969" t="s">
        <v>533</v>
      </c>
    </row>
    <row r="135">
      <c r="A135" s="969" t="s">
        <v>534</v>
      </c>
    </row>
    <row r="136">
      <c r="A136" s="969" t="s">
        <v>210</v>
      </c>
    </row>
    <row r="137">
      <c r="A137" s="969" t="s">
        <v>535</v>
      </c>
    </row>
    <row r="138">
      <c r="A138" s="969" t="s">
        <v>536</v>
      </c>
    </row>
    <row r="139">
      <c r="A139" s="969" t="s">
        <v>537</v>
      </c>
    </row>
    <row r="140">
      <c r="A140" s="969" t="s">
        <v>538</v>
      </c>
    </row>
    <row r="141">
      <c r="A141" s="962"/>
      <c r="B141" s="970">
        <v>45778.0</v>
      </c>
      <c r="C141" s="519"/>
      <c r="D141" s="519"/>
      <c r="E141" s="519"/>
      <c r="F141" s="519"/>
      <c r="G141" s="519"/>
      <c r="H141" s="519"/>
      <c r="I141" s="519"/>
      <c r="J141" s="519"/>
      <c r="K141" s="519"/>
      <c r="L141" s="519"/>
      <c r="M141" s="519"/>
      <c r="N141" s="519"/>
      <c r="O141" s="519"/>
      <c r="P141" s="519"/>
      <c r="Q141" s="519"/>
      <c r="R141" s="519"/>
      <c r="S141" s="519"/>
      <c r="T141" s="519"/>
      <c r="U141" s="519"/>
      <c r="V141" s="519"/>
      <c r="W141" s="519"/>
      <c r="X141" s="519"/>
      <c r="Y141" s="519"/>
      <c r="Z141" s="519"/>
      <c r="AA141" s="519"/>
      <c r="AB141" s="519"/>
      <c r="AC141" s="519"/>
      <c r="AD141" s="519"/>
      <c r="AE141" s="519"/>
      <c r="AF141" s="346"/>
    </row>
    <row r="142">
      <c r="A142" s="962"/>
      <c r="B142" s="971">
        <v>1.0</v>
      </c>
      <c r="C142" s="971">
        <v>2.0</v>
      </c>
      <c r="D142" s="971">
        <v>3.0</v>
      </c>
      <c r="E142" s="971">
        <v>4.0</v>
      </c>
      <c r="F142" s="971">
        <v>5.0</v>
      </c>
      <c r="G142" s="971">
        <v>6.0</v>
      </c>
      <c r="H142" s="971">
        <v>7.0</v>
      </c>
      <c r="I142" s="971">
        <v>8.0</v>
      </c>
      <c r="J142" s="971">
        <v>9.0</v>
      </c>
      <c r="K142" s="971">
        <v>10.0</v>
      </c>
      <c r="L142" s="971">
        <v>11.0</v>
      </c>
      <c r="M142" s="971">
        <v>12.0</v>
      </c>
      <c r="N142" s="971">
        <v>13.0</v>
      </c>
      <c r="O142" s="971">
        <v>14.0</v>
      </c>
      <c r="P142" s="971">
        <v>15.0</v>
      </c>
      <c r="Q142" s="971">
        <v>16.0</v>
      </c>
      <c r="R142" s="971">
        <v>17.0</v>
      </c>
      <c r="S142" s="971">
        <v>18.0</v>
      </c>
      <c r="T142" s="971">
        <v>19.0</v>
      </c>
      <c r="U142" s="971">
        <v>20.0</v>
      </c>
      <c r="V142" s="971">
        <v>21.0</v>
      </c>
      <c r="W142" s="971">
        <v>22.0</v>
      </c>
      <c r="X142" s="971">
        <v>23.0</v>
      </c>
      <c r="Y142" s="971">
        <v>24.0</v>
      </c>
      <c r="Z142" s="971">
        <v>25.0</v>
      </c>
      <c r="AA142" s="971">
        <v>26.0</v>
      </c>
      <c r="AB142" s="971">
        <v>27.0</v>
      </c>
      <c r="AC142" s="971">
        <v>28.0</v>
      </c>
      <c r="AD142" s="971">
        <v>29.0</v>
      </c>
      <c r="AE142" s="971">
        <v>30.0</v>
      </c>
      <c r="AF142" s="971">
        <v>31.0</v>
      </c>
    </row>
    <row r="143">
      <c r="A143" s="962"/>
      <c r="B143" s="972" t="s">
        <v>522</v>
      </c>
      <c r="C143" s="972" t="s">
        <v>523</v>
      </c>
      <c r="D143" s="972" t="s">
        <v>524</v>
      </c>
      <c r="E143" s="972" t="s">
        <v>525</v>
      </c>
      <c r="F143" s="972" t="s">
        <v>526</v>
      </c>
      <c r="G143" s="971" t="s">
        <v>527</v>
      </c>
      <c r="H143" s="971" t="s">
        <v>521</v>
      </c>
      <c r="I143" s="971" t="s">
        <v>522</v>
      </c>
      <c r="J143" s="971" t="s">
        <v>523</v>
      </c>
      <c r="K143" s="971" t="s">
        <v>524</v>
      </c>
      <c r="L143" s="971" t="s">
        <v>525</v>
      </c>
      <c r="M143" s="971" t="s">
        <v>526</v>
      </c>
      <c r="N143" s="971" t="s">
        <v>527</v>
      </c>
      <c r="O143" s="971" t="s">
        <v>521</v>
      </c>
      <c r="P143" s="971" t="s">
        <v>522</v>
      </c>
      <c r="Q143" s="971" t="s">
        <v>523</v>
      </c>
      <c r="R143" s="971" t="s">
        <v>524</v>
      </c>
      <c r="S143" s="971" t="s">
        <v>525</v>
      </c>
      <c r="T143" s="971" t="s">
        <v>526</v>
      </c>
      <c r="U143" s="971" t="s">
        <v>527</v>
      </c>
      <c r="V143" s="971" t="s">
        <v>521</v>
      </c>
      <c r="W143" s="971" t="s">
        <v>522</v>
      </c>
      <c r="X143" s="971" t="s">
        <v>523</v>
      </c>
      <c r="Y143" s="971" t="s">
        <v>524</v>
      </c>
      <c r="Z143" s="971" t="s">
        <v>525</v>
      </c>
      <c r="AA143" s="971" t="s">
        <v>526</v>
      </c>
      <c r="AB143" s="971" t="s">
        <v>527</v>
      </c>
      <c r="AC143" s="971" t="s">
        <v>521</v>
      </c>
      <c r="AD143" s="971" t="s">
        <v>522</v>
      </c>
      <c r="AE143" s="971" t="s">
        <v>523</v>
      </c>
      <c r="AF143" s="971" t="s">
        <v>524</v>
      </c>
    </row>
    <row r="144">
      <c r="A144" s="966" t="s">
        <v>528</v>
      </c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5"/>
      <c r="P144" s="675"/>
      <c r="Q144" s="675"/>
      <c r="R144" s="675"/>
      <c r="S144" s="675"/>
      <c r="T144" s="675"/>
      <c r="U144" s="675"/>
      <c r="V144" s="675"/>
      <c r="W144" s="675"/>
      <c r="X144" s="675"/>
      <c r="Y144" s="675"/>
      <c r="Z144" s="675"/>
      <c r="AA144" s="675"/>
      <c r="AB144" s="675"/>
      <c r="AC144" s="675"/>
      <c r="AD144" s="675"/>
      <c r="AE144" s="675"/>
      <c r="AF144" s="675"/>
    </row>
    <row r="145">
      <c r="A145" s="966" t="s">
        <v>205</v>
      </c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5"/>
      <c r="P145" s="675"/>
      <c r="Q145" s="675"/>
      <c r="R145" s="675"/>
      <c r="S145" s="675"/>
      <c r="T145" s="675"/>
      <c r="U145" s="675"/>
      <c r="V145" s="675"/>
      <c r="W145" s="675"/>
      <c r="X145" s="675"/>
      <c r="Y145" s="675"/>
      <c r="Z145" s="675"/>
      <c r="AA145" s="675"/>
      <c r="AB145" s="675"/>
      <c r="AC145" s="675"/>
      <c r="AD145" s="675"/>
      <c r="AE145" s="675"/>
      <c r="AF145" s="675"/>
    </row>
    <row r="146">
      <c r="A146" s="962" t="s">
        <v>121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75"/>
      <c r="AB146" s="675"/>
      <c r="AC146" s="675"/>
      <c r="AD146" s="675"/>
      <c r="AE146" s="675"/>
      <c r="AF146" s="675"/>
    </row>
    <row r="147">
      <c r="A147" s="962" t="s">
        <v>384</v>
      </c>
      <c r="B147" s="675"/>
      <c r="C147" s="675"/>
      <c r="D147" s="675"/>
      <c r="E147" s="675"/>
      <c r="F147" s="675"/>
      <c r="G147" s="675"/>
      <c r="H147" s="675"/>
      <c r="I147" s="675"/>
      <c r="J147" s="675"/>
      <c r="K147" s="675"/>
      <c r="L147" s="675"/>
      <c r="M147" s="675"/>
      <c r="N147" s="675"/>
      <c r="O147" s="675"/>
      <c r="P147" s="675"/>
      <c r="Q147" s="675"/>
      <c r="R147" s="675"/>
      <c r="S147" s="675"/>
      <c r="T147" s="675"/>
      <c r="U147" s="675"/>
      <c r="V147" s="675"/>
      <c r="W147" s="675"/>
      <c r="X147" s="675"/>
      <c r="Y147" s="675"/>
      <c r="Z147" s="675"/>
      <c r="AA147" s="675"/>
      <c r="AB147" s="675"/>
      <c r="AC147" s="675"/>
      <c r="AD147" s="675"/>
      <c r="AE147" s="675"/>
      <c r="AF147" s="675"/>
    </row>
    <row r="148">
      <c r="A148" s="962" t="s">
        <v>353</v>
      </c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  <c r="V148" s="675"/>
      <c r="W148" s="675"/>
      <c r="X148" s="675"/>
      <c r="Y148" s="675"/>
      <c r="Z148" s="675"/>
      <c r="AA148" s="675"/>
      <c r="AB148" s="675"/>
      <c r="AC148" s="675"/>
      <c r="AD148" s="675"/>
      <c r="AE148" s="675"/>
      <c r="AF148" s="675"/>
    </row>
    <row r="149">
      <c r="A149" s="962" t="s">
        <v>147</v>
      </c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5"/>
      <c r="P149" s="675"/>
      <c r="Q149" s="675"/>
      <c r="R149" s="675"/>
      <c r="S149" s="675"/>
      <c r="T149" s="675"/>
      <c r="U149" s="675"/>
      <c r="V149" s="675"/>
      <c r="W149" s="675"/>
      <c r="X149" s="675"/>
      <c r="Y149" s="675"/>
      <c r="Z149" s="675"/>
      <c r="AA149" s="675"/>
      <c r="AB149" s="675"/>
      <c r="AC149" s="675"/>
      <c r="AD149" s="675"/>
      <c r="AE149" s="675"/>
      <c r="AF149" s="675"/>
    </row>
    <row r="150">
      <c r="A150" s="962" t="s">
        <v>360</v>
      </c>
      <c r="B150" s="675"/>
      <c r="C150" s="675"/>
      <c r="D150" s="675"/>
      <c r="E150" s="675"/>
      <c r="F150" s="675"/>
      <c r="G150" s="968"/>
      <c r="H150" s="675"/>
      <c r="I150" s="675"/>
      <c r="J150" s="675"/>
      <c r="K150" s="675"/>
      <c r="L150" s="675"/>
      <c r="M150" s="675"/>
      <c r="N150" s="675"/>
      <c r="O150" s="675"/>
      <c r="P150" s="675"/>
      <c r="Q150" s="675"/>
      <c r="R150" s="675"/>
      <c r="S150" s="675"/>
      <c r="T150" s="675"/>
      <c r="U150" s="675"/>
      <c r="V150" s="675"/>
      <c r="W150" s="675"/>
      <c r="X150" s="675"/>
      <c r="Y150" s="675"/>
      <c r="Z150" s="675"/>
      <c r="AA150" s="675"/>
      <c r="AB150" s="675"/>
      <c r="AC150" s="675"/>
      <c r="AD150" s="675"/>
      <c r="AE150" s="675"/>
      <c r="AF150" s="675"/>
    </row>
    <row r="151">
      <c r="A151" s="962" t="s">
        <v>229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75"/>
      <c r="AB151" s="675"/>
      <c r="AC151" s="675"/>
      <c r="AD151" s="675"/>
      <c r="AE151" s="675"/>
      <c r="AF151" s="675"/>
    </row>
    <row r="152">
      <c r="A152" s="962" t="s">
        <v>235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75"/>
      <c r="AB152" s="675"/>
      <c r="AC152" s="675"/>
      <c r="AD152" s="675"/>
      <c r="AE152" s="675"/>
      <c r="AF152" s="675"/>
    </row>
    <row r="153">
      <c r="A153" s="962" t="s">
        <v>385</v>
      </c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675"/>
      <c r="O153" s="675"/>
      <c r="P153" s="675"/>
      <c r="Q153" s="675"/>
      <c r="R153" s="675"/>
      <c r="S153" s="675"/>
      <c r="T153" s="675"/>
      <c r="U153" s="675"/>
      <c r="V153" s="675"/>
      <c r="W153" s="675"/>
      <c r="X153" s="675"/>
      <c r="Y153" s="675"/>
      <c r="Z153" s="675"/>
      <c r="AA153" s="675"/>
      <c r="AB153" s="675"/>
      <c r="AC153" s="675"/>
      <c r="AD153" s="675"/>
      <c r="AE153" s="675"/>
      <c r="AF153" s="675"/>
    </row>
    <row r="154">
      <c r="A154" s="969" t="s">
        <v>380</v>
      </c>
      <c r="B154" s="717"/>
      <c r="C154" s="717"/>
      <c r="D154" s="717"/>
      <c r="E154" s="717"/>
      <c r="F154" s="717"/>
      <c r="G154" s="717"/>
      <c r="H154" s="717"/>
      <c r="I154" s="717"/>
      <c r="J154" s="717"/>
      <c r="K154" s="717"/>
      <c r="L154" s="717"/>
      <c r="M154" s="717"/>
      <c r="N154" s="717"/>
      <c r="O154" s="717"/>
      <c r="P154" s="717"/>
      <c r="Q154" s="717"/>
      <c r="R154" s="717"/>
      <c r="S154" s="717"/>
      <c r="T154" s="717"/>
      <c r="U154" s="717"/>
      <c r="V154" s="717"/>
      <c r="W154" s="717"/>
      <c r="X154" s="717"/>
      <c r="Y154" s="717"/>
      <c r="Z154" s="717"/>
      <c r="AA154" s="717"/>
      <c r="AB154" s="717"/>
      <c r="AC154" s="717"/>
      <c r="AD154" s="717"/>
      <c r="AE154" s="717"/>
      <c r="AF154" s="717"/>
    </row>
    <row r="155">
      <c r="A155" s="969" t="s">
        <v>370</v>
      </c>
    </row>
    <row r="156">
      <c r="A156" s="969" t="s">
        <v>160</v>
      </c>
    </row>
    <row r="157">
      <c r="A157" s="969" t="s">
        <v>126</v>
      </c>
    </row>
    <row r="158">
      <c r="A158" s="969" t="s">
        <v>458</v>
      </c>
    </row>
    <row r="159">
      <c r="A159" s="969" t="s">
        <v>377</v>
      </c>
    </row>
    <row r="160">
      <c r="A160" s="969" t="s">
        <v>529</v>
      </c>
    </row>
    <row r="161">
      <c r="A161" s="969" t="s">
        <v>222</v>
      </c>
    </row>
    <row r="162">
      <c r="A162" s="969" t="s">
        <v>178</v>
      </c>
    </row>
    <row r="163">
      <c r="A163" s="969" t="s">
        <v>459</v>
      </c>
    </row>
    <row r="164">
      <c r="A164" s="969" t="s">
        <v>248</v>
      </c>
    </row>
    <row r="165">
      <c r="A165" s="969" t="s">
        <v>191</v>
      </c>
    </row>
    <row r="166">
      <c r="A166" s="969" t="s">
        <v>530</v>
      </c>
    </row>
    <row r="167">
      <c r="A167" s="969" t="s">
        <v>531</v>
      </c>
    </row>
    <row r="168">
      <c r="A168" s="969" t="s">
        <v>532</v>
      </c>
    </row>
    <row r="169">
      <c r="A169" s="969" t="s">
        <v>533</v>
      </c>
    </row>
    <row r="170">
      <c r="A170" s="969" t="s">
        <v>534</v>
      </c>
    </row>
    <row r="171">
      <c r="A171" s="969" t="s">
        <v>210</v>
      </c>
    </row>
    <row r="172">
      <c r="A172" s="969" t="s">
        <v>535</v>
      </c>
    </row>
    <row r="173">
      <c r="A173" s="969" t="s">
        <v>536</v>
      </c>
    </row>
    <row r="174">
      <c r="A174" s="969" t="s">
        <v>537</v>
      </c>
    </row>
    <row r="175">
      <c r="A175" s="969" t="s">
        <v>538</v>
      </c>
    </row>
    <row r="177">
      <c r="A177" s="962"/>
      <c r="B177" s="970">
        <v>45809.0</v>
      </c>
      <c r="C177" s="519"/>
      <c r="D177" s="519"/>
      <c r="E177" s="519"/>
      <c r="F177" s="519"/>
      <c r="G177" s="519"/>
      <c r="H177" s="519"/>
      <c r="I177" s="519"/>
      <c r="J177" s="519"/>
      <c r="K177" s="519"/>
      <c r="L177" s="519"/>
      <c r="M177" s="519"/>
      <c r="N177" s="519"/>
      <c r="O177" s="519"/>
      <c r="P177" s="519"/>
      <c r="Q177" s="519"/>
      <c r="R177" s="519"/>
      <c r="S177" s="519"/>
      <c r="T177" s="519"/>
      <c r="U177" s="519"/>
      <c r="V177" s="519"/>
      <c r="W177" s="519"/>
      <c r="X177" s="519"/>
      <c r="Y177" s="519"/>
      <c r="Z177" s="519"/>
      <c r="AA177" s="519"/>
      <c r="AB177" s="519"/>
      <c r="AC177" s="519"/>
      <c r="AD177" s="519"/>
      <c r="AE177" s="519"/>
      <c r="AF177" s="346"/>
    </row>
    <row r="178">
      <c r="A178" s="962"/>
      <c r="B178" s="971">
        <v>1.0</v>
      </c>
      <c r="C178" s="971">
        <v>2.0</v>
      </c>
      <c r="D178" s="971">
        <v>3.0</v>
      </c>
      <c r="E178" s="971">
        <v>4.0</v>
      </c>
      <c r="F178" s="971">
        <v>5.0</v>
      </c>
      <c r="G178" s="971">
        <v>6.0</v>
      </c>
      <c r="H178" s="971">
        <v>7.0</v>
      </c>
      <c r="I178" s="971">
        <v>8.0</v>
      </c>
      <c r="J178" s="971">
        <v>9.0</v>
      </c>
      <c r="K178" s="971">
        <v>10.0</v>
      </c>
      <c r="L178" s="971">
        <v>11.0</v>
      </c>
      <c r="M178" s="971">
        <v>12.0</v>
      </c>
      <c r="N178" s="971">
        <v>13.0</v>
      </c>
      <c r="O178" s="971">
        <v>14.0</v>
      </c>
      <c r="P178" s="971">
        <v>15.0</v>
      </c>
      <c r="Q178" s="971">
        <v>16.0</v>
      </c>
      <c r="R178" s="971">
        <v>17.0</v>
      </c>
      <c r="S178" s="971">
        <v>18.0</v>
      </c>
      <c r="T178" s="971">
        <v>19.0</v>
      </c>
      <c r="U178" s="971">
        <v>20.0</v>
      </c>
      <c r="V178" s="971">
        <v>21.0</v>
      </c>
      <c r="W178" s="971">
        <v>22.0</v>
      </c>
      <c r="X178" s="971">
        <v>23.0</v>
      </c>
      <c r="Y178" s="971">
        <v>24.0</v>
      </c>
      <c r="Z178" s="971">
        <v>25.0</v>
      </c>
      <c r="AA178" s="971">
        <v>26.0</v>
      </c>
      <c r="AB178" s="971">
        <v>27.0</v>
      </c>
      <c r="AC178" s="971">
        <v>28.0</v>
      </c>
      <c r="AD178" s="971">
        <v>29.0</v>
      </c>
      <c r="AE178" s="971">
        <v>30.0</v>
      </c>
      <c r="AF178" s="971">
        <v>31.0</v>
      </c>
    </row>
    <row r="179">
      <c r="A179" s="962"/>
      <c r="B179" s="971" t="s">
        <v>525</v>
      </c>
      <c r="C179" s="971" t="s">
        <v>526</v>
      </c>
      <c r="D179" s="971" t="s">
        <v>527</v>
      </c>
      <c r="E179" s="971" t="s">
        <v>521</v>
      </c>
      <c r="F179" s="971" t="s">
        <v>522</v>
      </c>
      <c r="G179" s="971" t="s">
        <v>523</v>
      </c>
      <c r="H179" s="971" t="s">
        <v>524</v>
      </c>
      <c r="I179" s="971" t="s">
        <v>525</v>
      </c>
      <c r="J179" s="971" t="s">
        <v>526</v>
      </c>
      <c r="K179" s="971" t="s">
        <v>527</v>
      </c>
      <c r="L179" s="971" t="s">
        <v>521</v>
      </c>
      <c r="M179" s="971" t="s">
        <v>522</v>
      </c>
      <c r="N179" s="971" t="s">
        <v>523</v>
      </c>
      <c r="O179" s="971" t="s">
        <v>524</v>
      </c>
      <c r="P179" s="971" t="s">
        <v>525</v>
      </c>
      <c r="Q179" s="971" t="s">
        <v>526</v>
      </c>
      <c r="R179" s="971" t="s">
        <v>527</v>
      </c>
      <c r="S179" s="971" t="s">
        <v>521</v>
      </c>
      <c r="T179" s="971" t="s">
        <v>522</v>
      </c>
      <c r="U179" s="971" t="s">
        <v>523</v>
      </c>
      <c r="V179" s="971" t="s">
        <v>524</v>
      </c>
      <c r="W179" s="971" t="s">
        <v>525</v>
      </c>
      <c r="X179" s="971" t="s">
        <v>526</v>
      </c>
      <c r="Y179" s="971" t="s">
        <v>527</v>
      </c>
      <c r="Z179" s="971" t="s">
        <v>521</v>
      </c>
      <c r="AA179" s="971" t="s">
        <v>522</v>
      </c>
      <c r="AB179" s="971" t="s">
        <v>523</v>
      </c>
      <c r="AC179" s="971" t="s">
        <v>524</v>
      </c>
      <c r="AD179" s="971" t="s">
        <v>525</v>
      </c>
      <c r="AE179" s="971" t="s">
        <v>526</v>
      </c>
      <c r="AF179" s="971" t="s">
        <v>527</v>
      </c>
    </row>
    <row r="180">
      <c r="A180" s="966" t="s">
        <v>528</v>
      </c>
      <c r="B180" s="675"/>
      <c r="C180" s="675"/>
      <c r="D180" s="675"/>
      <c r="E180" s="675"/>
      <c r="F180" s="675"/>
      <c r="G180" s="675"/>
      <c r="H180" s="675"/>
      <c r="I180" s="675"/>
      <c r="J180" s="675"/>
      <c r="K180" s="675"/>
      <c r="L180" s="675"/>
      <c r="M180" s="675"/>
      <c r="N180" s="675"/>
      <c r="O180" s="675"/>
      <c r="P180" s="675"/>
      <c r="Q180" s="675"/>
      <c r="R180" s="675"/>
      <c r="S180" s="675"/>
      <c r="T180" s="675"/>
      <c r="U180" s="675"/>
      <c r="V180" s="675"/>
      <c r="W180" s="675"/>
      <c r="X180" s="675"/>
      <c r="Y180" s="675"/>
      <c r="Z180" s="675"/>
      <c r="AA180" s="675"/>
      <c r="AB180" s="675"/>
      <c r="AC180" s="675"/>
      <c r="AD180" s="675"/>
      <c r="AE180" s="675"/>
      <c r="AF180" s="675"/>
    </row>
    <row r="181">
      <c r="A181" s="966" t="s">
        <v>205</v>
      </c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675"/>
      <c r="O181" s="675"/>
      <c r="P181" s="675"/>
      <c r="Q181" s="675"/>
      <c r="R181" s="675"/>
      <c r="S181" s="675"/>
      <c r="T181" s="675"/>
      <c r="U181" s="675"/>
      <c r="V181" s="675"/>
      <c r="W181" s="675"/>
      <c r="X181" s="675"/>
      <c r="Y181" s="675"/>
      <c r="Z181" s="675"/>
      <c r="AA181" s="675"/>
      <c r="AB181" s="675"/>
      <c r="AC181" s="675"/>
      <c r="AD181" s="675"/>
      <c r="AE181" s="675"/>
      <c r="AF181" s="675"/>
    </row>
    <row r="182">
      <c r="A182" s="962" t="s">
        <v>121</v>
      </c>
      <c r="B182" s="675"/>
      <c r="C182" s="675"/>
      <c r="D182" s="675"/>
      <c r="E182" s="675"/>
      <c r="F182" s="675"/>
      <c r="G182" s="675"/>
      <c r="H182" s="675"/>
      <c r="I182" s="675"/>
      <c r="J182" s="675"/>
      <c r="K182" s="675"/>
      <c r="L182" s="675"/>
      <c r="M182" s="675"/>
      <c r="N182" s="675"/>
      <c r="O182" s="675"/>
      <c r="P182" s="675"/>
      <c r="Q182" s="675"/>
      <c r="R182" s="675"/>
      <c r="S182" s="675"/>
      <c r="T182" s="675"/>
      <c r="U182" s="675"/>
      <c r="V182" s="675"/>
      <c r="W182" s="675"/>
      <c r="X182" s="675"/>
      <c r="Y182" s="675"/>
      <c r="Z182" s="675"/>
      <c r="AA182" s="675"/>
      <c r="AB182" s="675"/>
      <c r="AC182" s="675"/>
      <c r="AD182" s="675"/>
      <c r="AE182" s="675"/>
      <c r="AF182" s="675"/>
    </row>
    <row r="183">
      <c r="A183" s="962" t="s">
        <v>384</v>
      </c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5"/>
      <c r="P183" s="675"/>
      <c r="Q183" s="675"/>
      <c r="R183" s="675"/>
      <c r="S183" s="675"/>
      <c r="T183" s="675"/>
      <c r="U183" s="675"/>
      <c r="V183" s="675"/>
      <c r="W183" s="675"/>
      <c r="X183" s="675"/>
      <c r="Y183" s="675"/>
      <c r="Z183" s="675"/>
      <c r="AA183" s="675"/>
      <c r="AB183" s="675"/>
      <c r="AC183" s="675"/>
      <c r="AD183" s="675"/>
      <c r="AE183" s="675"/>
      <c r="AF183" s="675"/>
    </row>
    <row r="184">
      <c r="A184" s="962" t="s">
        <v>353</v>
      </c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5"/>
      <c r="P184" s="675"/>
      <c r="Q184" s="675"/>
      <c r="R184" s="675"/>
      <c r="S184" s="675"/>
      <c r="T184" s="675"/>
      <c r="U184" s="675"/>
      <c r="V184" s="675"/>
      <c r="W184" s="675"/>
      <c r="X184" s="675"/>
      <c r="Y184" s="675"/>
      <c r="Z184" s="675"/>
      <c r="AA184" s="675"/>
      <c r="AB184" s="675"/>
      <c r="AC184" s="675"/>
      <c r="AD184" s="675"/>
      <c r="AE184" s="675"/>
      <c r="AF184" s="675"/>
    </row>
    <row r="185">
      <c r="A185" s="962" t="s">
        <v>147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75"/>
      <c r="AB185" s="675"/>
      <c r="AC185" s="675"/>
      <c r="AD185" s="675"/>
      <c r="AE185" s="675"/>
      <c r="AF185" s="675"/>
    </row>
    <row r="186">
      <c r="A186" s="962" t="s">
        <v>360</v>
      </c>
      <c r="B186" s="675"/>
      <c r="C186" s="675"/>
      <c r="D186" s="675"/>
      <c r="E186" s="675"/>
      <c r="F186" s="675"/>
      <c r="G186" s="968"/>
      <c r="H186" s="675"/>
      <c r="I186" s="675"/>
      <c r="J186" s="675"/>
      <c r="K186" s="675"/>
      <c r="L186" s="675"/>
      <c r="M186" s="675"/>
      <c r="N186" s="675"/>
      <c r="O186" s="675"/>
      <c r="P186" s="675"/>
      <c r="Q186" s="675"/>
      <c r="R186" s="675"/>
      <c r="S186" s="675"/>
      <c r="T186" s="675"/>
      <c r="U186" s="675"/>
      <c r="V186" s="675"/>
      <c r="W186" s="675"/>
      <c r="X186" s="675"/>
      <c r="Y186" s="675"/>
      <c r="Z186" s="675"/>
      <c r="AA186" s="675"/>
      <c r="AB186" s="675"/>
      <c r="AC186" s="675"/>
      <c r="AD186" s="675"/>
      <c r="AE186" s="675"/>
      <c r="AF186" s="675"/>
    </row>
    <row r="187">
      <c r="A187" s="962" t="s">
        <v>229</v>
      </c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5"/>
      <c r="P187" s="675"/>
      <c r="Q187" s="675"/>
      <c r="R187" s="675"/>
      <c r="S187" s="675"/>
      <c r="T187" s="675"/>
      <c r="U187" s="675"/>
      <c r="V187" s="675"/>
      <c r="W187" s="675"/>
      <c r="X187" s="675"/>
      <c r="Y187" s="675"/>
      <c r="Z187" s="675"/>
      <c r="AA187" s="675"/>
      <c r="AB187" s="675"/>
      <c r="AC187" s="675"/>
      <c r="AD187" s="675"/>
      <c r="AE187" s="675"/>
      <c r="AF187" s="675"/>
    </row>
    <row r="188">
      <c r="A188" s="962" t="s">
        <v>235</v>
      </c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5"/>
      <c r="P188" s="675"/>
      <c r="Q188" s="675"/>
      <c r="R188" s="675"/>
      <c r="S188" s="675"/>
      <c r="T188" s="675"/>
      <c r="U188" s="675"/>
      <c r="V188" s="675"/>
      <c r="W188" s="675"/>
      <c r="X188" s="675"/>
      <c r="Y188" s="675"/>
      <c r="Z188" s="675"/>
      <c r="AA188" s="675"/>
      <c r="AB188" s="675"/>
      <c r="AC188" s="675"/>
      <c r="AD188" s="675"/>
      <c r="AE188" s="675"/>
      <c r="AF188" s="675"/>
    </row>
    <row r="189">
      <c r="A189" s="962" t="s">
        <v>385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75"/>
      <c r="AB189" s="675"/>
      <c r="AC189" s="675"/>
      <c r="AD189" s="675"/>
      <c r="AE189" s="675"/>
      <c r="AF189" s="675"/>
    </row>
    <row r="190">
      <c r="A190" s="969" t="s">
        <v>380</v>
      </c>
      <c r="B190" s="717"/>
      <c r="C190" s="717"/>
      <c r="D190" s="717"/>
      <c r="E190" s="717"/>
      <c r="F190" s="717"/>
      <c r="G190" s="717"/>
      <c r="H190" s="717"/>
      <c r="I190" s="717"/>
      <c r="J190" s="717"/>
      <c r="K190" s="717"/>
      <c r="L190" s="717"/>
      <c r="M190" s="717"/>
      <c r="N190" s="717"/>
      <c r="O190" s="717"/>
      <c r="P190" s="717"/>
      <c r="Q190" s="717"/>
      <c r="R190" s="717"/>
      <c r="S190" s="717"/>
      <c r="T190" s="717"/>
      <c r="U190" s="717"/>
      <c r="V190" s="717"/>
      <c r="W190" s="717"/>
      <c r="X190" s="717"/>
      <c r="Y190" s="717"/>
      <c r="Z190" s="717"/>
      <c r="AA190" s="717"/>
      <c r="AB190" s="717"/>
      <c r="AC190" s="717"/>
      <c r="AD190" s="717"/>
      <c r="AE190" s="717"/>
      <c r="AF190" s="717"/>
    </row>
    <row r="191">
      <c r="A191" s="969" t="s">
        <v>370</v>
      </c>
    </row>
    <row r="192">
      <c r="A192" s="969" t="s">
        <v>160</v>
      </c>
    </row>
    <row r="193">
      <c r="A193" s="969" t="s">
        <v>126</v>
      </c>
    </row>
    <row r="194">
      <c r="A194" s="969" t="s">
        <v>458</v>
      </c>
    </row>
    <row r="195">
      <c r="A195" s="969" t="s">
        <v>377</v>
      </c>
      <c r="H195" s="724"/>
    </row>
    <row r="196">
      <c r="A196" s="969" t="s">
        <v>529</v>
      </c>
    </row>
    <row r="197">
      <c r="A197" s="969" t="s">
        <v>222</v>
      </c>
    </row>
    <row r="198">
      <c r="A198" s="969" t="s">
        <v>178</v>
      </c>
    </row>
    <row r="199">
      <c r="A199" s="969" t="s">
        <v>459</v>
      </c>
    </row>
    <row r="200">
      <c r="A200" s="969" t="s">
        <v>248</v>
      </c>
    </row>
    <row r="201">
      <c r="A201" s="969" t="s">
        <v>191</v>
      </c>
    </row>
    <row r="202">
      <c r="A202" s="969" t="s">
        <v>530</v>
      </c>
    </row>
    <row r="203">
      <c r="A203" s="969" t="s">
        <v>531</v>
      </c>
    </row>
    <row r="204">
      <c r="A204" s="969" t="s">
        <v>532</v>
      </c>
    </row>
    <row r="205">
      <c r="A205" s="969" t="s">
        <v>533</v>
      </c>
    </row>
    <row r="206">
      <c r="A206" s="969" t="s">
        <v>534</v>
      </c>
    </row>
    <row r="207">
      <c r="A207" s="969" t="s">
        <v>210</v>
      </c>
    </row>
    <row r="208">
      <c r="A208" s="969" t="s">
        <v>535</v>
      </c>
    </row>
    <row r="209">
      <c r="A209" s="969" t="s">
        <v>536</v>
      </c>
    </row>
    <row r="210">
      <c r="A210" s="969" t="s">
        <v>537</v>
      </c>
    </row>
    <row r="211">
      <c r="A211" s="969" t="s">
        <v>538</v>
      </c>
    </row>
  </sheetData>
  <mergeCells count="8">
    <mergeCell ref="B1:AF1"/>
    <mergeCell ref="Y7:AF7"/>
    <mergeCell ref="B36:AF36"/>
    <mergeCell ref="B42:C42"/>
    <mergeCell ref="B71:AF71"/>
    <mergeCell ref="B106:AF106"/>
    <mergeCell ref="B141:AF141"/>
    <mergeCell ref="B177:AF177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1.57"/>
    <col customWidth="1" min="3" max="7" width="14.43"/>
    <col customWidth="1" min="9" max="9" width="28.71"/>
  </cols>
  <sheetData>
    <row r="1" ht="32.25" customHeight="1">
      <c r="A1" s="713"/>
      <c r="B1" s="973" t="s">
        <v>450</v>
      </c>
      <c r="I1" s="973" t="s">
        <v>460</v>
      </c>
    </row>
    <row r="2" ht="32.25" customHeight="1">
      <c r="A2" s="718"/>
      <c r="B2" s="974" t="s">
        <v>451</v>
      </c>
      <c r="C2" s="975" t="s">
        <v>452</v>
      </c>
      <c r="D2" s="975" t="s">
        <v>453</v>
      </c>
      <c r="E2" s="975" t="s">
        <v>454</v>
      </c>
      <c r="F2" s="975" t="s">
        <v>455</v>
      </c>
      <c r="G2" s="975" t="s">
        <v>456</v>
      </c>
      <c r="I2" s="974" t="s">
        <v>451</v>
      </c>
      <c r="J2" s="975" t="s">
        <v>452</v>
      </c>
      <c r="K2" s="975" t="s">
        <v>453</v>
      </c>
      <c r="L2" s="975" t="s">
        <v>454</v>
      </c>
      <c r="M2" s="975" t="s">
        <v>455</v>
      </c>
      <c r="N2" s="975" t="s">
        <v>456</v>
      </c>
    </row>
    <row r="3">
      <c r="A3" s="721">
        <v>1.0</v>
      </c>
      <c r="B3" s="731" t="s">
        <v>539</v>
      </c>
      <c r="C3" s="725"/>
      <c r="D3" s="725"/>
      <c r="E3" s="976"/>
      <c r="F3" s="723"/>
      <c r="G3" s="725"/>
      <c r="I3" s="750" t="s">
        <v>461</v>
      </c>
      <c r="J3" s="753"/>
      <c r="K3" s="753"/>
      <c r="L3" s="763"/>
      <c r="M3" s="753"/>
      <c r="N3" s="723"/>
    </row>
    <row r="4">
      <c r="A4" s="721">
        <v>2.0</v>
      </c>
      <c r="B4" s="734" t="s">
        <v>191</v>
      </c>
      <c r="C4" s="723"/>
      <c r="D4" s="725"/>
      <c r="E4" s="725"/>
      <c r="F4" s="725"/>
      <c r="G4" s="976"/>
      <c r="I4" s="750" t="s">
        <v>540</v>
      </c>
      <c r="J4" s="753"/>
      <c r="K4" s="723"/>
      <c r="L4" s="753"/>
      <c r="M4" s="763"/>
      <c r="N4" s="753"/>
    </row>
    <row r="5">
      <c r="A5" s="721">
        <v>3.0</v>
      </c>
      <c r="B5" s="734" t="s">
        <v>248</v>
      </c>
      <c r="C5" s="725"/>
      <c r="D5" s="723"/>
      <c r="E5" s="725"/>
      <c r="F5" s="725"/>
      <c r="G5" s="976"/>
      <c r="I5" s="762" t="s">
        <v>295</v>
      </c>
      <c r="J5" s="753"/>
      <c r="K5" s="753"/>
      <c r="L5" s="723"/>
      <c r="M5" s="753"/>
      <c r="N5" s="763"/>
    </row>
    <row r="6">
      <c r="A6" s="721">
        <v>4.0</v>
      </c>
      <c r="B6" s="734" t="s">
        <v>536</v>
      </c>
      <c r="C6" s="725"/>
      <c r="D6" s="976"/>
      <c r="E6" s="723"/>
      <c r="F6" s="725"/>
      <c r="G6" s="725"/>
      <c r="I6" s="752" t="s">
        <v>541</v>
      </c>
      <c r="J6" s="753"/>
      <c r="K6" s="753"/>
      <c r="L6" s="753"/>
      <c r="M6" s="723"/>
      <c r="N6" s="763"/>
    </row>
    <row r="7">
      <c r="A7" s="721">
        <v>5.0</v>
      </c>
      <c r="B7" s="734" t="s">
        <v>535</v>
      </c>
      <c r="C7" s="725"/>
      <c r="D7" s="723"/>
      <c r="E7" s="976"/>
      <c r="F7" s="725"/>
      <c r="G7" s="725"/>
      <c r="I7" s="973" t="s">
        <v>462</v>
      </c>
    </row>
    <row r="8">
      <c r="A8" s="721">
        <v>6.0</v>
      </c>
      <c r="B8" s="734" t="s">
        <v>542</v>
      </c>
      <c r="C8" s="725"/>
      <c r="D8" s="976"/>
      <c r="E8" s="723"/>
      <c r="F8" s="725"/>
      <c r="G8" s="725"/>
    </row>
    <row r="9">
      <c r="A9" s="721">
        <v>7.0</v>
      </c>
      <c r="B9" s="734" t="s">
        <v>210</v>
      </c>
      <c r="C9" s="725"/>
      <c r="D9" s="725"/>
      <c r="E9" s="732"/>
      <c r="F9" s="723"/>
      <c r="G9" s="725"/>
      <c r="I9" s="977" t="s">
        <v>451</v>
      </c>
      <c r="J9" s="978" t="s">
        <v>452</v>
      </c>
      <c r="K9" s="978" t="s">
        <v>453</v>
      </c>
      <c r="L9" s="978" t="s">
        <v>454</v>
      </c>
      <c r="M9" s="978" t="s">
        <v>455</v>
      </c>
      <c r="N9" s="978" t="s">
        <v>456</v>
      </c>
    </row>
    <row r="10">
      <c r="A10" s="721">
        <v>8.0</v>
      </c>
      <c r="B10" s="734" t="s">
        <v>543</v>
      </c>
      <c r="C10" s="725"/>
      <c r="D10" s="725"/>
      <c r="E10" s="725"/>
      <c r="F10" s="725"/>
      <c r="G10" s="732"/>
      <c r="I10" s="761"/>
      <c r="J10" s="761"/>
      <c r="K10" s="761"/>
      <c r="L10" s="761"/>
      <c r="M10" s="761"/>
      <c r="N10" s="761"/>
    </row>
    <row r="11">
      <c r="A11" s="721">
        <v>9.0</v>
      </c>
      <c r="B11" s="734" t="s">
        <v>532</v>
      </c>
      <c r="C11" s="725"/>
      <c r="D11" s="725"/>
      <c r="E11" s="723"/>
      <c r="F11" s="976"/>
      <c r="G11" s="725"/>
      <c r="I11" s="750" t="s">
        <v>37</v>
      </c>
      <c r="J11" s="753"/>
      <c r="K11" s="727"/>
      <c r="L11" s="763"/>
      <c r="M11" s="753"/>
      <c r="N11" s="753"/>
    </row>
    <row r="12">
      <c r="A12" s="721">
        <v>10.0</v>
      </c>
      <c r="B12" s="734" t="s">
        <v>529</v>
      </c>
      <c r="C12" s="725"/>
      <c r="D12" s="725"/>
      <c r="E12" s="725"/>
      <c r="F12" s="723"/>
      <c r="G12" s="976"/>
      <c r="I12" s="762" t="s">
        <v>464</v>
      </c>
      <c r="J12" s="753"/>
      <c r="K12" s="753"/>
      <c r="L12" s="753"/>
      <c r="M12" s="753"/>
      <c r="N12" s="751"/>
    </row>
    <row r="13">
      <c r="A13" s="721">
        <v>11.0</v>
      </c>
      <c r="B13" s="734" t="s">
        <v>380</v>
      </c>
      <c r="C13" s="725"/>
      <c r="D13" s="725"/>
      <c r="E13" s="723"/>
      <c r="F13" s="976"/>
      <c r="G13" s="725"/>
      <c r="I13" s="750" t="s">
        <v>463</v>
      </c>
      <c r="J13" s="753"/>
      <c r="K13" s="763"/>
      <c r="L13" s="753"/>
      <c r="M13" s="727"/>
      <c r="N13" s="753"/>
    </row>
    <row r="14">
      <c r="A14" s="721">
        <v>12.0</v>
      </c>
      <c r="B14" s="734" t="s">
        <v>126</v>
      </c>
      <c r="C14" s="725"/>
      <c r="D14" s="723"/>
      <c r="E14" s="976"/>
      <c r="F14" s="725"/>
      <c r="G14" s="725"/>
      <c r="I14" s="750" t="s">
        <v>53</v>
      </c>
      <c r="J14" s="753"/>
      <c r="K14" s="753"/>
      <c r="L14" s="753"/>
      <c r="M14" s="753"/>
      <c r="N14" s="751"/>
    </row>
    <row r="15">
      <c r="A15" s="721">
        <v>13.0</v>
      </c>
      <c r="B15" s="734" t="s">
        <v>370</v>
      </c>
      <c r="C15" s="725"/>
      <c r="D15" s="725"/>
      <c r="E15" s="725"/>
      <c r="F15" s="976"/>
      <c r="G15" s="723"/>
      <c r="I15" s="750" t="s">
        <v>327</v>
      </c>
      <c r="J15" s="753"/>
      <c r="K15" s="753"/>
      <c r="L15" s="727"/>
      <c r="M15" s="763"/>
      <c r="N15" s="753"/>
    </row>
    <row r="16">
      <c r="A16" s="721">
        <v>14.0</v>
      </c>
      <c r="B16" s="734" t="s">
        <v>458</v>
      </c>
      <c r="C16" s="725"/>
      <c r="D16" s="725"/>
      <c r="E16" s="725"/>
      <c r="F16" s="976"/>
      <c r="G16" s="723"/>
      <c r="I16" s="750" t="s">
        <v>465</v>
      </c>
      <c r="J16" s="753"/>
      <c r="K16" s="753"/>
      <c r="L16" s="727"/>
      <c r="M16" s="763"/>
      <c r="N16" s="753"/>
    </row>
    <row r="17">
      <c r="A17" s="721">
        <v>15.0</v>
      </c>
      <c r="B17" s="734" t="s">
        <v>531</v>
      </c>
      <c r="C17" s="725"/>
      <c r="D17" s="976"/>
      <c r="E17" s="725"/>
      <c r="F17" s="723"/>
      <c r="G17" s="725"/>
      <c r="I17" s="750" t="s">
        <v>358</v>
      </c>
      <c r="J17" s="753"/>
      <c r="K17" s="727"/>
      <c r="L17" s="763"/>
      <c r="M17" s="753"/>
      <c r="N17" s="753"/>
    </row>
    <row r="18">
      <c r="A18" s="721">
        <v>16.0</v>
      </c>
      <c r="B18" s="734" t="s">
        <v>178</v>
      </c>
      <c r="C18" s="976"/>
      <c r="D18" s="725"/>
      <c r="E18" s="723"/>
      <c r="F18" s="725"/>
      <c r="G18" s="725"/>
      <c r="I18" s="750"/>
      <c r="J18" s="753"/>
      <c r="K18" s="753"/>
      <c r="L18" s="753"/>
      <c r="M18" s="727"/>
      <c r="N18" s="753"/>
    </row>
    <row r="19">
      <c r="A19" s="721">
        <v>17.0</v>
      </c>
      <c r="B19" s="734" t="s">
        <v>160</v>
      </c>
      <c r="C19" s="976"/>
      <c r="D19" s="725"/>
      <c r="E19" s="725"/>
      <c r="F19" s="725"/>
      <c r="G19" s="723"/>
      <c r="I19" s="973" t="s">
        <v>467</v>
      </c>
    </row>
    <row r="20">
      <c r="A20" s="721">
        <v>18.0</v>
      </c>
      <c r="B20" s="734" t="s">
        <v>528</v>
      </c>
      <c r="C20" s="725"/>
      <c r="D20" s="725"/>
      <c r="E20" s="976"/>
      <c r="F20" s="723"/>
      <c r="G20" s="725"/>
    </row>
    <row r="21">
      <c r="A21" s="721">
        <v>19.0</v>
      </c>
      <c r="B21" s="734" t="s">
        <v>544</v>
      </c>
      <c r="C21" s="725"/>
      <c r="D21" s="723"/>
      <c r="E21" s="725"/>
      <c r="F21" s="976"/>
      <c r="G21" s="725"/>
      <c r="I21" s="977" t="s">
        <v>451</v>
      </c>
      <c r="J21" s="978" t="s">
        <v>452</v>
      </c>
      <c r="K21" s="978" t="s">
        <v>453</v>
      </c>
      <c r="L21" s="978" t="s">
        <v>454</v>
      </c>
      <c r="M21" s="978" t="s">
        <v>455</v>
      </c>
      <c r="N21" s="978" t="s">
        <v>456</v>
      </c>
    </row>
    <row r="22">
      <c r="A22" s="721">
        <v>20.0</v>
      </c>
      <c r="B22" s="734" t="s">
        <v>530</v>
      </c>
      <c r="C22" s="725"/>
      <c r="D22" s="723"/>
      <c r="E22" s="725"/>
      <c r="F22" s="725"/>
      <c r="G22" s="976"/>
      <c r="I22" s="761"/>
      <c r="J22" s="761"/>
      <c r="K22" s="761"/>
      <c r="L22" s="761"/>
      <c r="M22" s="761"/>
      <c r="N22" s="761"/>
    </row>
    <row r="23">
      <c r="A23" s="721">
        <v>21.0</v>
      </c>
      <c r="B23" s="734" t="s">
        <v>385</v>
      </c>
      <c r="C23" s="725"/>
      <c r="D23" s="725"/>
      <c r="E23" s="725"/>
      <c r="F23" s="732"/>
      <c r="G23" s="725"/>
      <c r="I23" s="762" t="s">
        <v>64</v>
      </c>
      <c r="J23" s="751"/>
      <c r="K23" s="753"/>
      <c r="L23" s="753"/>
      <c r="M23" s="753"/>
      <c r="N23" s="753"/>
    </row>
    <row r="24">
      <c r="A24" s="721">
        <v>22.0</v>
      </c>
      <c r="B24" s="734" t="s">
        <v>533</v>
      </c>
      <c r="C24" s="725"/>
      <c r="D24" s="976"/>
      <c r="E24" s="725"/>
      <c r="F24" s="725"/>
      <c r="G24" s="723"/>
      <c r="I24" s="762" t="s">
        <v>468</v>
      </c>
      <c r="J24" s="753"/>
      <c r="K24" s="753"/>
      <c r="L24" s="753"/>
      <c r="M24" s="751"/>
      <c r="N24" s="753"/>
    </row>
    <row r="25">
      <c r="A25" s="979"/>
      <c r="B25" s="734"/>
      <c r="C25" s="980"/>
      <c r="D25" s="981"/>
      <c r="E25" s="981"/>
      <c r="F25" s="981"/>
      <c r="G25" s="981"/>
      <c r="I25" s="765" t="s">
        <v>372</v>
      </c>
      <c r="J25" s="753"/>
      <c r="K25" s="753"/>
      <c r="L25" s="753"/>
      <c r="M25" s="753"/>
      <c r="N25" s="751"/>
    </row>
    <row r="26">
      <c r="A26" s="979"/>
      <c r="B26" s="722"/>
      <c r="C26" s="981"/>
      <c r="D26" s="981"/>
      <c r="E26" s="981"/>
      <c r="F26" s="980"/>
      <c r="G26" s="981"/>
      <c r="I26" s="752" t="s">
        <v>381</v>
      </c>
      <c r="J26" s="753"/>
      <c r="K26" s="753"/>
      <c r="L26" s="727"/>
      <c r="M26" s="763"/>
      <c r="N26" s="753"/>
    </row>
    <row r="27">
      <c r="B27" s="741"/>
      <c r="I27" s="752" t="s">
        <v>375</v>
      </c>
      <c r="J27" s="753"/>
      <c r="K27" s="727"/>
      <c r="L27" s="763"/>
      <c r="M27" s="753"/>
      <c r="N27" s="753"/>
    </row>
    <row r="28">
      <c r="B28" s="741"/>
    </row>
    <row r="29">
      <c r="B29" s="741"/>
    </row>
    <row r="30">
      <c r="B30" s="741"/>
    </row>
    <row r="31">
      <c r="B31" s="741"/>
    </row>
    <row r="32">
      <c r="B32" s="741"/>
    </row>
    <row r="33">
      <c r="B33" s="741"/>
    </row>
    <row r="34">
      <c r="B34" s="741"/>
    </row>
    <row r="35">
      <c r="B35" s="741"/>
    </row>
    <row r="36">
      <c r="B36" s="741"/>
    </row>
    <row r="37">
      <c r="B37" s="741"/>
    </row>
    <row r="38">
      <c r="B38" s="741"/>
    </row>
    <row r="39">
      <c r="B39" s="741"/>
    </row>
    <row r="40">
      <c r="B40" s="741"/>
    </row>
    <row r="41">
      <c r="B41" s="741"/>
    </row>
    <row r="42">
      <c r="B42" s="741"/>
    </row>
    <row r="43">
      <c r="B43" s="741"/>
    </row>
    <row r="44">
      <c r="B44" s="741"/>
    </row>
    <row r="45">
      <c r="B45" s="741"/>
    </row>
    <row r="46">
      <c r="B46" s="741"/>
    </row>
    <row r="47">
      <c r="B47" s="741"/>
    </row>
    <row r="48">
      <c r="B48" s="741"/>
    </row>
    <row r="49">
      <c r="B49" s="741"/>
    </row>
    <row r="50">
      <c r="B50" s="741"/>
    </row>
    <row r="51">
      <c r="B51" s="741"/>
    </row>
    <row r="52">
      <c r="B52" s="741"/>
    </row>
    <row r="53">
      <c r="B53" s="741"/>
    </row>
    <row r="54">
      <c r="B54" s="741"/>
    </row>
    <row r="55">
      <c r="B55" s="741"/>
    </row>
    <row r="56">
      <c r="B56" s="741"/>
    </row>
    <row r="57">
      <c r="B57" s="741"/>
    </row>
    <row r="58">
      <c r="B58" s="741"/>
    </row>
    <row r="59">
      <c r="B59" s="741"/>
    </row>
    <row r="60">
      <c r="B60" s="741"/>
    </row>
    <row r="61">
      <c r="B61" s="741"/>
    </row>
    <row r="62">
      <c r="B62" s="741"/>
    </row>
    <row r="63">
      <c r="B63" s="741"/>
    </row>
    <row r="64">
      <c r="B64" s="741"/>
    </row>
    <row r="65">
      <c r="B65" s="741"/>
    </row>
    <row r="66">
      <c r="B66" s="741"/>
    </row>
    <row r="67">
      <c r="B67" s="741"/>
    </row>
    <row r="68">
      <c r="B68" s="741"/>
    </row>
    <row r="69">
      <c r="B69" s="741"/>
    </row>
    <row r="70">
      <c r="B70" s="741"/>
    </row>
    <row r="71">
      <c r="B71" s="741"/>
    </row>
    <row r="72">
      <c r="B72" s="741"/>
    </row>
    <row r="73">
      <c r="B73" s="741"/>
    </row>
    <row r="74">
      <c r="B74" s="741"/>
    </row>
    <row r="75">
      <c r="B75" s="741"/>
    </row>
    <row r="76">
      <c r="B76" s="741"/>
    </row>
    <row r="77">
      <c r="B77" s="741"/>
    </row>
    <row r="78">
      <c r="B78" s="741"/>
    </row>
    <row r="79">
      <c r="B79" s="741"/>
    </row>
    <row r="80">
      <c r="B80" s="741"/>
    </row>
    <row r="81">
      <c r="B81" s="741"/>
    </row>
    <row r="82">
      <c r="B82" s="741"/>
    </row>
    <row r="83">
      <c r="B83" s="741"/>
    </row>
    <row r="84">
      <c r="B84" s="741"/>
    </row>
    <row r="85">
      <c r="B85" s="741"/>
    </row>
    <row r="86">
      <c r="B86" s="741"/>
    </row>
    <row r="87">
      <c r="B87" s="741"/>
    </row>
    <row r="88">
      <c r="B88" s="741"/>
    </row>
    <row r="89">
      <c r="B89" s="741"/>
    </row>
    <row r="90">
      <c r="B90" s="741"/>
    </row>
    <row r="91">
      <c r="B91" s="741"/>
    </row>
    <row r="92">
      <c r="B92" s="741"/>
    </row>
    <row r="93">
      <c r="B93" s="741"/>
    </row>
    <row r="94">
      <c r="B94" s="741"/>
    </row>
    <row r="95">
      <c r="B95" s="741"/>
    </row>
    <row r="96">
      <c r="B96" s="741"/>
    </row>
    <row r="97">
      <c r="B97" s="741"/>
    </row>
    <row r="98">
      <c r="B98" s="741"/>
    </row>
    <row r="99">
      <c r="B99" s="741"/>
    </row>
    <row r="100">
      <c r="B100" s="741"/>
    </row>
    <row r="101">
      <c r="B101" s="741"/>
    </row>
    <row r="102">
      <c r="B102" s="741"/>
    </row>
    <row r="103">
      <c r="B103" s="741"/>
    </row>
    <row r="104">
      <c r="B104" s="741"/>
    </row>
    <row r="105">
      <c r="B105" s="741"/>
    </row>
    <row r="106">
      <c r="B106" s="741"/>
    </row>
    <row r="107">
      <c r="B107" s="741"/>
    </row>
    <row r="108">
      <c r="B108" s="741"/>
    </row>
    <row r="109">
      <c r="B109" s="741"/>
    </row>
    <row r="110">
      <c r="B110" s="741"/>
    </row>
    <row r="111">
      <c r="B111" s="741"/>
    </row>
    <row r="112">
      <c r="B112" s="741"/>
    </row>
    <row r="113">
      <c r="B113" s="741"/>
    </row>
    <row r="114">
      <c r="B114" s="741"/>
    </row>
    <row r="115">
      <c r="B115" s="741"/>
    </row>
    <row r="116">
      <c r="B116" s="741"/>
    </row>
    <row r="117">
      <c r="B117" s="741"/>
    </row>
    <row r="118">
      <c r="B118" s="741"/>
    </row>
    <row r="119">
      <c r="B119" s="741"/>
    </row>
    <row r="120">
      <c r="B120" s="741"/>
    </row>
    <row r="121">
      <c r="B121" s="741"/>
    </row>
    <row r="122">
      <c r="B122" s="741"/>
    </row>
    <row r="123">
      <c r="B123" s="741"/>
    </row>
    <row r="124">
      <c r="B124" s="741"/>
    </row>
    <row r="125">
      <c r="B125" s="741"/>
    </row>
    <row r="126">
      <c r="B126" s="741"/>
    </row>
    <row r="127">
      <c r="B127" s="741"/>
    </row>
    <row r="128">
      <c r="B128" s="741"/>
    </row>
    <row r="129">
      <c r="B129" s="741"/>
    </row>
    <row r="130">
      <c r="B130" s="741"/>
    </row>
    <row r="131">
      <c r="B131" s="741"/>
    </row>
    <row r="132">
      <c r="B132" s="741"/>
    </row>
    <row r="133">
      <c r="B133" s="741"/>
    </row>
    <row r="134">
      <c r="B134" s="741"/>
    </row>
    <row r="135">
      <c r="B135" s="741"/>
    </row>
    <row r="136">
      <c r="B136" s="741"/>
    </row>
    <row r="137">
      <c r="B137" s="741"/>
    </row>
    <row r="138">
      <c r="B138" s="741"/>
    </row>
    <row r="139">
      <c r="B139" s="741"/>
    </row>
    <row r="140">
      <c r="B140" s="741"/>
    </row>
    <row r="141">
      <c r="B141" s="741"/>
    </row>
    <row r="142">
      <c r="B142" s="741"/>
    </row>
    <row r="143">
      <c r="B143" s="741"/>
    </row>
    <row r="144">
      <c r="B144" s="741"/>
    </row>
    <row r="145">
      <c r="B145" s="741"/>
    </row>
    <row r="146">
      <c r="B146" s="741"/>
    </row>
    <row r="147">
      <c r="B147" s="741"/>
    </row>
    <row r="148">
      <c r="B148" s="741"/>
    </row>
    <row r="149">
      <c r="B149" s="741"/>
    </row>
    <row r="150">
      <c r="B150" s="741"/>
    </row>
    <row r="151">
      <c r="B151" s="741"/>
    </row>
    <row r="152">
      <c r="B152" s="741"/>
    </row>
    <row r="153">
      <c r="B153" s="741"/>
    </row>
    <row r="154">
      <c r="B154" s="741"/>
    </row>
    <row r="155">
      <c r="B155" s="741"/>
    </row>
    <row r="156">
      <c r="B156" s="741"/>
    </row>
    <row r="157">
      <c r="B157" s="741"/>
    </row>
    <row r="158">
      <c r="B158" s="741"/>
    </row>
    <row r="159">
      <c r="B159" s="741"/>
    </row>
    <row r="160">
      <c r="B160" s="741"/>
    </row>
    <row r="161">
      <c r="B161" s="741"/>
    </row>
    <row r="162">
      <c r="B162" s="741"/>
    </row>
    <row r="163">
      <c r="B163" s="741"/>
    </row>
    <row r="164">
      <c r="B164" s="741"/>
    </row>
    <row r="165">
      <c r="B165" s="741"/>
    </row>
    <row r="166">
      <c r="B166" s="741"/>
    </row>
    <row r="167">
      <c r="B167" s="741"/>
    </row>
    <row r="168">
      <c r="B168" s="741"/>
    </row>
    <row r="169">
      <c r="B169" s="741"/>
    </row>
    <row r="170">
      <c r="B170" s="741"/>
    </row>
    <row r="171">
      <c r="B171" s="741"/>
    </row>
    <row r="172">
      <c r="B172" s="741"/>
    </row>
    <row r="173">
      <c r="B173" s="741"/>
    </row>
    <row r="174">
      <c r="B174" s="741"/>
    </row>
    <row r="175">
      <c r="B175" s="741"/>
    </row>
    <row r="176">
      <c r="B176" s="741"/>
    </row>
    <row r="177">
      <c r="B177" s="741"/>
    </row>
    <row r="178">
      <c r="B178" s="741"/>
    </row>
    <row r="179">
      <c r="B179" s="741"/>
    </row>
    <row r="180">
      <c r="B180" s="741"/>
    </row>
    <row r="181">
      <c r="B181" s="741"/>
    </row>
    <row r="182">
      <c r="B182" s="741"/>
    </row>
    <row r="183">
      <c r="B183" s="741"/>
    </row>
    <row r="184">
      <c r="B184" s="741"/>
    </row>
    <row r="185">
      <c r="B185" s="741"/>
    </row>
    <row r="186">
      <c r="B186" s="741"/>
    </row>
    <row r="187">
      <c r="B187" s="741"/>
    </row>
    <row r="188">
      <c r="B188" s="741"/>
    </row>
    <row r="189">
      <c r="B189" s="741"/>
    </row>
    <row r="190">
      <c r="B190" s="741"/>
    </row>
    <row r="191">
      <c r="B191" s="741"/>
    </row>
    <row r="192">
      <c r="B192" s="741"/>
    </row>
    <row r="193">
      <c r="B193" s="741"/>
    </row>
    <row r="194">
      <c r="B194" s="741"/>
    </row>
    <row r="195">
      <c r="B195" s="741"/>
    </row>
    <row r="196">
      <c r="B196" s="741"/>
    </row>
    <row r="197">
      <c r="B197" s="741"/>
    </row>
    <row r="198">
      <c r="B198" s="741"/>
    </row>
    <row r="199">
      <c r="B199" s="741"/>
    </row>
    <row r="200">
      <c r="B200" s="741"/>
    </row>
    <row r="201">
      <c r="B201" s="741"/>
    </row>
    <row r="202">
      <c r="B202" s="741"/>
    </row>
    <row r="203">
      <c r="B203" s="741"/>
    </row>
    <row r="204">
      <c r="B204" s="741"/>
    </row>
    <row r="205">
      <c r="B205" s="741"/>
    </row>
    <row r="206">
      <c r="B206" s="741"/>
    </row>
    <row r="207">
      <c r="B207" s="741"/>
    </row>
    <row r="208">
      <c r="B208" s="741"/>
    </row>
    <row r="209">
      <c r="B209" s="741"/>
    </row>
    <row r="210">
      <c r="B210" s="741"/>
    </row>
    <row r="211">
      <c r="B211" s="741"/>
    </row>
    <row r="212">
      <c r="B212" s="741"/>
    </row>
    <row r="213">
      <c r="B213" s="741"/>
    </row>
    <row r="214">
      <c r="B214" s="741"/>
    </row>
    <row r="215">
      <c r="B215" s="741"/>
    </row>
    <row r="216">
      <c r="B216" s="741"/>
    </row>
    <row r="217">
      <c r="B217" s="741"/>
    </row>
    <row r="218">
      <c r="B218" s="741"/>
    </row>
    <row r="219">
      <c r="B219" s="741"/>
    </row>
    <row r="220">
      <c r="B220" s="741"/>
    </row>
    <row r="221">
      <c r="B221" s="741"/>
    </row>
    <row r="222">
      <c r="B222" s="741"/>
    </row>
    <row r="223">
      <c r="B223" s="741"/>
    </row>
    <row r="224">
      <c r="B224" s="741"/>
    </row>
    <row r="225">
      <c r="B225" s="741"/>
    </row>
    <row r="226">
      <c r="B226" s="741"/>
    </row>
    <row r="227">
      <c r="B227" s="741"/>
    </row>
    <row r="228">
      <c r="B228" s="741"/>
    </row>
    <row r="229">
      <c r="B229" s="741"/>
    </row>
    <row r="230">
      <c r="B230" s="741"/>
    </row>
    <row r="231">
      <c r="B231" s="741"/>
    </row>
    <row r="232">
      <c r="B232" s="741"/>
    </row>
    <row r="233">
      <c r="B233" s="741"/>
    </row>
    <row r="234">
      <c r="B234" s="741"/>
    </row>
    <row r="235">
      <c r="B235" s="741"/>
    </row>
    <row r="236">
      <c r="B236" s="741"/>
    </row>
    <row r="237">
      <c r="B237" s="741"/>
    </row>
    <row r="238">
      <c r="B238" s="741"/>
    </row>
    <row r="239">
      <c r="B239" s="741"/>
    </row>
    <row r="240">
      <c r="B240" s="741"/>
    </row>
    <row r="241">
      <c r="B241" s="741"/>
    </row>
    <row r="242">
      <c r="B242" s="741"/>
    </row>
    <row r="243">
      <c r="B243" s="741"/>
    </row>
    <row r="244">
      <c r="B244" s="741"/>
    </row>
    <row r="245">
      <c r="B245" s="741"/>
    </row>
    <row r="246">
      <c r="B246" s="741"/>
    </row>
    <row r="247">
      <c r="B247" s="741"/>
    </row>
    <row r="248">
      <c r="B248" s="741"/>
    </row>
    <row r="249">
      <c r="B249" s="741"/>
    </row>
    <row r="250">
      <c r="B250" s="741"/>
    </row>
    <row r="251">
      <c r="B251" s="741"/>
    </row>
    <row r="252">
      <c r="B252" s="741"/>
    </row>
    <row r="253">
      <c r="B253" s="741"/>
    </row>
    <row r="254">
      <c r="B254" s="741"/>
    </row>
    <row r="255">
      <c r="B255" s="741"/>
    </row>
    <row r="256">
      <c r="B256" s="741"/>
    </row>
    <row r="257">
      <c r="B257" s="741"/>
    </row>
    <row r="258">
      <c r="B258" s="741"/>
    </row>
    <row r="259">
      <c r="B259" s="741"/>
    </row>
    <row r="260">
      <c r="B260" s="741"/>
    </row>
    <row r="261">
      <c r="B261" s="741"/>
    </row>
    <row r="262">
      <c r="B262" s="741"/>
    </row>
    <row r="263">
      <c r="B263" s="741"/>
    </row>
    <row r="264">
      <c r="B264" s="741"/>
    </row>
    <row r="265">
      <c r="B265" s="741"/>
    </row>
    <row r="266">
      <c r="B266" s="741"/>
    </row>
    <row r="267">
      <c r="B267" s="741"/>
    </row>
    <row r="268">
      <c r="B268" s="741"/>
    </row>
    <row r="269">
      <c r="B269" s="741"/>
    </row>
    <row r="270">
      <c r="B270" s="741"/>
    </row>
    <row r="271">
      <c r="B271" s="741"/>
    </row>
    <row r="272">
      <c r="B272" s="741"/>
    </row>
    <row r="273">
      <c r="B273" s="741"/>
    </row>
    <row r="274">
      <c r="B274" s="741"/>
    </row>
    <row r="275">
      <c r="B275" s="741"/>
    </row>
    <row r="276">
      <c r="B276" s="741"/>
    </row>
    <row r="277">
      <c r="B277" s="741"/>
    </row>
    <row r="278">
      <c r="B278" s="741"/>
    </row>
    <row r="279">
      <c r="B279" s="741"/>
    </row>
    <row r="280">
      <c r="B280" s="741"/>
    </row>
    <row r="281">
      <c r="B281" s="741"/>
    </row>
    <row r="282">
      <c r="B282" s="741"/>
    </row>
    <row r="283">
      <c r="B283" s="741"/>
    </row>
    <row r="284">
      <c r="B284" s="741"/>
    </row>
    <row r="285">
      <c r="B285" s="741"/>
    </row>
    <row r="286">
      <c r="B286" s="741"/>
    </row>
    <row r="287">
      <c r="B287" s="741"/>
    </row>
    <row r="288">
      <c r="B288" s="741"/>
    </row>
    <row r="289">
      <c r="B289" s="741"/>
    </row>
    <row r="290">
      <c r="B290" s="741"/>
    </row>
    <row r="291">
      <c r="B291" s="741"/>
    </row>
    <row r="292">
      <c r="B292" s="741"/>
    </row>
    <row r="293">
      <c r="B293" s="741"/>
    </row>
    <row r="294">
      <c r="B294" s="741"/>
    </row>
    <row r="295">
      <c r="B295" s="741"/>
    </row>
    <row r="296">
      <c r="B296" s="741"/>
    </row>
    <row r="297">
      <c r="B297" s="741"/>
    </row>
    <row r="298">
      <c r="B298" s="741"/>
    </row>
    <row r="299">
      <c r="B299" s="741"/>
    </row>
    <row r="300">
      <c r="B300" s="741"/>
    </row>
    <row r="301">
      <c r="B301" s="741"/>
    </row>
    <row r="302">
      <c r="B302" s="741"/>
    </row>
    <row r="303">
      <c r="B303" s="741"/>
    </row>
    <row r="304">
      <c r="B304" s="741"/>
    </row>
    <row r="305">
      <c r="B305" s="741"/>
    </row>
    <row r="306">
      <c r="B306" s="741"/>
    </row>
    <row r="307">
      <c r="B307" s="741"/>
    </row>
    <row r="308">
      <c r="B308" s="741"/>
    </row>
    <row r="309">
      <c r="B309" s="741"/>
    </row>
    <row r="310">
      <c r="B310" s="741"/>
    </row>
    <row r="311">
      <c r="B311" s="741"/>
    </row>
    <row r="312">
      <c r="B312" s="741"/>
    </row>
    <row r="313">
      <c r="B313" s="741"/>
    </row>
    <row r="314">
      <c r="B314" s="741"/>
    </row>
    <row r="315">
      <c r="B315" s="741"/>
    </row>
    <row r="316">
      <c r="B316" s="741"/>
    </row>
    <row r="317">
      <c r="B317" s="741"/>
    </row>
    <row r="318">
      <c r="B318" s="741"/>
    </row>
    <row r="319">
      <c r="B319" s="741"/>
    </row>
    <row r="320">
      <c r="B320" s="741"/>
    </row>
    <row r="321">
      <c r="B321" s="741"/>
    </row>
    <row r="322">
      <c r="B322" s="741"/>
    </row>
    <row r="323">
      <c r="B323" s="741"/>
    </row>
    <row r="324">
      <c r="B324" s="741"/>
    </row>
    <row r="325">
      <c r="B325" s="741"/>
    </row>
    <row r="326">
      <c r="B326" s="741"/>
    </row>
    <row r="327">
      <c r="B327" s="741"/>
    </row>
    <row r="328">
      <c r="B328" s="741"/>
    </row>
    <row r="329">
      <c r="B329" s="741"/>
    </row>
    <row r="330">
      <c r="B330" s="741"/>
    </row>
    <row r="331">
      <c r="B331" s="741"/>
    </row>
    <row r="332">
      <c r="B332" s="741"/>
    </row>
    <row r="333">
      <c r="B333" s="741"/>
    </row>
    <row r="334">
      <c r="B334" s="741"/>
    </row>
    <row r="335">
      <c r="B335" s="741"/>
    </row>
    <row r="336">
      <c r="B336" s="741"/>
    </row>
    <row r="337">
      <c r="B337" s="741"/>
    </row>
    <row r="338">
      <c r="B338" s="741"/>
    </row>
    <row r="339">
      <c r="B339" s="741"/>
    </row>
    <row r="340">
      <c r="B340" s="741"/>
    </row>
    <row r="341">
      <c r="B341" s="741"/>
    </row>
    <row r="342">
      <c r="B342" s="741"/>
    </row>
    <row r="343">
      <c r="B343" s="741"/>
    </row>
    <row r="344">
      <c r="B344" s="741"/>
    </row>
    <row r="345">
      <c r="B345" s="741"/>
    </row>
    <row r="346">
      <c r="B346" s="741"/>
    </row>
    <row r="347">
      <c r="B347" s="741"/>
    </row>
    <row r="348">
      <c r="B348" s="741"/>
    </row>
    <row r="349">
      <c r="B349" s="741"/>
    </row>
    <row r="350">
      <c r="B350" s="741"/>
    </row>
    <row r="351">
      <c r="B351" s="741"/>
    </row>
    <row r="352">
      <c r="B352" s="741"/>
    </row>
    <row r="353">
      <c r="B353" s="741"/>
    </row>
    <row r="354">
      <c r="B354" s="741"/>
    </row>
    <row r="355">
      <c r="B355" s="741"/>
    </row>
    <row r="356">
      <c r="B356" s="741"/>
    </row>
    <row r="357">
      <c r="B357" s="741"/>
    </row>
    <row r="358">
      <c r="B358" s="741"/>
    </row>
    <row r="359">
      <c r="B359" s="741"/>
    </row>
    <row r="360">
      <c r="B360" s="741"/>
    </row>
    <row r="361">
      <c r="B361" s="741"/>
    </row>
    <row r="362">
      <c r="B362" s="741"/>
    </row>
    <row r="363">
      <c r="B363" s="741"/>
    </row>
    <row r="364">
      <c r="B364" s="741"/>
    </row>
    <row r="365">
      <c r="B365" s="741"/>
    </row>
    <row r="366">
      <c r="B366" s="741"/>
    </row>
    <row r="367">
      <c r="B367" s="741"/>
    </row>
    <row r="368">
      <c r="B368" s="741"/>
    </row>
    <row r="369">
      <c r="B369" s="741"/>
    </row>
    <row r="370">
      <c r="B370" s="741"/>
    </row>
    <row r="371">
      <c r="B371" s="741"/>
    </row>
    <row r="372">
      <c r="B372" s="741"/>
    </row>
    <row r="373">
      <c r="B373" s="741"/>
    </row>
    <row r="374">
      <c r="B374" s="741"/>
    </row>
    <row r="375">
      <c r="B375" s="741"/>
    </row>
    <row r="376">
      <c r="B376" s="741"/>
    </row>
    <row r="377">
      <c r="B377" s="741"/>
    </row>
    <row r="378">
      <c r="B378" s="741"/>
    </row>
    <row r="379">
      <c r="B379" s="741"/>
    </row>
    <row r="380">
      <c r="B380" s="741"/>
    </row>
    <row r="381">
      <c r="B381" s="741"/>
    </row>
    <row r="382">
      <c r="B382" s="741"/>
    </row>
    <row r="383">
      <c r="B383" s="741"/>
    </row>
    <row r="384">
      <c r="B384" s="741"/>
    </row>
    <row r="385">
      <c r="B385" s="741"/>
    </row>
    <row r="386">
      <c r="B386" s="741"/>
    </row>
    <row r="387">
      <c r="B387" s="741"/>
    </row>
    <row r="388">
      <c r="B388" s="741"/>
    </row>
    <row r="389">
      <c r="B389" s="741"/>
    </row>
    <row r="390">
      <c r="B390" s="741"/>
    </row>
    <row r="391">
      <c r="B391" s="741"/>
    </row>
    <row r="392">
      <c r="B392" s="741"/>
    </row>
    <row r="393">
      <c r="B393" s="741"/>
    </row>
    <row r="394">
      <c r="B394" s="741"/>
    </row>
    <row r="395">
      <c r="B395" s="741"/>
    </row>
    <row r="396">
      <c r="B396" s="741"/>
    </row>
    <row r="397">
      <c r="B397" s="741"/>
    </row>
    <row r="398">
      <c r="B398" s="741"/>
    </row>
    <row r="399">
      <c r="B399" s="741"/>
    </row>
    <row r="400">
      <c r="B400" s="741"/>
    </row>
    <row r="401">
      <c r="B401" s="741"/>
    </row>
    <row r="402">
      <c r="B402" s="741"/>
    </row>
    <row r="403">
      <c r="B403" s="741"/>
    </row>
    <row r="404">
      <c r="B404" s="741"/>
    </row>
    <row r="405">
      <c r="B405" s="741"/>
    </row>
    <row r="406">
      <c r="B406" s="741"/>
    </row>
    <row r="407">
      <c r="B407" s="741"/>
    </row>
    <row r="408">
      <c r="B408" s="741"/>
    </row>
    <row r="409">
      <c r="B409" s="741"/>
    </row>
    <row r="410">
      <c r="B410" s="741"/>
    </row>
    <row r="411">
      <c r="B411" s="741"/>
    </row>
    <row r="412">
      <c r="B412" s="741"/>
    </row>
    <row r="413">
      <c r="B413" s="741"/>
    </row>
    <row r="414">
      <c r="B414" s="741"/>
    </row>
    <row r="415">
      <c r="B415" s="741"/>
    </row>
    <row r="416">
      <c r="B416" s="741"/>
    </row>
    <row r="417">
      <c r="B417" s="741"/>
    </row>
    <row r="418">
      <c r="B418" s="741"/>
    </row>
    <row r="419">
      <c r="B419" s="741"/>
    </row>
    <row r="420">
      <c r="B420" s="741"/>
    </row>
    <row r="421">
      <c r="B421" s="741"/>
    </row>
    <row r="422">
      <c r="B422" s="741"/>
    </row>
    <row r="423">
      <c r="B423" s="741"/>
    </row>
    <row r="424">
      <c r="B424" s="741"/>
    </row>
    <row r="425">
      <c r="B425" s="741"/>
    </row>
    <row r="426">
      <c r="B426" s="741"/>
    </row>
    <row r="427">
      <c r="B427" s="741"/>
    </row>
    <row r="428">
      <c r="B428" s="741"/>
    </row>
    <row r="429">
      <c r="B429" s="741"/>
    </row>
    <row r="430">
      <c r="B430" s="741"/>
    </row>
    <row r="431">
      <c r="B431" s="741"/>
    </row>
    <row r="432">
      <c r="B432" s="741"/>
    </row>
    <row r="433">
      <c r="B433" s="741"/>
    </row>
    <row r="434">
      <c r="B434" s="741"/>
    </row>
    <row r="435">
      <c r="B435" s="741"/>
    </row>
    <row r="436">
      <c r="B436" s="741"/>
    </row>
    <row r="437">
      <c r="B437" s="741"/>
    </row>
    <row r="438">
      <c r="B438" s="741"/>
    </row>
    <row r="439">
      <c r="B439" s="741"/>
    </row>
    <row r="440">
      <c r="B440" s="741"/>
    </row>
    <row r="441">
      <c r="B441" s="741"/>
    </row>
    <row r="442">
      <c r="B442" s="741"/>
    </row>
    <row r="443">
      <c r="B443" s="741"/>
    </row>
    <row r="444">
      <c r="B444" s="741"/>
    </row>
    <row r="445">
      <c r="B445" s="741"/>
    </row>
    <row r="446">
      <c r="B446" s="741"/>
    </row>
    <row r="447">
      <c r="B447" s="741"/>
    </row>
    <row r="448">
      <c r="B448" s="741"/>
    </row>
    <row r="449">
      <c r="B449" s="741"/>
    </row>
    <row r="450">
      <c r="B450" s="741"/>
    </row>
    <row r="451">
      <c r="B451" s="741"/>
    </row>
    <row r="452">
      <c r="B452" s="741"/>
    </row>
    <row r="453">
      <c r="B453" s="741"/>
    </row>
    <row r="454">
      <c r="B454" s="741"/>
    </row>
    <row r="455">
      <c r="B455" s="741"/>
    </row>
    <row r="456">
      <c r="B456" s="741"/>
    </row>
    <row r="457">
      <c r="B457" s="741"/>
    </row>
    <row r="458">
      <c r="B458" s="741"/>
    </row>
    <row r="459">
      <c r="B459" s="741"/>
    </row>
    <row r="460">
      <c r="B460" s="741"/>
    </row>
    <row r="461">
      <c r="B461" s="741"/>
    </row>
    <row r="462">
      <c r="B462" s="741"/>
    </row>
    <row r="463">
      <c r="B463" s="741"/>
    </row>
    <row r="464">
      <c r="B464" s="741"/>
    </row>
    <row r="465">
      <c r="B465" s="741"/>
    </row>
    <row r="466">
      <c r="B466" s="741"/>
    </row>
    <row r="467">
      <c r="B467" s="741"/>
    </row>
    <row r="468">
      <c r="B468" s="741"/>
    </row>
    <row r="469">
      <c r="B469" s="741"/>
    </row>
    <row r="470">
      <c r="B470" s="741"/>
    </row>
    <row r="471">
      <c r="B471" s="741"/>
    </row>
    <row r="472">
      <c r="B472" s="741"/>
    </row>
    <row r="473">
      <c r="B473" s="741"/>
    </row>
    <row r="474">
      <c r="B474" s="741"/>
    </row>
    <row r="475">
      <c r="B475" s="741"/>
    </row>
    <row r="476">
      <c r="B476" s="741"/>
    </row>
    <row r="477">
      <c r="B477" s="741"/>
    </row>
    <row r="478">
      <c r="B478" s="741"/>
    </row>
    <row r="479">
      <c r="B479" s="741"/>
    </row>
    <row r="480">
      <c r="B480" s="741"/>
    </row>
    <row r="481">
      <c r="B481" s="741"/>
    </row>
    <row r="482">
      <c r="B482" s="741"/>
    </row>
    <row r="483">
      <c r="B483" s="741"/>
    </row>
    <row r="484">
      <c r="B484" s="741"/>
    </row>
    <row r="485">
      <c r="B485" s="741"/>
    </row>
    <row r="486">
      <c r="B486" s="741"/>
    </row>
    <row r="487">
      <c r="B487" s="741"/>
    </row>
    <row r="488">
      <c r="B488" s="741"/>
    </row>
    <row r="489">
      <c r="B489" s="741"/>
    </row>
    <row r="490">
      <c r="B490" s="741"/>
    </row>
    <row r="491">
      <c r="B491" s="741"/>
    </row>
    <row r="492">
      <c r="B492" s="741"/>
    </row>
    <row r="493">
      <c r="B493" s="741"/>
    </row>
    <row r="494">
      <c r="B494" s="741"/>
    </row>
    <row r="495">
      <c r="B495" s="741"/>
    </row>
    <row r="496">
      <c r="B496" s="741"/>
    </row>
    <row r="497">
      <c r="B497" s="741"/>
    </row>
    <row r="498">
      <c r="B498" s="741"/>
    </row>
    <row r="499">
      <c r="B499" s="741"/>
    </row>
    <row r="500">
      <c r="B500" s="741"/>
    </row>
    <row r="501">
      <c r="B501" s="741"/>
    </row>
    <row r="502">
      <c r="B502" s="741"/>
    </row>
    <row r="503">
      <c r="B503" s="741"/>
    </row>
    <row r="504">
      <c r="B504" s="741"/>
    </row>
    <row r="505">
      <c r="B505" s="741"/>
    </row>
    <row r="506">
      <c r="B506" s="741"/>
    </row>
    <row r="507">
      <c r="B507" s="741"/>
    </row>
    <row r="508">
      <c r="B508" s="741"/>
    </row>
    <row r="509">
      <c r="B509" s="741"/>
    </row>
    <row r="510">
      <c r="B510" s="741"/>
    </row>
    <row r="511">
      <c r="B511" s="741"/>
    </row>
    <row r="512">
      <c r="B512" s="741"/>
    </row>
    <row r="513">
      <c r="B513" s="741"/>
    </row>
    <row r="514">
      <c r="B514" s="741"/>
    </row>
    <row r="515">
      <c r="B515" s="741"/>
    </row>
    <row r="516">
      <c r="B516" s="741"/>
    </row>
    <row r="517">
      <c r="B517" s="741"/>
    </row>
    <row r="518">
      <c r="B518" s="741"/>
    </row>
    <row r="519">
      <c r="B519" s="741"/>
    </row>
    <row r="520">
      <c r="B520" s="741"/>
    </row>
    <row r="521">
      <c r="B521" s="741"/>
    </row>
    <row r="522">
      <c r="B522" s="741"/>
    </row>
    <row r="523">
      <c r="B523" s="741"/>
    </row>
    <row r="524">
      <c r="B524" s="741"/>
    </row>
    <row r="525">
      <c r="B525" s="741"/>
    </row>
    <row r="526">
      <c r="B526" s="741"/>
    </row>
    <row r="527">
      <c r="B527" s="741"/>
    </row>
    <row r="528">
      <c r="B528" s="741"/>
    </row>
    <row r="529">
      <c r="B529" s="741"/>
    </row>
    <row r="530">
      <c r="B530" s="741"/>
    </row>
    <row r="531">
      <c r="B531" s="741"/>
    </row>
    <row r="532">
      <c r="B532" s="741"/>
    </row>
    <row r="533">
      <c r="B533" s="741"/>
    </row>
    <row r="534">
      <c r="B534" s="741"/>
    </row>
    <row r="535">
      <c r="B535" s="741"/>
    </row>
    <row r="536">
      <c r="B536" s="741"/>
    </row>
    <row r="537">
      <c r="B537" s="741"/>
    </row>
    <row r="538">
      <c r="B538" s="741"/>
    </row>
    <row r="539">
      <c r="B539" s="741"/>
    </row>
    <row r="540">
      <c r="B540" s="741"/>
    </row>
    <row r="541">
      <c r="B541" s="741"/>
    </row>
    <row r="542">
      <c r="B542" s="741"/>
    </row>
    <row r="543">
      <c r="B543" s="741"/>
    </row>
    <row r="544">
      <c r="B544" s="741"/>
    </row>
    <row r="545">
      <c r="B545" s="741"/>
    </row>
    <row r="546">
      <c r="B546" s="741"/>
    </row>
    <row r="547">
      <c r="B547" s="741"/>
    </row>
    <row r="548">
      <c r="B548" s="741"/>
    </row>
    <row r="549">
      <c r="B549" s="741"/>
    </row>
    <row r="550">
      <c r="B550" s="741"/>
    </row>
    <row r="551">
      <c r="B551" s="741"/>
    </row>
    <row r="552">
      <c r="B552" s="741"/>
    </row>
    <row r="553">
      <c r="B553" s="741"/>
    </row>
    <row r="554">
      <c r="B554" s="741"/>
    </row>
    <row r="555">
      <c r="B555" s="741"/>
    </row>
    <row r="556">
      <c r="B556" s="741"/>
    </row>
    <row r="557">
      <c r="B557" s="741"/>
    </row>
    <row r="558">
      <c r="B558" s="741"/>
    </row>
    <row r="559">
      <c r="B559" s="741"/>
    </row>
    <row r="560">
      <c r="B560" s="741"/>
    </row>
    <row r="561">
      <c r="B561" s="741"/>
    </row>
    <row r="562">
      <c r="B562" s="741"/>
    </row>
    <row r="563">
      <c r="B563" s="741"/>
    </row>
    <row r="564">
      <c r="B564" s="741"/>
    </row>
    <row r="565">
      <c r="B565" s="741"/>
    </row>
    <row r="566">
      <c r="B566" s="741"/>
    </row>
    <row r="567">
      <c r="B567" s="741"/>
    </row>
    <row r="568">
      <c r="B568" s="741"/>
    </row>
    <row r="569">
      <c r="B569" s="741"/>
    </row>
    <row r="570">
      <c r="B570" s="741"/>
    </row>
    <row r="571">
      <c r="B571" s="741"/>
    </row>
    <row r="572">
      <c r="B572" s="741"/>
    </row>
    <row r="573">
      <c r="B573" s="741"/>
    </row>
    <row r="574">
      <c r="B574" s="741"/>
    </row>
    <row r="575">
      <c r="B575" s="741"/>
    </row>
    <row r="576">
      <c r="B576" s="741"/>
    </row>
    <row r="577">
      <c r="B577" s="741"/>
    </row>
    <row r="578">
      <c r="B578" s="741"/>
    </row>
    <row r="579">
      <c r="B579" s="741"/>
    </row>
    <row r="580">
      <c r="B580" s="741"/>
    </row>
    <row r="581">
      <c r="B581" s="741"/>
    </row>
    <row r="582">
      <c r="B582" s="741"/>
    </row>
    <row r="583">
      <c r="B583" s="741"/>
    </row>
    <row r="584">
      <c r="B584" s="741"/>
    </row>
    <row r="585">
      <c r="B585" s="741"/>
    </row>
    <row r="586">
      <c r="B586" s="741"/>
    </row>
    <row r="587">
      <c r="B587" s="741"/>
    </row>
    <row r="588">
      <c r="B588" s="741"/>
    </row>
    <row r="589">
      <c r="B589" s="741"/>
    </row>
    <row r="590">
      <c r="B590" s="741"/>
    </row>
    <row r="591">
      <c r="B591" s="741"/>
    </row>
    <row r="592">
      <c r="B592" s="741"/>
    </row>
    <row r="593">
      <c r="B593" s="741"/>
    </row>
    <row r="594">
      <c r="B594" s="741"/>
    </row>
    <row r="595">
      <c r="B595" s="741"/>
    </row>
    <row r="596">
      <c r="B596" s="741"/>
    </row>
    <row r="597">
      <c r="B597" s="741"/>
    </row>
    <row r="598">
      <c r="B598" s="741"/>
    </row>
    <row r="599">
      <c r="B599" s="741"/>
    </row>
    <row r="600">
      <c r="B600" s="741"/>
    </row>
    <row r="601">
      <c r="B601" s="741"/>
    </row>
    <row r="602">
      <c r="B602" s="741"/>
    </row>
    <row r="603">
      <c r="B603" s="741"/>
    </row>
    <row r="604">
      <c r="B604" s="741"/>
    </row>
    <row r="605">
      <c r="B605" s="741"/>
    </row>
    <row r="606">
      <c r="B606" s="741"/>
    </row>
    <row r="607">
      <c r="B607" s="741"/>
    </row>
    <row r="608">
      <c r="B608" s="741"/>
    </row>
    <row r="609">
      <c r="B609" s="741"/>
    </row>
    <row r="610">
      <c r="B610" s="741"/>
    </row>
    <row r="611">
      <c r="B611" s="741"/>
    </row>
    <row r="612">
      <c r="B612" s="741"/>
    </row>
    <row r="613">
      <c r="B613" s="741"/>
    </row>
    <row r="614">
      <c r="B614" s="741"/>
    </row>
    <row r="615">
      <c r="B615" s="741"/>
    </row>
    <row r="616">
      <c r="B616" s="741"/>
    </row>
    <row r="617">
      <c r="B617" s="741"/>
    </row>
    <row r="618">
      <c r="B618" s="741"/>
    </row>
    <row r="619">
      <c r="B619" s="741"/>
    </row>
    <row r="620">
      <c r="B620" s="741"/>
    </row>
    <row r="621">
      <c r="B621" s="741"/>
    </row>
    <row r="622">
      <c r="B622" s="741"/>
    </row>
    <row r="623">
      <c r="B623" s="741"/>
    </row>
    <row r="624">
      <c r="B624" s="741"/>
    </row>
    <row r="625">
      <c r="B625" s="741"/>
    </row>
    <row r="626">
      <c r="B626" s="741"/>
    </row>
    <row r="627">
      <c r="B627" s="741"/>
    </row>
    <row r="628">
      <c r="B628" s="741"/>
    </row>
    <row r="629">
      <c r="B629" s="741"/>
    </row>
    <row r="630">
      <c r="B630" s="741"/>
    </row>
    <row r="631">
      <c r="B631" s="741"/>
    </row>
    <row r="632">
      <c r="B632" s="741"/>
    </row>
    <row r="633">
      <c r="B633" s="741"/>
    </row>
    <row r="634">
      <c r="B634" s="741"/>
    </row>
    <row r="635">
      <c r="B635" s="741"/>
    </row>
    <row r="636">
      <c r="B636" s="741"/>
    </row>
    <row r="637">
      <c r="B637" s="741"/>
    </row>
    <row r="638">
      <c r="B638" s="741"/>
    </row>
    <row r="639">
      <c r="B639" s="741"/>
    </row>
    <row r="640">
      <c r="B640" s="741"/>
    </row>
    <row r="641">
      <c r="B641" s="741"/>
    </row>
    <row r="642">
      <c r="B642" s="741"/>
    </row>
    <row r="643">
      <c r="B643" s="741"/>
    </row>
    <row r="644">
      <c r="B644" s="741"/>
    </row>
    <row r="645">
      <c r="B645" s="741"/>
    </row>
    <row r="646">
      <c r="B646" s="741"/>
    </row>
    <row r="647">
      <c r="B647" s="741"/>
    </row>
    <row r="648">
      <c r="B648" s="741"/>
    </row>
    <row r="649">
      <c r="B649" s="741"/>
    </row>
    <row r="650">
      <c r="B650" s="741"/>
    </row>
    <row r="651">
      <c r="B651" s="741"/>
    </row>
    <row r="652">
      <c r="B652" s="741"/>
    </row>
    <row r="653">
      <c r="B653" s="741"/>
    </row>
    <row r="654">
      <c r="B654" s="741"/>
    </row>
    <row r="655">
      <c r="B655" s="741"/>
    </row>
    <row r="656">
      <c r="B656" s="741"/>
    </row>
    <row r="657">
      <c r="B657" s="741"/>
    </row>
    <row r="658">
      <c r="B658" s="741"/>
    </row>
    <row r="659">
      <c r="B659" s="741"/>
    </row>
    <row r="660">
      <c r="B660" s="741"/>
    </row>
    <row r="661">
      <c r="B661" s="741"/>
    </row>
    <row r="662">
      <c r="B662" s="741"/>
    </row>
    <row r="663">
      <c r="B663" s="741"/>
    </row>
    <row r="664">
      <c r="B664" s="741"/>
    </row>
    <row r="665">
      <c r="B665" s="741"/>
    </row>
    <row r="666">
      <c r="B666" s="741"/>
    </row>
    <row r="667">
      <c r="B667" s="741"/>
    </row>
    <row r="668">
      <c r="B668" s="741"/>
    </row>
    <row r="669">
      <c r="B669" s="741"/>
    </row>
    <row r="670">
      <c r="B670" s="741"/>
    </row>
    <row r="671">
      <c r="B671" s="741"/>
    </row>
    <row r="672">
      <c r="B672" s="741"/>
    </row>
    <row r="673">
      <c r="B673" s="741"/>
    </row>
    <row r="674">
      <c r="B674" s="741"/>
    </row>
    <row r="675">
      <c r="B675" s="741"/>
    </row>
    <row r="676">
      <c r="B676" s="741"/>
    </row>
    <row r="677">
      <c r="B677" s="741"/>
    </row>
    <row r="678">
      <c r="B678" s="741"/>
    </row>
    <row r="679">
      <c r="B679" s="741"/>
    </row>
    <row r="680">
      <c r="B680" s="741"/>
    </row>
    <row r="681">
      <c r="B681" s="741"/>
    </row>
    <row r="682">
      <c r="B682" s="741"/>
    </row>
    <row r="683">
      <c r="B683" s="741"/>
    </row>
    <row r="684">
      <c r="B684" s="741"/>
    </row>
    <row r="685">
      <c r="B685" s="741"/>
    </row>
    <row r="686">
      <c r="B686" s="741"/>
    </row>
    <row r="687">
      <c r="B687" s="741"/>
    </row>
    <row r="688">
      <c r="B688" s="741"/>
    </row>
    <row r="689">
      <c r="B689" s="741"/>
    </row>
    <row r="690">
      <c r="B690" s="741"/>
    </row>
    <row r="691">
      <c r="B691" s="741"/>
    </row>
    <row r="692">
      <c r="B692" s="741"/>
    </row>
    <row r="693">
      <c r="B693" s="741"/>
    </row>
    <row r="694">
      <c r="B694" s="741"/>
    </row>
    <row r="695">
      <c r="B695" s="741"/>
    </row>
    <row r="696">
      <c r="B696" s="741"/>
    </row>
    <row r="697">
      <c r="B697" s="741"/>
    </row>
    <row r="698">
      <c r="B698" s="741"/>
    </row>
    <row r="699">
      <c r="B699" s="741"/>
    </row>
    <row r="700">
      <c r="B700" s="741"/>
    </row>
    <row r="701">
      <c r="B701" s="741"/>
    </row>
    <row r="702">
      <c r="B702" s="741"/>
    </row>
    <row r="703">
      <c r="B703" s="741"/>
    </row>
    <row r="704">
      <c r="B704" s="741"/>
    </row>
    <row r="705">
      <c r="B705" s="741"/>
    </row>
    <row r="706">
      <c r="B706" s="741"/>
    </row>
    <row r="707">
      <c r="B707" s="741"/>
    </row>
    <row r="708">
      <c r="B708" s="741"/>
    </row>
    <row r="709">
      <c r="B709" s="741"/>
    </row>
    <row r="710">
      <c r="B710" s="741"/>
    </row>
    <row r="711">
      <c r="B711" s="741"/>
    </row>
    <row r="712">
      <c r="B712" s="741"/>
    </row>
    <row r="713">
      <c r="B713" s="741"/>
    </row>
    <row r="714">
      <c r="B714" s="741"/>
    </row>
    <row r="715">
      <c r="B715" s="741"/>
    </row>
    <row r="716">
      <c r="B716" s="741"/>
    </row>
    <row r="717">
      <c r="B717" s="741"/>
    </row>
    <row r="718">
      <c r="B718" s="741"/>
    </row>
    <row r="719">
      <c r="B719" s="741"/>
    </row>
    <row r="720">
      <c r="B720" s="741"/>
    </row>
    <row r="721">
      <c r="B721" s="741"/>
    </row>
    <row r="722">
      <c r="B722" s="741"/>
    </row>
    <row r="723">
      <c r="B723" s="741"/>
    </row>
    <row r="724">
      <c r="B724" s="741"/>
    </row>
    <row r="725">
      <c r="B725" s="741"/>
    </row>
    <row r="726">
      <c r="B726" s="741"/>
    </row>
    <row r="727">
      <c r="B727" s="741"/>
    </row>
    <row r="728">
      <c r="B728" s="741"/>
    </row>
    <row r="729">
      <c r="B729" s="741"/>
    </row>
    <row r="730">
      <c r="B730" s="741"/>
    </row>
    <row r="731">
      <c r="B731" s="741"/>
    </row>
    <row r="732">
      <c r="B732" s="741"/>
    </row>
    <row r="733">
      <c r="B733" s="741"/>
    </row>
    <row r="734">
      <c r="B734" s="741"/>
    </row>
    <row r="735">
      <c r="B735" s="741"/>
    </row>
    <row r="736">
      <c r="B736" s="741"/>
    </row>
    <row r="737">
      <c r="B737" s="741"/>
    </row>
    <row r="738">
      <c r="B738" s="741"/>
    </row>
    <row r="739">
      <c r="B739" s="741"/>
    </row>
    <row r="740">
      <c r="B740" s="741"/>
    </row>
    <row r="741">
      <c r="B741" s="741"/>
    </row>
    <row r="742">
      <c r="B742" s="741"/>
    </row>
    <row r="743">
      <c r="B743" s="741"/>
    </row>
    <row r="744">
      <c r="B744" s="741"/>
    </row>
    <row r="745">
      <c r="B745" s="741"/>
    </row>
    <row r="746">
      <c r="B746" s="741"/>
    </row>
    <row r="747">
      <c r="B747" s="741"/>
    </row>
    <row r="748">
      <c r="B748" s="741"/>
    </row>
    <row r="749">
      <c r="B749" s="741"/>
    </row>
    <row r="750">
      <c r="B750" s="741"/>
    </row>
    <row r="751">
      <c r="B751" s="741"/>
    </row>
    <row r="752">
      <c r="B752" s="741"/>
    </row>
    <row r="753">
      <c r="B753" s="741"/>
    </row>
    <row r="754">
      <c r="B754" s="741"/>
    </row>
    <row r="755">
      <c r="B755" s="741"/>
    </row>
    <row r="756">
      <c r="B756" s="741"/>
    </row>
    <row r="757">
      <c r="B757" s="741"/>
    </row>
    <row r="758">
      <c r="B758" s="741"/>
    </row>
    <row r="759">
      <c r="B759" s="741"/>
    </row>
    <row r="760">
      <c r="B760" s="741"/>
    </row>
    <row r="761">
      <c r="B761" s="741"/>
    </row>
    <row r="762">
      <c r="B762" s="741"/>
    </row>
    <row r="763">
      <c r="B763" s="741"/>
    </row>
    <row r="764">
      <c r="B764" s="741"/>
    </row>
    <row r="765">
      <c r="B765" s="741"/>
    </row>
    <row r="766">
      <c r="B766" s="741"/>
    </row>
    <row r="767">
      <c r="B767" s="741"/>
    </row>
    <row r="768">
      <c r="B768" s="741"/>
    </row>
    <row r="769">
      <c r="B769" s="741"/>
    </row>
    <row r="770">
      <c r="B770" s="741"/>
    </row>
    <row r="771">
      <c r="B771" s="741"/>
    </row>
    <row r="772">
      <c r="B772" s="741"/>
    </row>
    <row r="773">
      <c r="B773" s="741"/>
    </row>
    <row r="774">
      <c r="B774" s="741"/>
    </row>
    <row r="775">
      <c r="B775" s="741"/>
    </row>
    <row r="776">
      <c r="B776" s="741"/>
    </row>
    <row r="777">
      <c r="B777" s="741"/>
    </row>
    <row r="778">
      <c r="B778" s="741"/>
    </row>
    <row r="779">
      <c r="B779" s="741"/>
    </row>
    <row r="780">
      <c r="B780" s="741"/>
    </row>
    <row r="781">
      <c r="B781" s="741"/>
    </row>
    <row r="782">
      <c r="B782" s="741"/>
    </row>
    <row r="783">
      <c r="B783" s="741"/>
    </row>
    <row r="784">
      <c r="B784" s="741"/>
    </row>
    <row r="785">
      <c r="B785" s="741"/>
    </row>
    <row r="786">
      <c r="B786" s="741"/>
    </row>
    <row r="787">
      <c r="B787" s="741"/>
    </row>
    <row r="788">
      <c r="B788" s="741"/>
    </row>
    <row r="789">
      <c r="B789" s="741"/>
    </row>
    <row r="790">
      <c r="B790" s="741"/>
    </row>
    <row r="791">
      <c r="B791" s="741"/>
    </row>
    <row r="792">
      <c r="B792" s="741"/>
    </row>
    <row r="793">
      <c r="B793" s="741"/>
    </row>
    <row r="794">
      <c r="B794" s="741"/>
    </row>
    <row r="795">
      <c r="B795" s="741"/>
    </row>
    <row r="796">
      <c r="B796" s="741"/>
    </row>
    <row r="797">
      <c r="B797" s="741"/>
    </row>
    <row r="798">
      <c r="B798" s="741"/>
    </row>
    <row r="799">
      <c r="B799" s="741"/>
    </row>
    <row r="800">
      <c r="B800" s="741"/>
    </row>
    <row r="801">
      <c r="B801" s="741"/>
    </row>
    <row r="802">
      <c r="B802" s="741"/>
    </row>
    <row r="803">
      <c r="B803" s="741"/>
    </row>
    <row r="804">
      <c r="B804" s="741"/>
    </row>
    <row r="805">
      <c r="B805" s="741"/>
    </row>
    <row r="806">
      <c r="B806" s="741"/>
    </row>
    <row r="807">
      <c r="B807" s="741"/>
    </row>
    <row r="808">
      <c r="B808" s="741"/>
    </row>
    <row r="809">
      <c r="B809" s="741"/>
    </row>
    <row r="810">
      <c r="B810" s="741"/>
    </row>
    <row r="811">
      <c r="B811" s="741"/>
    </row>
    <row r="812">
      <c r="B812" s="741"/>
    </row>
    <row r="813">
      <c r="B813" s="741"/>
    </row>
    <row r="814">
      <c r="B814" s="741"/>
    </row>
    <row r="815">
      <c r="B815" s="741"/>
    </row>
    <row r="816">
      <c r="B816" s="741"/>
    </row>
    <row r="817">
      <c r="B817" s="741"/>
    </row>
    <row r="818">
      <c r="B818" s="741"/>
    </row>
    <row r="819">
      <c r="B819" s="741"/>
    </row>
    <row r="820">
      <c r="B820" s="741"/>
    </row>
    <row r="821">
      <c r="B821" s="741"/>
    </row>
    <row r="822">
      <c r="B822" s="741"/>
    </row>
    <row r="823">
      <c r="B823" s="741"/>
    </row>
    <row r="824">
      <c r="B824" s="741"/>
    </row>
    <row r="825">
      <c r="B825" s="741"/>
    </row>
    <row r="826">
      <c r="B826" s="741"/>
    </row>
    <row r="827">
      <c r="B827" s="741"/>
    </row>
    <row r="828">
      <c r="B828" s="741"/>
    </row>
    <row r="829">
      <c r="B829" s="741"/>
    </row>
    <row r="830">
      <c r="B830" s="741"/>
    </row>
    <row r="831">
      <c r="B831" s="741"/>
    </row>
    <row r="832">
      <c r="B832" s="741"/>
    </row>
    <row r="833">
      <c r="B833" s="741"/>
    </row>
    <row r="834">
      <c r="B834" s="741"/>
    </row>
    <row r="835">
      <c r="B835" s="741"/>
    </row>
    <row r="836">
      <c r="B836" s="741"/>
    </row>
    <row r="837">
      <c r="B837" s="741"/>
    </row>
    <row r="838">
      <c r="B838" s="741"/>
    </row>
    <row r="839">
      <c r="B839" s="741"/>
    </row>
    <row r="840">
      <c r="B840" s="741"/>
    </row>
    <row r="841">
      <c r="B841" s="741"/>
    </row>
    <row r="842">
      <c r="B842" s="741"/>
    </row>
    <row r="843">
      <c r="B843" s="741"/>
    </row>
    <row r="844">
      <c r="B844" s="741"/>
    </row>
    <row r="845">
      <c r="B845" s="741"/>
    </row>
    <row r="846">
      <c r="B846" s="741"/>
    </row>
    <row r="847">
      <c r="B847" s="741"/>
    </row>
    <row r="848">
      <c r="B848" s="741"/>
    </row>
    <row r="849">
      <c r="B849" s="741"/>
    </row>
    <row r="850">
      <c r="B850" s="741"/>
    </row>
    <row r="851">
      <c r="B851" s="741"/>
    </row>
    <row r="852">
      <c r="B852" s="741"/>
    </row>
    <row r="853">
      <c r="B853" s="741"/>
    </row>
    <row r="854">
      <c r="B854" s="741"/>
    </row>
    <row r="855">
      <c r="B855" s="741"/>
    </row>
    <row r="856">
      <c r="B856" s="741"/>
    </row>
    <row r="857">
      <c r="B857" s="741"/>
    </row>
    <row r="858">
      <c r="B858" s="741"/>
    </row>
    <row r="859">
      <c r="B859" s="741"/>
    </row>
    <row r="860">
      <c r="B860" s="741"/>
    </row>
    <row r="861">
      <c r="B861" s="741"/>
    </row>
    <row r="862">
      <c r="B862" s="741"/>
    </row>
    <row r="863">
      <c r="B863" s="741"/>
    </row>
    <row r="864">
      <c r="B864" s="741"/>
    </row>
    <row r="865">
      <c r="B865" s="741"/>
    </row>
    <row r="866">
      <c r="B866" s="741"/>
    </row>
    <row r="867">
      <c r="B867" s="741"/>
    </row>
    <row r="868">
      <c r="B868" s="741"/>
    </row>
    <row r="869">
      <c r="B869" s="741"/>
    </row>
    <row r="870">
      <c r="B870" s="741"/>
    </row>
    <row r="871">
      <c r="B871" s="741"/>
    </row>
    <row r="872">
      <c r="B872" s="741"/>
    </row>
    <row r="873">
      <c r="B873" s="741"/>
    </row>
    <row r="874">
      <c r="B874" s="741"/>
    </row>
    <row r="875">
      <c r="B875" s="741"/>
    </row>
    <row r="876">
      <c r="B876" s="741"/>
    </row>
    <row r="877">
      <c r="B877" s="741"/>
    </row>
    <row r="878">
      <c r="B878" s="741"/>
    </row>
    <row r="879">
      <c r="B879" s="741"/>
    </row>
    <row r="880">
      <c r="B880" s="741"/>
    </row>
    <row r="881">
      <c r="B881" s="741"/>
    </row>
    <row r="882">
      <c r="B882" s="741"/>
    </row>
    <row r="883">
      <c r="B883" s="741"/>
    </row>
    <row r="884">
      <c r="B884" s="741"/>
    </row>
    <row r="885">
      <c r="B885" s="741"/>
    </row>
    <row r="886">
      <c r="B886" s="741"/>
    </row>
    <row r="887">
      <c r="B887" s="741"/>
    </row>
    <row r="888">
      <c r="B888" s="741"/>
    </row>
    <row r="889">
      <c r="B889" s="741"/>
    </row>
    <row r="890">
      <c r="B890" s="741"/>
    </row>
    <row r="891">
      <c r="B891" s="741"/>
    </row>
    <row r="892">
      <c r="B892" s="741"/>
    </row>
    <row r="893">
      <c r="B893" s="741"/>
    </row>
    <row r="894">
      <c r="B894" s="741"/>
    </row>
    <row r="895">
      <c r="B895" s="741"/>
    </row>
    <row r="896">
      <c r="B896" s="741"/>
    </row>
    <row r="897">
      <c r="B897" s="741"/>
    </row>
    <row r="898">
      <c r="B898" s="741"/>
    </row>
    <row r="899">
      <c r="B899" s="741"/>
    </row>
    <row r="900">
      <c r="B900" s="741"/>
    </row>
    <row r="901">
      <c r="B901" s="741"/>
    </row>
    <row r="902">
      <c r="B902" s="741"/>
    </row>
    <row r="903">
      <c r="B903" s="741"/>
    </row>
    <row r="904">
      <c r="B904" s="741"/>
    </row>
    <row r="905">
      <c r="B905" s="741"/>
    </row>
    <row r="906">
      <c r="B906" s="741"/>
    </row>
    <row r="907">
      <c r="B907" s="741"/>
    </row>
    <row r="908">
      <c r="B908" s="741"/>
    </row>
    <row r="909">
      <c r="B909" s="741"/>
    </row>
    <row r="910">
      <c r="B910" s="741"/>
    </row>
    <row r="911">
      <c r="B911" s="741"/>
    </row>
    <row r="912">
      <c r="B912" s="741"/>
    </row>
    <row r="913">
      <c r="B913" s="741"/>
    </row>
    <row r="914">
      <c r="B914" s="741"/>
    </row>
    <row r="915">
      <c r="B915" s="741"/>
    </row>
    <row r="916">
      <c r="B916" s="741"/>
    </row>
    <row r="917">
      <c r="B917" s="741"/>
    </row>
    <row r="918">
      <c r="B918" s="741"/>
    </row>
    <row r="919">
      <c r="B919" s="741"/>
    </row>
    <row r="920">
      <c r="B920" s="741"/>
    </row>
    <row r="921">
      <c r="B921" s="741"/>
    </row>
    <row r="922">
      <c r="B922" s="741"/>
    </row>
    <row r="923">
      <c r="B923" s="741"/>
    </row>
    <row r="924">
      <c r="B924" s="741"/>
    </row>
    <row r="925">
      <c r="B925" s="741"/>
    </row>
    <row r="926">
      <c r="B926" s="741"/>
    </row>
    <row r="927">
      <c r="B927" s="741"/>
    </row>
    <row r="928">
      <c r="B928" s="741"/>
    </row>
    <row r="929">
      <c r="B929" s="741"/>
    </row>
    <row r="930">
      <c r="B930" s="741"/>
    </row>
    <row r="931">
      <c r="B931" s="741"/>
    </row>
    <row r="932">
      <c r="B932" s="741"/>
    </row>
    <row r="933">
      <c r="B933" s="741"/>
    </row>
    <row r="934">
      <c r="B934" s="741"/>
    </row>
    <row r="935">
      <c r="B935" s="741"/>
    </row>
    <row r="936">
      <c r="B936" s="741"/>
    </row>
    <row r="937">
      <c r="B937" s="741"/>
    </row>
    <row r="938">
      <c r="B938" s="741"/>
    </row>
    <row r="939">
      <c r="B939" s="741"/>
    </row>
    <row r="940">
      <c r="B940" s="741"/>
    </row>
    <row r="941">
      <c r="B941" s="741"/>
    </row>
    <row r="942">
      <c r="B942" s="741"/>
    </row>
    <row r="943">
      <c r="B943" s="741"/>
    </row>
    <row r="944">
      <c r="B944" s="741"/>
    </row>
    <row r="945">
      <c r="B945" s="741"/>
    </row>
    <row r="946">
      <c r="B946" s="741"/>
    </row>
    <row r="947">
      <c r="B947" s="741"/>
    </row>
    <row r="948">
      <c r="B948" s="741"/>
    </row>
    <row r="949">
      <c r="B949" s="741"/>
    </row>
    <row r="950">
      <c r="B950" s="741"/>
    </row>
    <row r="951">
      <c r="B951" s="741"/>
    </row>
    <row r="952">
      <c r="B952" s="741"/>
    </row>
    <row r="953">
      <c r="B953" s="741"/>
    </row>
    <row r="954">
      <c r="B954" s="741"/>
    </row>
    <row r="955">
      <c r="B955" s="741"/>
    </row>
    <row r="956">
      <c r="B956" s="741"/>
    </row>
    <row r="957">
      <c r="B957" s="741"/>
    </row>
    <row r="958">
      <c r="B958" s="741"/>
    </row>
    <row r="959">
      <c r="B959" s="741"/>
    </row>
    <row r="960">
      <c r="B960" s="741"/>
    </row>
    <row r="961">
      <c r="B961" s="741"/>
    </row>
    <row r="962">
      <c r="B962" s="741"/>
    </row>
    <row r="963">
      <c r="B963" s="741"/>
    </row>
    <row r="964">
      <c r="B964" s="741"/>
    </row>
    <row r="965">
      <c r="B965" s="741"/>
    </row>
    <row r="966">
      <c r="B966" s="741"/>
    </row>
    <row r="967">
      <c r="B967" s="741"/>
    </row>
    <row r="968">
      <c r="B968" s="741"/>
    </row>
    <row r="969">
      <c r="B969" s="741"/>
    </row>
    <row r="970">
      <c r="B970" s="741"/>
    </row>
    <row r="971">
      <c r="B971" s="741"/>
    </row>
    <row r="972">
      <c r="B972" s="741"/>
    </row>
    <row r="973">
      <c r="B973" s="741"/>
    </row>
    <row r="974">
      <c r="B974" s="741"/>
    </row>
    <row r="975">
      <c r="B975" s="741"/>
    </row>
    <row r="976">
      <c r="B976" s="741"/>
    </row>
    <row r="977">
      <c r="B977" s="741"/>
    </row>
    <row r="978">
      <c r="B978" s="741"/>
    </row>
    <row r="979">
      <c r="B979" s="741"/>
    </row>
    <row r="980">
      <c r="B980" s="741"/>
    </row>
    <row r="981">
      <c r="B981" s="741"/>
    </row>
    <row r="982">
      <c r="B982" s="741"/>
    </row>
    <row r="983">
      <c r="B983" s="741"/>
    </row>
    <row r="984">
      <c r="B984" s="741"/>
    </row>
    <row r="985">
      <c r="B985" s="741"/>
    </row>
    <row r="986">
      <c r="B986" s="741"/>
    </row>
    <row r="987">
      <c r="B987" s="741"/>
    </row>
    <row r="988">
      <c r="B988" s="741"/>
    </row>
    <row r="989">
      <c r="B989" s="741"/>
    </row>
    <row r="990">
      <c r="B990" s="741"/>
    </row>
    <row r="991">
      <c r="B991" s="741"/>
    </row>
    <row r="992">
      <c r="B992" s="741"/>
    </row>
    <row r="993">
      <c r="B993" s="741"/>
    </row>
    <row r="994">
      <c r="B994" s="741"/>
    </row>
    <row r="995">
      <c r="B995" s="741"/>
    </row>
    <row r="996">
      <c r="B996" s="741"/>
    </row>
    <row r="997">
      <c r="B997" s="741"/>
    </row>
    <row r="998">
      <c r="B998" s="741"/>
    </row>
  </sheetData>
  <mergeCells count="16">
    <mergeCell ref="B1:G1"/>
    <mergeCell ref="I1:N1"/>
    <mergeCell ref="I7:N8"/>
    <mergeCell ref="I9:I10"/>
    <mergeCell ref="J9:J10"/>
    <mergeCell ref="K9:K10"/>
    <mergeCell ref="L9:L10"/>
    <mergeCell ref="M21:M22"/>
    <mergeCell ref="N21:N22"/>
    <mergeCell ref="M9:M10"/>
    <mergeCell ref="N9:N10"/>
    <mergeCell ref="I19:N20"/>
    <mergeCell ref="I21:I22"/>
    <mergeCell ref="J21:J22"/>
    <mergeCell ref="K21:K22"/>
    <mergeCell ref="L21:L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2" t="s">
        <v>545</v>
      </c>
      <c r="G1" s="982" t="s">
        <v>546</v>
      </c>
    </row>
    <row r="2">
      <c r="A2" s="983" t="str">
        <f>IFERROR(__xludf.DUMMYFUNCTION("QUERY(Calcul_mensuel!A2:AB1000,""SELECT A,J,AB,X WHERE A ENDS WITH '-GV' ORDER BY X DESC "")"),"#N/A")</f>
        <v>#N/A</v>
      </c>
      <c r="G2" s="983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H2" s="984">
        <f>IFERROR(__xludf.DUMMYFUNCTION("""COMPUTED_VALUE"""),4.821120324928076)</f>
        <v>4.821120325</v>
      </c>
      <c r="I2" s="969" t="str">
        <f>IFERROR(__xludf.DUMMYFUNCTION("""COMPUTED_VALUE"""),"#DIV/0!")</f>
        <v>#DIV/0!</v>
      </c>
      <c r="J2" s="969" t="str">
        <f>IFERROR(__xludf.DUMMYFUNCTION("""COMPUTED_VALUE"""),"#DIV/0!")</f>
        <v>#DIV/0!</v>
      </c>
    </row>
    <row r="3">
      <c r="G3" s="969"/>
      <c r="H3" s="984"/>
      <c r="I3" s="969"/>
      <c r="J3" s="969" t="str">
        <f>IFERROR(__xludf.DUMMYFUNCTION("""COMPUTED_VALUE"""),"#DIV/0!")</f>
        <v>#DIV/0!</v>
      </c>
    </row>
    <row r="4">
      <c r="G4" s="969"/>
      <c r="H4" s="984"/>
      <c r="I4" s="969"/>
      <c r="J4" s="969" t="str">
        <f>IFERROR(__xludf.DUMMYFUNCTION("""COMPUTED_VALUE"""),"#DIV/0!")</f>
        <v>#DIV/0!</v>
      </c>
    </row>
    <row r="5">
      <c r="G5" s="969"/>
      <c r="H5" s="984"/>
      <c r="I5" s="969"/>
      <c r="J5" s="969" t="str">
        <f>IFERROR(__xludf.DUMMYFUNCTION("""COMPUTED_VALUE"""),"#DIV/0!")</f>
        <v>#DIV/0!</v>
      </c>
    </row>
    <row r="6">
      <c r="G6" s="969"/>
      <c r="H6" s="984"/>
      <c r="I6" s="969"/>
      <c r="J6" s="969" t="str">
        <f>IFERROR(__xludf.DUMMYFUNCTION("""COMPUTED_VALUE"""),"#DIV/0!")</f>
        <v>#DIV/0!</v>
      </c>
    </row>
    <row r="7">
      <c r="G7" s="969"/>
      <c r="H7" s="984"/>
      <c r="I7" s="969"/>
      <c r="J7" s="969" t="str">
        <f>IFERROR(__xludf.DUMMYFUNCTION("""COMPUTED_VALUE"""),"#DIV/0!")</f>
        <v>#DIV/0!</v>
      </c>
    </row>
    <row r="8">
      <c r="G8" s="969"/>
      <c r="H8" s="984"/>
      <c r="I8" s="969"/>
      <c r="J8" s="969" t="str">
        <f>IFERROR(__xludf.DUMMYFUNCTION("""COMPUTED_VALUE"""),"#DIV/0!")</f>
        <v>#DIV/0!</v>
      </c>
    </row>
    <row r="9">
      <c r="G9" s="969"/>
      <c r="H9" s="984"/>
      <c r="I9" s="969"/>
      <c r="J9" s="969" t="str">
        <f>IFERROR(__xludf.DUMMYFUNCTION("""COMPUTED_VALUE"""),"#DIV/0!")</f>
        <v>#DIV/0!</v>
      </c>
    </row>
    <row r="10">
      <c r="G10" s="969"/>
      <c r="H10" s="984"/>
      <c r="I10" s="969"/>
      <c r="J10" s="969" t="str">
        <f>IFERROR(__xludf.DUMMYFUNCTION("""COMPUTED_VALUE"""),"#DIV/0!")</f>
        <v>#DIV/0!</v>
      </c>
    </row>
    <row r="11">
      <c r="A11" s="982" t="s">
        <v>547</v>
      </c>
      <c r="G11" s="969"/>
      <c r="H11" s="984"/>
      <c r="I11" s="969"/>
      <c r="J11" s="969" t="str">
        <f>IFERROR(__xludf.DUMMYFUNCTION("""COMPUTED_VALUE"""),"#DIV/0!")</f>
        <v>#DIV/0!</v>
      </c>
    </row>
    <row r="12">
      <c r="A12" s="983" t="str">
        <f>IFERROR(__xludf.DUMMYFUNCTION("QUERY(Calcul_mensuel!A2:AB1000,""SELECT A,J,AB,X WHERE A ENDS WITH '-INSTALL' ORDER BY X DESC "")"),"#N/A")</f>
        <v>#N/A</v>
      </c>
      <c r="G12" s="969"/>
      <c r="H12" s="984"/>
      <c r="I12" s="969"/>
      <c r="J12" s="969" t="str">
        <f>IFERROR(__xludf.DUMMYFUNCTION("""COMPUTED_VALUE"""),"#DIV/0!")</f>
        <v>#DIV/0!</v>
      </c>
    </row>
    <row r="13">
      <c r="G13" s="969"/>
      <c r="H13" s="984"/>
      <c r="I13" s="969"/>
      <c r="J13" s="969" t="str">
        <f>IFERROR(__xludf.DUMMYFUNCTION("""COMPUTED_VALUE"""),"#DIV/0!")</f>
        <v>#DIV/0!</v>
      </c>
    </row>
    <row r="14">
      <c r="G14" s="969"/>
      <c r="H14" s="984"/>
      <c r="I14" s="969"/>
      <c r="J14" s="969" t="str">
        <f>IFERROR(__xludf.DUMMYFUNCTION("""COMPUTED_VALUE"""),"#DIV/0!")</f>
        <v>#DIV/0!</v>
      </c>
    </row>
    <row r="15">
      <c r="G15" s="969"/>
      <c r="H15" s="984"/>
      <c r="I15" s="969"/>
      <c r="J15" s="969" t="str">
        <f>IFERROR(__xludf.DUMMYFUNCTION("""COMPUTED_VALUE"""),"#DIV/0!")</f>
        <v>#DIV/0!</v>
      </c>
    </row>
    <row r="16">
      <c r="G16" s="969"/>
      <c r="H16" s="984"/>
      <c r="I16" s="969"/>
      <c r="J16" s="969" t="str">
        <f>IFERROR(__xludf.DUMMYFUNCTION("""COMPUTED_VALUE"""),"#DIV/0!")</f>
        <v>#DIV/0!</v>
      </c>
    </row>
    <row r="17">
      <c r="G17" s="969"/>
      <c r="H17" s="984"/>
      <c r="I17" s="969"/>
      <c r="J17" s="969" t="str">
        <f>IFERROR(__xludf.DUMMYFUNCTION("""COMPUTED_VALUE"""),"#DIV/0!")</f>
        <v>#DIV/0!</v>
      </c>
    </row>
    <row r="18">
      <c r="A18" s="982" t="s">
        <v>548</v>
      </c>
      <c r="G18" s="969"/>
      <c r="H18" s="984"/>
      <c r="I18" s="969"/>
      <c r="J18" s="969" t="str">
        <f>IFERROR(__xludf.DUMMYFUNCTION("""COMPUTED_VALUE"""),"#DIV/0!")</f>
        <v>#DIV/0!</v>
      </c>
    </row>
    <row r="19">
      <c r="A19" s="983" t="str">
        <f>IFERROR(__xludf.DUMMYFUNCTION("QUERY(Calcul_mensuel!A2:AB1000,""SELECT A,J,AB,X WHERE A ENDS WITH '-MONO' ORDER BY X DESC "")"),"#N/A")</f>
        <v>#N/A</v>
      </c>
      <c r="G19" s="969"/>
      <c r="H19" s="984"/>
      <c r="I19" s="969"/>
      <c r="J19" s="969" t="str">
        <f>IFERROR(__xludf.DUMMYFUNCTION("""COMPUTED_VALUE"""),"#DIV/0!")</f>
        <v>#DIV/0!</v>
      </c>
    </row>
    <row r="20">
      <c r="G20" s="969"/>
      <c r="H20" s="984"/>
      <c r="I20" s="969"/>
      <c r="J20" s="969" t="str">
        <f>IFERROR(__xludf.DUMMYFUNCTION("""COMPUTED_VALUE"""),"#DIV/0!")</f>
        <v>#DIV/0!</v>
      </c>
    </row>
    <row r="21">
      <c r="G21" s="969"/>
      <c r="H21" s="984"/>
      <c r="I21" s="969"/>
      <c r="J21" s="969" t="str">
        <f>IFERROR(__xludf.DUMMYFUNCTION("""COMPUTED_VALUE"""),"#DIV/0!")</f>
        <v>#DIV/0!</v>
      </c>
    </row>
    <row r="22">
      <c r="G22" s="969"/>
      <c r="H22" s="984"/>
      <c r="I22" s="969"/>
      <c r="J22" s="969" t="str">
        <f>IFERROR(__xludf.DUMMYFUNCTION("""COMPUTED_VALUE"""),"#DIV/0!")</f>
        <v>#DIV/0!</v>
      </c>
    </row>
    <row r="23">
      <c r="G23" s="969"/>
      <c r="H23" s="984"/>
      <c r="I23" s="969"/>
      <c r="J23" s="969" t="str">
        <f>IFERROR(__xludf.DUMMYFUNCTION("""COMPUTED_VALUE"""),"#DIV/0!")</f>
        <v>#DIV/0!</v>
      </c>
    </row>
    <row r="24">
      <c r="G24" s="969"/>
      <c r="H24" s="984"/>
      <c r="I24" s="969"/>
      <c r="J24" s="969" t="str">
        <f>IFERROR(__xludf.DUMMYFUNCTION("""COMPUTED_VALUE"""),"#DIV/0!")</f>
        <v>#DIV/0!</v>
      </c>
    </row>
    <row r="25">
      <c r="G25" s="969"/>
      <c r="H25" s="984"/>
      <c r="I25" s="969"/>
      <c r="J25" s="969" t="str">
        <f>IFERROR(__xludf.DUMMYFUNCTION("""COMPUTED_VALUE"""),"#DIV/0!")</f>
        <v>#DIV/0!</v>
      </c>
    </row>
    <row r="26">
      <c r="G26" s="969"/>
      <c r="H26" s="984"/>
      <c r="I26" s="969"/>
      <c r="J26" s="969" t="str">
        <f>IFERROR(__xludf.DUMMYFUNCTION("""COMPUTED_VALUE"""),"#DIV/0!")</f>
        <v>#DIV/0!</v>
      </c>
    </row>
    <row r="27">
      <c r="G27" s="969"/>
      <c r="H27" s="984"/>
      <c r="I27" s="969"/>
      <c r="J27" s="969" t="str">
        <f>IFERROR(__xludf.DUMMYFUNCTION("""COMPUTED_VALUE"""),"#DIV/0!")</f>
        <v>#DIV/0!</v>
      </c>
    </row>
    <row r="28">
      <c r="G28" s="969"/>
      <c r="H28" s="984"/>
      <c r="I28" s="969"/>
      <c r="J28" s="969" t="str">
        <f>IFERROR(__xludf.DUMMYFUNCTION("""COMPUTED_VALUE"""),"#DIV/0!")</f>
        <v>#DIV/0!</v>
      </c>
    </row>
    <row r="29">
      <c r="G29" s="969"/>
      <c r="H29" s="984"/>
      <c r="I29" s="969"/>
      <c r="J29" s="969" t="str">
        <f>IFERROR(__xludf.DUMMYFUNCTION("""COMPUTED_VALUE"""),"#DIV/0!")</f>
        <v>#DIV/0!</v>
      </c>
    </row>
    <row r="30">
      <c r="G30" s="969"/>
      <c r="H30" s="984"/>
      <c r="I30" s="969"/>
      <c r="J30" s="969" t="str">
        <f>IFERROR(__xludf.DUMMYFUNCTION("""COMPUTED_VALUE"""),"#DIV/0!")</f>
        <v>#DIV/0!</v>
      </c>
    </row>
    <row r="31">
      <c r="G31" s="969"/>
      <c r="H31" s="984"/>
      <c r="I31" s="969"/>
      <c r="J31" s="969" t="str">
        <f>IFERROR(__xludf.DUMMYFUNCTION("""COMPUTED_VALUE"""),"#DIV/0!")</f>
        <v>#DIV/0!</v>
      </c>
    </row>
    <row r="32">
      <c r="G32" s="969"/>
      <c r="H32" s="984"/>
      <c r="I32" s="969"/>
      <c r="J32" s="969" t="str">
        <f>IFERROR(__xludf.DUMMYFUNCTION("""COMPUTED_VALUE"""),"#DIV/0!")</f>
        <v>#DIV/0!</v>
      </c>
    </row>
    <row r="33">
      <c r="G33" s="969"/>
      <c r="H33" s="984"/>
      <c r="I33" s="969"/>
      <c r="J33" s="969" t="str">
        <f>IFERROR(__xludf.DUMMYFUNCTION("""COMPUTED_VALUE"""),"#DIV/0!")</f>
        <v>#DIV/0!</v>
      </c>
    </row>
    <row r="34">
      <c r="G34" s="969"/>
      <c r="H34" s="984"/>
      <c r="I34" s="969"/>
      <c r="J34" s="969" t="str">
        <f>IFERROR(__xludf.DUMMYFUNCTION("""COMPUTED_VALUE"""),"#DIV/0!")</f>
        <v>#DIV/0!</v>
      </c>
    </row>
    <row r="35">
      <c r="G35" s="969"/>
      <c r="H35" s="984"/>
      <c r="I35" s="969"/>
      <c r="J35" s="969" t="str">
        <f>IFERROR(__xludf.DUMMYFUNCTION("""COMPUTED_VALUE"""),"#DIV/0!")</f>
        <v>#DIV/0!</v>
      </c>
    </row>
    <row r="36">
      <c r="G36" s="969"/>
      <c r="H36" s="984"/>
      <c r="I36" s="969"/>
      <c r="J36" s="969" t="str">
        <f>IFERROR(__xludf.DUMMYFUNCTION("""COMPUTED_VALUE"""),"#DIV/0!")</f>
        <v>#DIV/0!</v>
      </c>
    </row>
    <row r="37">
      <c r="G37" s="969"/>
      <c r="H37" s="984"/>
      <c r="I37" s="969"/>
      <c r="J37" s="969" t="str">
        <f>IFERROR(__xludf.DUMMYFUNCTION("""COMPUTED_VALUE"""),"#DIV/0!")</f>
        <v>#DIV/0!</v>
      </c>
    </row>
    <row r="38">
      <c r="G38" s="969"/>
      <c r="H38" s="984"/>
      <c r="I38" s="969"/>
      <c r="J38" s="969" t="str">
        <f>IFERROR(__xludf.DUMMYFUNCTION("""COMPUTED_VALUE"""),"#DIV/0!")</f>
        <v>#DIV/0!</v>
      </c>
    </row>
    <row r="39">
      <c r="G39" s="969"/>
      <c r="H39" s="984"/>
      <c r="I39" s="969"/>
      <c r="J39" s="969" t="str">
        <f>IFERROR(__xludf.DUMMYFUNCTION("""COMPUTED_VALUE"""),"#DIV/0!")</f>
        <v>#DIV/0!</v>
      </c>
    </row>
    <row r="40">
      <c r="G40" s="969"/>
      <c r="H40" s="984"/>
      <c r="I40" s="969"/>
      <c r="J40" s="969" t="str">
        <f>IFERROR(__xludf.DUMMYFUNCTION("""COMPUTED_VALUE"""),"#DIV/0!")</f>
        <v>#DIV/0!</v>
      </c>
    </row>
    <row r="41">
      <c r="G41" s="969"/>
      <c r="H41" s="984"/>
      <c r="I41" s="969"/>
      <c r="J41" s="969" t="str">
        <f>IFERROR(__xludf.DUMMYFUNCTION("""COMPUTED_VALUE"""),"#DIV/0!")</f>
        <v>#DIV/0!</v>
      </c>
    </row>
    <row r="42">
      <c r="G42" s="969"/>
      <c r="H42" s="984"/>
      <c r="I42" s="969"/>
      <c r="J42" s="969" t="str">
        <f>IFERROR(__xludf.DUMMYFUNCTION("""COMPUTED_VALUE"""),"#DIV/0!")</f>
        <v>#DIV/0!</v>
      </c>
    </row>
    <row r="43">
      <c r="G43" s="969"/>
      <c r="H43" s="984"/>
      <c r="I43" s="969"/>
      <c r="J43" s="969" t="str">
        <f>IFERROR(__xludf.DUMMYFUNCTION("""COMPUTED_VALUE"""),"#DIV/0!")</f>
        <v>#DIV/0!</v>
      </c>
    </row>
    <row r="44">
      <c r="G44" s="969"/>
      <c r="H44" s="984"/>
      <c r="I44" s="969"/>
      <c r="J44" s="969" t="str">
        <f>IFERROR(__xludf.DUMMYFUNCTION("""COMPUTED_VALUE"""),"#DIV/0!")</f>
        <v>#DIV/0!</v>
      </c>
    </row>
    <row r="45">
      <c r="G45" s="969"/>
      <c r="H45" s="984"/>
      <c r="I45" s="969"/>
      <c r="J45" s="969" t="str">
        <f>IFERROR(__xludf.DUMMYFUNCTION("""COMPUTED_VALUE"""),"#DIV/0!")</f>
        <v>#DIV/0!</v>
      </c>
    </row>
    <row r="46">
      <c r="G46" s="969"/>
      <c r="H46" s="984"/>
      <c r="I46" s="969"/>
      <c r="J46" s="969" t="str">
        <f>IFERROR(__xludf.DUMMYFUNCTION("""COMPUTED_VALUE"""),"#DIV/0!")</f>
        <v>#DIV/0!</v>
      </c>
    </row>
    <row r="47">
      <c r="G47" s="969"/>
      <c r="H47" s="984"/>
      <c r="I47" s="969"/>
      <c r="J47" s="969" t="str">
        <f>IFERROR(__xludf.DUMMYFUNCTION("""COMPUTED_VALUE"""),"#DIV/0!")</f>
        <v>#DIV/0!</v>
      </c>
    </row>
    <row r="48">
      <c r="G48" s="969"/>
      <c r="H48" s="984"/>
      <c r="I48" s="969"/>
      <c r="J48" s="969" t="str">
        <f>IFERROR(__xludf.DUMMYFUNCTION("""COMPUTED_VALUE"""),"#DIV/0!")</f>
        <v>#DIV/0!</v>
      </c>
    </row>
    <row r="49">
      <c r="G49" s="969"/>
      <c r="H49" s="984"/>
      <c r="I49" s="969"/>
      <c r="J49" s="969" t="str">
        <f>IFERROR(__xludf.DUMMYFUNCTION("""COMPUTED_VALUE"""),"#DIV/0!")</f>
        <v>#DIV/0!</v>
      </c>
    </row>
    <row r="50">
      <c r="G50" s="969"/>
      <c r="H50" s="984"/>
      <c r="I50" s="969"/>
      <c r="J50" s="969" t="str">
        <f>IFERROR(__xludf.DUMMYFUNCTION("""COMPUTED_VALUE"""),"#DIV/0!")</f>
        <v>#DIV/0!</v>
      </c>
    </row>
    <row r="51">
      <c r="G51" s="969"/>
      <c r="H51" s="984"/>
      <c r="I51" s="969"/>
      <c r="J51" s="969" t="str">
        <f>IFERROR(__xludf.DUMMYFUNCTION("""COMPUTED_VALUE"""),"#DIV/0!")</f>
        <v>#DIV/0!</v>
      </c>
    </row>
    <row r="52">
      <c r="G52" s="969"/>
      <c r="H52" s="984"/>
      <c r="I52" s="969"/>
      <c r="J52" s="969" t="str">
        <f>IFERROR(__xludf.DUMMYFUNCTION("""COMPUTED_VALUE"""),"#DIV/0!")</f>
        <v>#DIV/0!</v>
      </c>
    </row>
    <row r="53">
      <c r="G53" s="969"/>
      <c r="H53" s="984"/>
      <c r="I53" s="969"/>
      <c r="J53" s="969" t="str">
        <f>IFERROR(__xludf.DUMMYFUNCTION("""COMPUTED_VALUE"""),"#DIV/0!")</f>
        <v>#DIV/0!</v>
      </c>
    </row>
    <row r="54">
      <c r="G54" s="969"/>
      <c r="H54" s="984"/>
      <c r="I54" s="969"/>
      <c r="J54" s="969"/>
    </row>
    <row r="55">
      <c r="G55" s="969"/>
      <c r="H55" s="984"/>
      <c r="I55" s="969"/>
      <c r="J55" s="969"/>
    </row>
    <row r="56">
      <c r="G56" s="969"/>
      <c r="H56" s="984"/>
      <c r="I56" s="969"/>
      <c r="J56" s="969"/>
    </row>
    <row r="57">
      <c r="G57" s="969"/>
      <c r="H57" s="984"/>
      <c r="I57" s="969"/>
      <c r="J57" s="969"/>
    </row>
    <row r="58">
      <c r="G58" s="969"/>
      <c r="H58" s="984"/>
      <c r="I58" s="969"/>
      <c r="J58" s="969"/>
    </row>
    <row r="59">
      <c r="G59" s="969"/>
      <c r="H59" s="984"/>
      <c r="I59" s="969"/>
      <c r="J59" s="969"/>
    </row>
    <row r="60">
      <c r="G60" s="969"/>
      <c r="H60" s="984"/>
      <c r="I60" s="969"/>
      <c r="J60" s="969"/>
    </row>
    <row r="61">
      <c r="G61" s="969"/>
      <c r="H61" s="984"/>
      <c r="I61" s="969"/>
      <c r="J61" s="969"/>
    </row>
    <row r="62">
      <c r="G62" s="969"/>
      <c r="H62" s="984"/>
      <c r="I62" s="969"/>
      <c r="J62" s="969"/>
    </row>
    <row r="63">
      <c r="G63" s="969"/>
      <c r="H63" s="984"/>
      <c r="I63" s="969"/>
      <c r="J63" s="969"/>
    </row>
    <row r="64">
      <c r="G64" s="969"/>
      <c r="H64" s="984"/>
      <c r="I64" s="969"/>
      <c r="J64" s="969"/>
    </row>
    <row r="65">
      <c r="G65" s="969"/>
      <c r="H65" s="984"/>
      <c r="I65" s="969"/>
      <c r="J65" s="969"/>
    </row>
    <row r="66">
      <c r="G66" s="969"/>
      <c r="H66" s="984"/>
      <c r="I66" s="969"/>
      <c r="J66" s="969"/>
    </row>
    <row r="67">
      <c r="G67" s="969"/>
      <c r="H67" s="984"/>
      <c r="I67" s="969"/>
      <c r="J67" s="969"/>
    </row>
    <row r="68">
      <c r="G68" s="969"/>
      <c r="H68" s="984"/>
      <c r="I68" s="969"/>
      <c r="J68" s="969"/>
    </row>
    <row r="69">
      <c r="G69" s="969"/>
      <c r="H69" s="984"/>
      <c r="I69" s="969"/>
      <c r="J69" s="969"/>
    </row>
    <row r="70">
      <c r="G70" s="969"/>
      <c r="H70" s="984"/>
      <c r="I70" s="969"/>
      <c r="J70" s="969"/>
    </row>
    <row r="71">
      <c r="G71" s="969"/>
      <c r="H71" s="984"/>
      <c r="I71" s="969"/>
      <c r="J71" s="969"/>
    </row>
    <row r="72">
      <c r="G72" s="969"/>
      <c r="H72" s="984"/>
      <c r="I72" s="969"/>
      <c r="J72" s="969"/>
    </row>
    <row r="73">
      <c r="G73" s="969"/>
      <c r="H73" s="984"/>
      <c r="I73" s="969"/>
      <c r="J73" s="969"/>
    </row>
    <row r="74">
      <c r="G74" s="969"/>
      <c r="H74" s="984"/>
      <c r="I74" s="969"/>
      <c r="J74" s="969"/>
    </row>
    <row r="75">
      <c r="G75" s="969"/>
      <c r="H75" s="984"/>
      <c r="I75" s="969"/>
      <c r="J75" s="969"/>
    </row>
    <row r="76">
      <c r="G76" s="969"/>
      <c r="H76" s="984"/>
      <c r="I76" s="969"/>
      <c r="J76" s="969"/>
    </row>
    <row r="77">
      <c r="G77" s="969"/>
      <c r="H77" s="984"/>
      <c r="I77" s="969"/>
      <c r="J77" s="969"/>
    </row>
    <row r="78">
      <c r="G78" s="969"/>
      <c r="H78" s="984"/>
      <c r="I78" s="969"/>
      <c r="J78" s="969"/>
    </row>
    <row r="79">
      <c r="G79" s="969"/>
      <c r="H79" s="984"/>
      <c r="I79" s="969"/>
      <c r="J79" s="969"/>
    </row>
    <row r="80">
      <c r="G80" s="969"/>
      <c r="H80" s="984"/>
      <c r="I80" s="969"/>
      <c r="J80" s="969"/>
    </row>
    <row r="81">
      <c r="G81" s="969"/>
      <c r="H81" s="984"/>
      <c r="I81" s="969"/>
      <c r="J81" s="969"/>
    </row>
    <row r="82">
      <c r="G82" s="969"/>
      <c r="H82" s="984"/>
      <c r="I82" s="969"/>
      <c r="J82" s="969"/>
    </row>
    <row r="83">
      <c r="G83" s="969"/>
      <c r="H83" s="984"/>
      <c r="I83" s="969"/>
      <c r="J83" s="969"/>
    </row>
    <row r="84">
      <c r="G84" s="969"/>
      <c r="H84" s="984"/>
      <c r="I84" s="969"/>
      <c r="J84" s="969"/>
    </row>
    <row r="85">
      <c r="G85" s="969"/>
      <c r="H85" s="984"/>
      <c r="I85" s="969"/>
      <c r="J85" s="969"/>
    </row>
    <row r="86">
      <c r="G86" s="969"/>
      <c r="H86" s="984"/>
      <c r="I86" s="969"/>
      <c r="J86" s="969"/>
    </row>
    <row r="87">
      <c r="G87" s="969"/>
      <c r="H87" s="984"/>
      <c r="I87" s="969"/>
      <c r="J87" s="969"/>
    </row>
    <row r="88">
      <c r="G88" s="969"/>
      <c r="H88" s="984"/>
      <c r="I88" s="969"/>
      <c r="J88" s="969"/>
    </row>
    <row r="89">
      <c r="G89" s="969"/>
      <c r="H89" s="984"/>
      <c r="I89" s="969"/>
      <c r="J89" s="969"/>
    </row>
    <row r="90">
      <c r="G90" s="969"/>
      <c r="H90" s="984"/>
      <c r="I90" s="969"/>
      <c r="J90" s="969"/>
    </row>
    <row r="91">
      <c r="G91" s="969"/>
      <c r="H91" s="984"/>
      <c r="I91" s="969"/>
      <c r="J91" s="969"/>
    </row>
    <row r="92">
      <c r="G92" s="969"/>
      <c r="H92" s="984"/>
      <c r="I92" s="969"/>
      <c r="J92" s="969"/>
    </row>
    <row r="93">
      <c r="G93" s="969"/>
      <c r="H93" s="984"/>
      <c r="I93" s="969"/>
      <c r="J93" s="969"/>
    </row>
    <row r="94">
      <c r="G94" s="969"/>
      <c r="H94" s="984"/>
      <c r="I94" s="969"/>
      <c r="J94" s="969"/>
    </row>
    <row r="95">
      <c r="G95" s="969"/>
      <c r="H95" s="984"/>
      <c r="I95" s="969"/>
      <c r="J95" s="969"/>
    </row>
    <row r="96">
      <c r="G96" s="969"/>
      <c r="H96" s="984"/>
      <c r="I96" s="969"/>
      <c r="J96" s="969"/>
    </row>
    <row r="97">
      <c r="G97" s="969"/>
      <c r="H97" s="984"/>
      <c r="I97" s="969"/>
      <c r="J97" s="969"/>
    </row>
    <row r="98">
      <c r="G98" s="969"/>
      <c r="H98" s="984"/>
      <c r="I98" s="969"/>
      <c r="J98" s="969"/>
    </row>
    <row r="99">
      <c r="G99" s="969"/>
      <c r="H99" s="984"/>
      <c r="I99" s="969"/>
      <c r="J99" s="969"/>
    </row>
    <row r="100">
      <c r="G100" s="969"/>
      <c r="H100" s="984"/>
      <c r="I100" s="969"/>
      <c r="J100" s="969"/>
    </row>
    <row r="101">
      <c r="G101" s="969"/>
      <c r="H101" s="984"/>
      <c r="I101" s="969"/>
      <c r="J101" s="969"/>
    </row>
  </sheetData>
  <mergeCells count="4">
    <mergeCell ref="A1:D1"/>
    <mergeCell ref="G1:J1"/>
    <mergeCell ref="A11:D11"/>
    <mergeCell ref="A18:D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85" t="s">
        <v>390</v>
      </c>
      <c r="B1" s="986" t="s">
        <v>549</v>
      </c>
      <c r="C1" s="986" t="s">
        <v>550</v>
      </c>
      <c r="D1" s="987" t="s">
        <v>551</v>
      </c>
      <c r="E1" s="987" t="s">
        <v>395</v>
      </c>
    </row>
    <row r="2">
      <c r="A2" s="988" t="str">
        <f>IFERROR(__xludf.DUMMYFUNCTION("QUERY(Calcul_mensuel!A2:AB1000,""SELECT A,J,AB,X WHERE A ENDS WITH '-GV' ORDER BY X DESC "")"),"#N/A")</f>
        <v>#N/A</v>
      </c>
      <c r="B2" s="989"/>
      <c r="C2" s="989"/>
      <c r="D2" s="989"/>
      <c r="E2" s="989" t="str">
        <f t="shared" ref="E2:E9" si="1">RANK(D2,D$2:D$9,0)</f>
        <v>#N/A</v>
      </c>
    </row>
    <row r="3">
      <c r="A3" s="990"/>
      <c r="B3" s="989"/>
      <c r="C3" s="989"/>
      <c r="D3" s="989"/>
      <c r="E3" s="989" t="str">
        <f t="shared" si="1"/>
        <v>#N/A</v>
      </c>
    </row>
    <row r="4">
      <c r="A4" s="990"/>
      <c r="B4" s="989"/>
      <c r="C4" s="989"/>
      <c r="D4" s="989"/>
      <c r="E4" s="989" t="str">
        <f t="shared" si="1"/>
        <v>#N/A</v>
      </c>
    </row>
    <row r="5">
      <c r="A5" s="990"/>
      <c r="B5" s="989"/>
      <c r="C5" s="989"/>
      <c r="D5" s="989"/>
      <c r="E5" s="989" t="str">
        <f t="shared" si="1"/>
        <v>#N/A</v>
      </c>
    </row>
    <row r="6">
      <c r="A6" s="990"/>
      <c r="B6" s="989"/>
      <c r="C6" s="989"/>
      <c r="D6" s="989"/>
      <c r="E6" s="989" t="str">
        <f t="shared" si="1"/>
        <v>#N/A</v>
      </c>
    </row>
    <row r="7">
      <c r="A7" s="990"/>
      <c r="B7" s="989"/>
      <c r="C7" s="989"/>
      <c r="D7" s="989"/>
      <c r="E7" s="989" t="str">
        <f t="shared" si="1"/>
        <v>#N/A</v>
      </c>
    </row>
    <row r="8">
      <c r="A8" s="990"/>
      <c r="B8" s="989"/>
      <c r="C8" s="989"/>
      <c r="D8" s="989"/>
      <c r="E8" s="989" t="str">
        <f t="shared" si="1"/>
        <v>#N/A</v>
      </c>
    </row>
    <row r="9">
      <c r="A9" s="990"/>
      <c r="B9" s="989"/>
      <c r="C9" s="989"/>
      <c r="D9" s="989"/>
      <c r="E9" s="989" t="str">
        <f t="shared" si="1"/>
        <v>#N/A</v>
      </c>
    </row>
    <row r="14">
      <c r="A14" s="991"/>
      <c r="B14" s="992"/>
      <c r="C14" s="992"/>
      <c r="D14" s="992"/>
      <c r="E14" s="992"/>
      <c r="F14" s="992"/>
      <c r="G14" s="992"/>
    </row>
    <row r="15">
      <c r="A15" s="988"/>
      <c r="B15" s="993"/>
      <c r="C15" s="993"/>
      <c r="D15" s="993"/>
      <c r="E15" s="993"/>
      <c r="F15" s="717"/>
      <c r="G15" s="717"/>
    </row>
    <row r="16">
      <c r="A16" s="994"/>
      <c r="B16" s="993"/>
      <c r="C16" s="993"/>
      <c r="D16" s="993"/>
      <c r="E16" s="993"/>
      <c r="F16" s="717"/>
      <c r="G16" s="717"/>
    </row>
    <row r="17">
      <c r="A17" s="994"/>
      <c r="B17" s="993"/>
      <c r="C17" s="993"/>
      <c r="D17" s="993"/>
      <c r="E17" s="993"/>
      <c r="F17" s="717"/>
      <c r="G17" s="717"/>
    </row>
    <row r="18">
      <c r="A18" s="994"/>
      <c r="B18" s="993"/>
      <c r="C18" s="993"/>
      <c r="D18" s="993"/>
      <c r="E18" s="993"/>
      <c r="F18" s="717"/>
      <c r="G18" s="717"/>
    </row>
    <row r="19">
      <c r="A19" s="994"/>
      <c r="B19" s="993"/>
      <c r="C19" s="993"/>
      <c r="D19" s="993"/>
      <c r="E19" s="993"/>
      <c r="F19" s="717"/>
      <c r="G19" s="717"/>
    </row>
    <row r="20">
      <c r="A20" s="994"/>
      <c r="B20" s="993"/>
      <c r="C20" s="993"/>
      <c r="D20" s="993"/>
      <c r="E20" s="993"/>
      <c r="F20" s="717"/>
      <c r="G20" s="717"/>
    </row>
    <row r="21">
      <c r="A21" s="994"/>
      <c r="B21" s="993"/>
      <c r="C21" s="993"/>
      <c r="D21" s="993"/>
      <c r="E21" s="993"/>
      <c r="F21" s="717"/>
      <c r="G21" s="717"/>
    </row>
    <row r="22">
      <c r="A22" s="994"/>
      <c r="B22" s="993"/>
      <c r="C22" s="993"/>
      <c r="D22" s="993"/>
      <c r="E22" s="993"/>
      <c r="F22" s="717"/>
      <c r="G22" s="717"/>
    </row>
    <row r="23">
      <c r="A23" s="717"/>
      <c r="B23" s="717"/>
      <c r="C23" s="717"/>
      <c r="D23" s="717"/>
      <c r="E23" s="717"/>
      <c r="F23" s="717"/>
      <c r="G23" s="717"/>
    </row>
    <row r="24">
      <c r="A24" s="717"/>
      <c r="B24" s="717"/>
      <c r="C24" s="717"/>
      <c r="D24" s="717"/>
      <c r="E24" s="717"/>
      <c r="F24" s="717"/>
      <c r="G24" s="7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95" t="s">
        <v>390</v>
      </c>
      <c r="B1" s="996" t="s">
        <v>552</v>
      </c>
      <c r="C1" s="996" t="s">
        <v>394</v>
      </c>
      <c r="D1" s="996" t="s">
        <v>393</v>
      </c>
      <c r="E1" s="996" t="s">
        <v>553</v>
      </c>
      <c r="F1" s="996" t="s">
        <v>402</v>
      </c>
      <c r="G1" s="996" t="s">
        <v>395</v>
      </c>
    </row>
    <row r="2">
      <c r="A2" s="988" t="str">
        <f>IFERROR(__xludf.DUMMYFUNCTION("QUERY(Calcul_mensuel!A2:AE1000,""SELECT A,F,AE,AD,AC,E WHERE A ENDS WITH '-GV' ORDER BY E DESC "")"),"#N/A")</f>
        <v>#N/A</v>
      </c>
      <c r="B2" s="989"/>
      <c r="C2" s="989"/>
      <c r="D2" s="989"/>
      <c r="E2" s="989"/>
      <c r="G2" s="969" t="str">
        <f t="shared" ref="G2:G9" si="1">RANK(F2,F$2:F$10,0)</f>
        <v>#N/A</v>
      </c>
    </row>
    <row r="3">
      <c r="A3" s="990"/>
      <c r="B3" s="989"/>
      <c r="C3" s="989"/>
      <c r="D3" s="989"/>
      <c r="E3" s="989"/>
      <c r="G3" s="969" t="str">
        <f t="shared" si="1"/>
        <v>#N/A</v>
      </c>
    </row>
    <row r="4">
      <c r="A4" s="990"/>
      <c r="B4" s="989"/>
      <c r="C4" s="989"/>
      <c r="D4" s="989"/>
      <c r="E4" s="989"/>
      <c r="G4" s="969" t="str">
        <f t="shared" si="1"/>
        <v>#N/A</v>
      </c>
    </row>
    <row r="5">
      <c r="A5" s="990"/>
      <c r="B5" s="989"/>
      <c r="C5" s="989"/>
      <c r="D5" s="989"/>
      <c r="E5" s="989"/>
      <c r="G5" s="969" t="str">
        <f t="shared" si="1"/>
        <v>#N/A</v>
      </c>
    </row>
    <row r="6">
      <c r="A6" s="990"/>
      <c r="B6" s="989"/>
      <c r="C6" s="989"/>
      <c r="D6" s="989"/>
      <c r="E6" s="989"/>
      <c r="G6" s="969" t="str">
        <f t="shared" si="1"/>
        <v>#N/A</v>
      </c>
    </row>
    <row r="7">
      <c r="A7" s="990"/>
      <c r="B7" s="989"/>
      <c r="C7" s="989"/>
      <c r="D7" s="989"/>
      <c r="E7" s="989"/>
      <c r="G7" s="969" t="str">
        <f t="shared" si="1"/>
        <v>#N/A</v>
      </c>
    </row>
    <row r="8">
      <c r="A8" s="990"/>
      <c r="B8" s="989"/>
      <c r="C8" s="989"/>
      <c r="D8" s="989"/>
      <c r="E8" s="989"/>
      <c r="G8" s="969" t="str">
        <f t="shared" si="1"/>
        <v>#N/A</v>
      </c>
    </row>
    <row r="9">
      <c r="A9" s="990"/>
      <c r="B9" s="989"/>
      <c r="C9" s="989"/>
      <c r="D9" s="989"/>
      <c r="E9" s="989"/>
      <c r="G9" s="969" t="str">
        <f t="shared" si="1"/>
        <v>#N/A</v>
      </c>
    </row>
    <row r="14">
      <c r="A14" s="991"/>
      <c r="B14" s="992"/>
      <c r="C14" s="992"/>
      <c r="D14" s="992"/>
      <c r="E14" s="992"/>
      <c r="F14" s="992"/>
      <c r="G14" s="992"/>
    </row>
    <row r="15">
      <c r="A15" s="988"/>
      <c r="B15" s="993"/>
      <c r="C15" s="993"/>
      <c r="D15" s="993"/>
      <c r="E15" s="993"/>
      <c r="F15" s="717"/>
      <c r="G15" s="717"/>
    </row>
    <row r="16">
      <c r="A16" s="994"/>
      <c r="B16" s="993"/>
      <c r="C16" s="993"/>
      <c r="D16" s="993"/>
      <c r="E16" s="993"/>
      <c r="F16" s="717"/>
      <c r="G16" s="717"/>
    </row>
    <row r="17">
      <c r="A17" s="994"/>
      <c r="B17" s="993"/>
      <c r="C17" s="993"/>
      <c r="D17" s="993"/>
      <c r="E17" s="993"/>
      <c r="F17" s="717"/>
      <c r="G17" s="717"/>
    </row>
    <row r="18">
      <c r="A18" s="994"/>
      <c r="B18" s="993"/>
      <c r="C18" s="993"/>
      <c r="D18" s="993"/>
      <c r="E18" s="993"/>
      <c r="F18" s="717"/>
      <c r="G18" s="717"/>
    </row>
    <row r="19">
      <c r="A19" s="994"/>
      <c r="B19" s="993"/>
      <c r="C19" s="993"/>
      <c r="D19" s="993"/>
      <c r="E19" s="993"/>
      <c r="F19" s="717"/>
      <c r="G19" s="717"/>
    </row>
    <row r="20">
      <c r="A20" s="994"/>
      <c r="B20" s="993"/>
      <c r="C20" s="993"/>
      <c r="D20" s="993"/>
      <c r="E20" s="993"/>
      <c r="F20" s="717"/>
      <c r="G20" s="717"/>
    </row>
    <row r="21">
      <c r="A21" s="994"/>
      <c r="B21" s="993"/>
      <c r="C21" s="993"/>
      <c r="D21" s="993"/>
      <c r="E21" s="993"/>
      <c r="F21" s="717"/>
      <c r="G21" s="717"/>
    </row>
    <row r="22">
      <c r="A22" s="994"/>
      <c r="B22" s="993"/>
      <c r="C22" s="993"/>
      <c r="D22" s="993"/>
      <c r="E22" s="993"/>
      <c r="F22" s="717"/>
      <c r="G22" s="717"/>
    </row>
    <row r="23">
      <c r="A23" s="717"/>
      <c r="B23" s="717"/>
      <c r="C23" s="717"/>
      <c r="D23" s="717"/>
      <c r="E23" s="717"/>
      <c r="F23" s="717"/>
      <c r="G23" s="7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97" t="s">
        <v>390</v>
      </c>
      <c r="B1" s="998" t="s">
        <v>549</v>
      </c>
      <c r="C1" s="998" t="s">
        <v>550</v>
      </c>
      <c r="D1" s="998" t="s">
        <v>551</v>
      </c>
      <c r="E1" s="999" t="s">
        <v>395</v>
      </c>
    </row>
    <row r="2">
      <c r="A2" s="983" t="str">
        <f>IFERROR(__xludf.DUMMYFUNCTION("QUERY(Calcul_mensuel!A2:AB1000,""SELECT A,J,AB,X WHERE A ENDS WITH '-MONO' ORDER BY X DESC "")"),"#N/A")</f>
        <v>#N/A</v>
      </c>
      <c r="E2" s="983" t="str">
        <f>RANK(D2,D$2:D$6,0)</f>
        <v>#N/A</v>
      </c>
    </row>
    <row r="3">
      <c r="E3" s="983" t="str">
        <f t="shared" ref="E3:E7" si="1">RANK(D3,D$2:D$9,0)</f>
        <v>#N/A</v>
      </c>
    </row>
    <row r="4">
      <c r="E4" s="983" t="str">
        <f t="shared" si="1"/>
        <v>#N/A</v>
      </c>
    </row>
    <row r="5">
      <c r="E5" s="983" t="str">
        <f t="shared" si="1"/>
        <v>#N/A</v>
      </c>
    </row>
    <row r="6">
      <c r="E6" s="983" t="str">
        <f t="shared" si="1"/>
        <v>#N/A</v>
      </c>
    </row>
    <row r="7">
      <c r="E7" s="969" t="str">
        <f t="shared" si="1"/>
        <v>#N/A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00" t="s">
        <v>390</v>
      </c>
      <c r="B1" s="1001" t="s">
        <v>549</v>
      </c>
      <c r="C1" s="1001" t="s">
        <v>550</v>
      </c>
      <c r="D1" s="1000" t="s">
        <v>551</v>
      </c>
      <c r="E1" s="1000" t="s">
        <v>395</v>
      </c>
    </row>
    <row r="2">
      <c r="A2" s="983" t="str">
        <f>IFERROR(__xludf.DUMMYFUNCTION("QUERY(Calcul_mensuel!A2:AB1000,""SELECT A,J,AB,X WHERE A ENDS WITH '-INSTALL' ORDER BY X DESC "")"),"#N/A")</f>
        <v>#N/A</v>
      </c>
      <c r="E2" s="983" t="str">
        <f t="shared" ref="E2:E7" si="1">RANK(D2,D$2:D$6,0)</f>
        <v>#N/A</v>
      </c>
    </row>
    <row r="3">
      <c r="E3" s="983" t="str">
        <f t="shared" si="1"/>
        <v>#N/A</v>
      </c>
    </row>
    <row r="4">
      <c r="E4" s="983" t="str">
        <f t="shared" si="1"/>
        <v>#N/A</v>
      </c>
    </row>
    <row r="5">
      <c r="E5" s="983" t="str">
        <f t="shared" si="1"/>
        <v>#N/A</v>
      </c>
    </row>
    <row r="6">
      <c r="E6" s="983" t="str">
        <f t="shared" si="1"/>
        <v>#N/A</v>
      </c>
    </row>
    <row r="7">
      <c r="E7" s="969" t="str">
        <f t="shared" si="1"/>
        <v>#N/A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02" t="str">
        <f>IFERROR(__xludf.DUMMYFUNCTION("IMPORTRANGE(""https://docs.google.com/spreadsheets/d/1HSh_7ZbJ8mqpm7E5jz4xv0u9KlGNb9jU1lPjlqhwYZs/edit?gid=1136274861#gid=1136274861"",""Calcul_mensuel!BR1:CI"")"),"Nom")</f>
        <v>Nom</v>
      </c>
      <c r="B1" s="1003" t="str">
        <f>IFERROR(__xludf.DUMMYFUNCTION("""COMPUTED_VALUE"""),"-")</f>
        <v>-</v>
      </c>
      <c r="C1" s="1004" t="str">
        <f>IFERROR(__xludf.DUMMYFUNCTION("""COMPUTED_VALUE"""),"=")</f>
        <v>=</v>
      </c>
      <c r="D1" s="1004" t="str">
        <f>IFERROR(__xludf.DUMMYFUNCTION("""COMPUTED_VALUE"""),"+")</f>
        <v>+</v>
      </c>
      <c r="E1" s="1004" t="str">
        <f>IFERROR(__xludf.DUMMYFUNCTION("""COMPUTED_VALUE"""),"NPS")</f>
        <v>NPS</v>
      </c>
      <c r="F1" s="1004" t="str">
        <f>IFERROR(__xludf.DUMMYFUNCTION("""COMPUTED_VALUE"""),"Nb rép")</f>
        <v>Nb rép</v>
      </c>
      <c r="G1" s="1004" t="str">
        <f>IFERROR(__xludf.DUMMYFUNCTION("""COMPUTED_VALUE"""),"Tx rép")</f>
        <v>Tx rép</v>
      </c>
      <c r="H1" s="1004" t="str">
        <f>IFERROR(__xludf.DUMMYFUNCTION("""COMPUTED_VALUE"""),"Nbr pos")</f>
        <v>Nbr pos</v>
      </c>
      <c r="I1" s="1004" t="str">
        <f>IFERROR(__xludf.DUMMYFUNCTION("""COMPUTED_VALUE"""),"Nb rép ")</f>
        <v>Nb rép </v>
      </c>
      <c r="J1" s="1004" t="str">
        <f>IFERROR(__xludf.DUMMYFUNCTION("""COMPUTED_VALUE"""),"Bringg")</f>
        <v>Bringg</v>
      </c>
      <c r="K1" s="1004" t="str">
        <f>IFERROR(__xludf.DUMMYFUNCTION("""COMPUTED_VALUE"""),"Tx rép")</f>
        <v>Tx rép</v>
      </c>
      <c r="L1" s="1004" t="str">
        <f>IFERROR(__xludf.DUMMYFUNCTION("""COMPUTED_VALUE"""),"Nbr cam")</f>
        <v>Nbr cam</v>
      </c>
      <c r="M1" s="1004" t="str">
        <f>IFERROR(__xludf.DUMMYFUNCTION("""COMPUTED_VALUE"""),"Ratio")</f>
        <v>Ratio</v>
      </c>
      <c r="N1" s="1004">
        <f>IFERROR(__xludf.DUMMYFUNCTION("""COMPUTED_VALUE"""),1.0)</f>
        <v>1</v>
      </c>
      <c r="O1" s="1004">
        <f>IFERROR(__xludf.DUMMYFUNCTION("""COMPUTED_VALUE"""),2.0)</f>
        <v>2</v>
      </c>
      <c r="P1" s="1004">
        <f>IFERROR(__xludf.DUMMYFUNCTION("""COMPUTED_VALUE"""),3.0)</f>
        <v>3</v>
      </c>
      <c r="Q1" s="1004">
        <f>IFERROR(__xludf.DUMMYFUNCTION("""COMPUTED_VALUE"""),4.0)</f>
        <v>4</v>
      </c>
      <c r="R1" s="1004">
        <f>IFERROR(__xludf.DUMMYFUNCTION("""COMPUTED_VALUE"""),5.0)</f>
        <v>5</v>
      </c>
      <c r="S1" s="1003" t="s">
        <v>551</v>
      </c>
      <c r="T1" s="1003" t="s">
        <v>554</v>
      </c>
      <c r="U1" s="1003" t="s">
        <v>555</v>
      </c>
      <c r="V1" s="1003" t="s">
        <v>556</v>
      </c>
      <c r="W1" s="1005" t="s">
        <v>557</v>
      </c>
      <c r="X1" s="1006" t="s">
        <v>558</v>
      </c>
      <c r="Y1" s="1006" t="s">
        <v>550</v>
      </c>
      <c r="Z1" s="1006"/>
      <c r="AA1" s="984" t="str">
        <f>IFERROR(__xludf.DUMMYFUNCTION("IMPORTRANGE(""https://docs.google.com/spreadsheets/d/1HSh_7ZbJ8mqpm7E5jz4xv0u9KlGNb9jU1lPjlqhwYZs/edit?gid=1136274861#gid=1136274861"",""Calcul_mensuel!DK1:DL60"")"),"Nom")</f>
        <v>Nom</v>
      </c>
      <c r="AB1" s="984" t="str">
        <f>IFERROR(__xludf.DUMMYFUNCTION("""COMPUTED_VALUE"""),"Satis NPS")</f>
        <v>Satis NPS</v>
      </c>
    </row>
    <row r="2">
      <c r="A2" s="1007" t="str">
        <f>IFERROR(__xludf.DUMMYFUNCTION("""COMPUTED_VALUE"""),"#N/A")</f>
        <v>#N/A</v>
      </c>
      <c r="B2" s="1008">
        <f>IFERROR(__xludf.DUMMYFUNCTION("""COMPUTED_VALUE"""),46.0)</f>
        <v>46</v>
      </c>
      <c r="C2" s="1008">
        <f>IFERROR(__xludf.DUMMYFUNCTION("""COMPUTED_VALUE"""),161.0)</f>
        <v>161</v>
      </c>
      <c r="D2" s="1008">
        <f>IFERROR(__xludf.DUMMYFUNCTION("""COMPUTED_VALUE"""),930.0)</f>
        <v>930</v>
      </c>
      <c r="E2" s="1007">
        <f>IFERROR(__xludf.DUMMYFUNCTION("""COMPUTED_VALUE"""),77.74846086191732)</f>
        <v>77.74846086</v>
      </c>
      <c r="F2" s="1008">
        <f>IFERROR(__xludf.DUMMYFUNCTION("""COMPUTED_VALUE"""),1137.0)</f>
        <v>1137</v>
      </c>
      <c r="G2" s="1009">
        <f>IFERROR(__xludf.DUMMYFUNCTION("""COMPUTED_VALUE"""),0.05782139951179821)</f>
        <v>0.05782139951</v>
      </c>
      <c r="H2" s="1008">
        <f>IFERROR(__xludf.DUMMYFUNCTION("""COMPUTED_VALUE"""),19664.0)</f>
        <v>19664</v>
      </c>
      <c r="I2" s="1008">
        <f>IFERROR(__xludf.DUMMYFUNCTION("""COMPUTED_VALUE"""),5909.0)</f>
        <v>5909</v>
      </c>
      <c r="J2" s="1007">
        <f>IFERROR(__xludf.DUMMYFUNCTION("""COMPUTED_VALUE"""),4.821120324928076)</f>
        <v>4.821120325</v>
      </c>
      <c r="K2" s="1009">
        <f>IFERROR(__xludf.DUMMYFUNCTION("""COMPUTED_VALUE"""),0.30049837266069973)</f>
        <v>0.3004983727</v>
      </c>
      <c r="L2" s="1010">
        <f>IFERROR(__xludf.DUMMYFUNCTION("""COMPUTED_VALUE"""),0.0)</f>
        <v>0</v>
      </c>
      <c r="M2" s="1011" t="str">
        <f>IFERROR(__xludf.DUMMYFUNCTION("""COMPUTED_VALUE"""),"#DIV/0!")</f>
        <v>#DIV/0!</v>
      </c>
      <c r="N2" s="1010">
        <f>IFERROR(__xludf.DUMMYFUNCTION("""COMPUTED_VALUE"""),128.0)</f>
        <v>128</v>
      </c>
      <c r="O2" s="1010">
        <f>IFERROR(__xludf.DUMMYFUNCTION("""COMPUTED_VALUE"""),46.0)</f>
        <v>46</v>
      </c>
      <c r="P2" s="1010">
        <f>IFERROR(__xludf.DUMMYFUNCTION("""COMPUTED_VALUE"""),64.0)</f>
        <v>64</v>
      </c>
      <c r="Q2" s="1010">
        <f>IFERROR(__xludf.DUMMYFUNCTION("""COMPUTED_VALUE"""),279.0)</f>
        <v>279</v>
      </c>
      <c r="R2" s="1010">
        <f>IFERROR(__xludf.DUMMYFUNCTION("""COMPUTED_VALUE"""),5392.0)</f>
        <v>5392</v>
      </c>
      <c r="S2" s="1007">
        <f t="shared" ref="S2:S53" si="2">AVERAGE(E2,W2)</f>
        <v>87.08543368</v>
      </c>
      <c r="T2" s="1004">
        <f t="shared" ref="T2:T53" si="3">RANK(J2,J$2:J$55,0)</f>
        <v>1</v>
      </c>
      <c r="U2" s="1004">
        <f t="shared" ref="U2:U53" si="4">RANK(E2,E$2:E$55,0)</f>
        <v>1</v>
      </c>
      <c r="V2" s="1004">
        <f t="shared" ref="V2:V53" si="5">AVERAGE(T2:U2)</f>
        <v>1</v>
      </c>
      <c r="W2" s="1012">
        <f t="shared" ref="W2:W53" si="6">SUM((J2/5)*100)</f>
        <v>96.4224065</v>
      </c>
      <c r="X2" s="1007" t="str">
        <f t="shared" ref="X2:X53" si="7">AVERAGE(AB2,J2)</f>
        <v>#DIV/0!</v>
      </c>
      <c r="Y2" s="1007"/>
      <c r="AA2" s="1013" t="str">
        <f>IFERROR(__xludf.DUMMYFUNCTION("""COMPUTED_VALUE"""),"#N/A")</f>
        <v>#N/A</v>
      </c>
      <c r="AB2" s="1013" t="str">
        <f>IFERROR(__xludf.DUMMYFUNCTION("""COMPUTED_VALUE"""),"#DIV/0!")</f>
        <v>#DIV/0!</v>
      </c>
      <c r="AC2" s="712">
        <f t="shared" ref="AC2:AE2" si="1">(B2/$F2)</f>
        <v>0.04045734389</v>
      </c>
      <c r="AD2" s="712">
        <f t="shared" si="1"/>
        <v>0.1416007036</v>
      </c>
      <c r="AE2" s="712">
        <f t="shared" si="1"/>
        <v>0.8179419525</v>
      </c>
    </row>
    <row r="3">
      <c r="A3" s="1004"/>
      <c r="B3" s="1004"/>
      <c r="C3" s="1004"/>
      <c r="D3" s="1004"/>
      <c r="E3" s="1004"/>
      <c r="F3" s="1004"/>
      <c r="G3" s="1004"/>
      <c r="H3" s="1004"/>
      <c r="I3" s="1004"/>
      <c r="J3" s="1004"/>
      <c r="K3" s="1004"/>
      <c r="L3" s="1004"/>
      <c r="M3" s="1004"/>
      <c r="N3" s="1004"/>
      <c r="O3" s="1004"/>
      <c r="P3" s="1004"/>
      <c r="Q3" s="1004"/>
      <c r="R3" s="1004"/>
      <c r="S3" s="1007">
        <f t="shared" si="2"/>
        <v>0</v>
      </c>
      <c r="T3" s="1004" t="str">
        <f t="shared" si="3"/>
        <v>#N/A</v>
      </c>
      <c r="U3" s="1004" t="str">
        <f t="shared" si="4"/>
        <v>#N/A</v>
      </c>
      <c r="V3" s="1004" t="str">
        <f t="shared" si="5"/>
        <v>#N/A</v>
      </c>
      <c r="W3" s="1012">
        <f t="shared" si="6"/>
        <v>0</v>
      </c>
      <c r="X3" s="1007" t="str">
        <f t="shared" si="7"/>
        <v>#DIV/0!</v>
      </c>
      <c r="Y3" s="1007"/>
      <c r="AA3" s="969"/>
      <c r="AB3" s="969"/>
      <c r="AC3" s="712" t="str">
        <f t="shared" ref="AC3:AE3" si="8">(B3/$F3)</f>
        <v>#DIV/0!</v>
      </c>
      <c r="AD3" s="712" t="str">
        <f t="shared" si="8"/>
        <v>#DIV/0!</v>
      </c>
      <c r="AE3" s="712" t="str">
        <f t="shared" si="8"/>
        <v>#DIV/0!</v>
      </c>
    </row>
    <row r="4">
      <c r="A4" s="1004"/>
      <c r="B4" s="1004"/>
      <c r="C4" s="1004"/>
      <c r="D4" s="1004"/>
      <c r="E4" s="1004"/>
      <c r="F4" s="1004"/>
      <c r="G4" s="1004"/>
      <c r="H4" s="1004"/>
      <c r="I4" s="1004"/>
      <c r="J4" s="1004"/>
      <c r="K4" s="1004"/>
      <c r="L4" s="1004"/>
      <c r="M4" s="1004"/>
      <c r="N4" s="1004"/>
      <c r="O4" s="1004"/>
      <c r="P4" s="1004"/>
      <c r="Q4" s="1004"/>
      <c r="R4" s="1004"/>
      <c r="S4" s="1007">
        <f t="shared" si="2"/>
        <v>0</v>
      </c>
      <c r="T4" s="1004" t="str">
        <f t="shared" si="3"/>
        <v>#N/A</v>
      </c>
      <c r="U4" s="1004" t="str">
        <f t="shared" si="4"/>
        <v>#N/A</v>
      </c>
      <c r="V4" s="1004" t="str">
        <f t="shared" si="5"/>
        <v>#N/A</v>
      </c>
      <c r="W4" s="1012">
        <f t="shared" si="6"/>
        <v>0</v>
      </c>
      <c r="X4" s="1007" t="str">
        <f t="shared" si="7"/>
        <v>#DIV/0!</v>
      </c>
      <c r="Y4" s="1007"/>
      <c r="AA4" s="969"/>
      <c r="AB4" s="969"/>
      <c r="AC4" s="712" t="str">
        <f t="shared" ref="AC4:AE4" si="9">(B4/$F4)</f>
        <v>#DIV/0!</v>
      </c>
      <c r="AD4" s="712" t="str">
        <f t="shared" si="9"/>
        <v>#DIV/0!</v>
      </c>
      <c r="AE4" s="712" t="str">
        <f t="shared" si="9"/>
        <v>#DIV/0!</v>
      </c>
    </row>
    <row r="5">
      <c r="A5" s="1004"/>
      <c r="B5" s="1004"/>
      <c r="C5" s="1004"/>
      <c r="D5" s="1004"/>
      <c r="E5" s="1004"/>
      <c r="F5" s="1004"/>
      <c r="G5" s="1004"/>
      <c r="H5" s="1004"/>
      <c r="I5" s="1004"/>
      <c r="J5" s="1004"/>
      <c r="K5" s="1004"/>
      <c r="L5" s="1004"/>
      <c r="M5" s="1004"/>
      <c r="N5" s="1004"/>
      <c r="O5" s="1004"/>
      <c r="P5" s="1004"/>
      <c r="Q5" s="1004"/>
      <c r="R5" s="1004"/>
      <c r="S5" s="1007">
        <f t="shared" si="2"/>
        <v>0</v>
      </c>
      <c r="T5" s="1004" t="str">
        <f t="shared" si="3"/>
        <v>#N/A</v>
      </c>
      <c r="U5" s="1004" t="str">
        <f t="shared" si="4"/>
        <v>#N/A</v>
      </c>
      <c r="V5" s="1004" t="str">
        <f t="shared" si="5"/>
        <v>#N/A</v>
      </c>
      <c r="W5" s="1012">
        <f t="shared" si="6"/>
        <v>0</v>
      </c>
      <c r="X5" s="1007" t="str">
        <f t="shared" si="7"/>
        <v>#DIV/0!</v>
      </c>
      <c r="Y5" s="1007"/>
      <c r="AA5" s="969"/>
      <c r="AB5" s="969"/>
      <c r="AC5" s="712" t="str">
        <f t="shared" ref="AC5:AE5" si="10">(B5/$F5)</f>
        <v>#DIV/0!</v>
      </c>
      <c r="AD5" s="712" t="str">
        <f t="shared" si="10"/>
        <v>#DIV/0!</v>
      </c>
      <c r="AE5" s="712" t="str">
        <f t="shared" si="10"/>
        <v>#DIV/0!</v>
      </c>
    </row>
    <row r="6">
      <c r="A6" s="1004"/>
      <c r="B6" s="1004"/>
      <c r="C6" s="1004"/>
      <c r="D6" s="1004"/>
      <c r="E6" s="1004"/>
      <c r="F6" s="1004"/>
      <c r="G6" s="1004"/>
      <c r="H6" s="1004"/>
      <c r="I6" s="1004"/>
      <c r="J6" s="1004"/>
      <c r="K6" s="1004"/>
      <c r="L6" s="1004"/>
      <c r="M6" s="1004"/>
      <c r="N6" s="1004"/>
      <c r="O6" s="1004"/>
      <c r="P6" s="1004"/>
      <c r="Q6" s="1004"/>
      <c r="R6" s="1004"/>
      <c r="S6" s="1007">
        <f t="shared" si="2"/>
        <v>0</v>
      </c>
      <c r="T6" s="1004" t="str">
        <f t="shared" si="3"/>
        <v>#N/A</v>
      </c>
      <c r="U6" s="1004" t="str">
        <f t="shared" si="4"/>
        <v>#N/A</v>
      </c>
      <c r="V6" s="1004" t="str">
        <f t="shared" si="5"/>
        <v>#N/A</v>
      </c>
      <c r="W6" s="1012">
        <f t="shared" si="6"/>
        <v>0</v>
      </c>
      <c r="X6" s="1007" t="str">
        <f t="shared" si="7"/>
        <v>#DIV/0!</v>
      </c>
      <c r="Y6" s="1007"/>
      <c r="AA6" s="969"/>
      <c r="AB6" s="969"/>
      <c r="AC6" s="712" t="str">
        <f t="shared" ref="AC6:AE6" si="11">(B6/$F6)</f>
        <v>#DIV/0!</v>
      </c>
      <c r="AD6" s="712" t="str">
        <f t="shared" si="11"/>
        <v>#DIV/0!</v>
      </c>
      <c r="AE6" s="712" t="str">
        <f t="shared" si="11"/>
        <v>#DIV/0!</v>
      </c>
    </row>
    <row r="7">
      <c r="A7" s="1004"/>
      <c r="B7" s="1004"/>
      <c r="C7" s="1004"/>
      <c r="D7" s="1004"/>
      <c r="E7" s="1004"/>
      <c r="F7" s="1004"/>
      <c r="G7" s="1004"/>
      <c r="H7" s="1004"/>
      <c r="I7" s="1004"/>
      <c r="J7" s="1004"/>
      <c r="K7" s="1004"/>
      <c r="L7" s="1004"/>
      <c r="M7" s="1004"/>
      <c r="N7" s="1004"/>
      <c r="O7" s="1004"/>
      <c r="P7" s="1004"/>
      <c r="Q7" s="1004"/>
      <c r="R7" s="1004"/>
      <c r="S7" s="1007">
        <f t="shared" si="2"/>
        <v>0</v>
      </c>
      <c r="T7" s="1004" t="str">
        <f t="shared" si="3"/>
        <v>#N/A</v>
      </c>
      <c r="U7" s="1004" t="str">
        <f t="shared" si="4"/>
        <v>#N/A</v>
      </c>
      <c r="V7" s="1004" t="str">
        <f t="shared" si="5"/>
        <v>#N/A</v>
      </c>
      <c r="W7" s="1012">
        <f t="shared" si="6"/>
        <v>0</v>
      </c>
      <c r="X7" s="1007" t="str">
        <f t="shared" si="7"/>
        <v>#DIV/0!</v>
      </c>
      <c r="Y7" s="1007"/>
      <c r="AA7" s="969"/>
      <c r="AB7" s="969"/>
      <c r="AC7" s="712" t="str">
        <f t="shared" ref="AC7:AE7" si="12">(B7/$F7)</f>
        <v>#DIV/0!</v>
      </c>
      <c r="AD7" s="712" t="str">
        <f t="shared" si="12"/>
        <v>#DIV/0!</v>
      </c>
      <c r="AE7" s="712" t="str">
        <f t="shared" si="12"/>
        <v>#DIV/0!</v>
      </c>
    </row>
    <row r="8">
      <c r="A8" s="1004"/>
      <c r="B8" s="1004"/>
      <c r="C8" s="1004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1004"/>
      <c r="O8" s="1004"/>
      <c r="P8" s="1004"/>
      <c r="Q8" s="1004"/>
      <c r="R8" s="1004"/>
      <c r="S8" s="1007">
        <f t="shared" si="2"/>
        <v>0</v>
      </c>
      <c r="T8" s="1004" t="str">
        <f t="shared" si="3"/>
        <v>#N/A</v>
      </c>
      <c r="U8" s="1004" t="str">
        <f t="shared" si="4"/>
        <v>#N/A</v>
      </c>
      <c r="V8" s="1004" t="str">
        <f t="shared" si="5"/>
        <v>#N/A</v>
      </c>
      <c r="W8" s="1012">
        <f t="shared" si="6"/>
        <v>0</v>
      </c>
      <c r="X8" s="1007" t="str">
        <f t="shared" si="7"/>
        <v>#DIV/0!</v>
      </c>
      <c r="Y8" s="1007"/>
      <c r="AA8" s="969"/>
      <c r="AB8" s="969"/>
      <c r="AC8" s="712" t="str">
        <f t="shared" ref="AC8:AE8" si="13">(B8/$F8)</f>
        <v>#DIV/0!</v>
      </c>
      <c r="AD8" s="712" t="str">
        <f t="shared" si="13"/>
        <v>#DIV/0!</v>
      </c>
      <c r="AE8" s="712" t="str">
        <f t="shared" si="13"/>
        <v>#DIV/0!</v>
      </c>
    </row>
    <row r="9">
      <c r="A9" s="1004"/>
      <c r="B9" s="1004"/>
      <c r="C9" s="1004"/>
      <c r="D9" s="1004"/>
      <c r="E9" s="1004"/>
      <c r="F9" s="1004"/>
      <c r="G9" s="1004"/>
      <c r="H9" s="1004"/>
      <c r="I9" s="1004"/>
      <c r="J9" s="1004"/>
      <c r="K9" s="1004"/>
      <c r="L9" s="1004"/>
      <c r="M9" s="1004"/>
      <c r="N9" s="1004"/>
      <c r="O9" s="1004"/>
      <c r="P9" s="1004"/>
      <c r="Q9" s="1004"/>
      <c r="R9" s="1004"/>
      <c r="S9" s="1007">
        <f t="shared" si="2"/>
        <v>0</v>
      </c>
      <c r="T9" s="1004" t="str">
        <f t="shared" si="3"/>
        <v>#N/A</v>
      </c>
      <c r="U9" s="1004" t="str">
        <f t="shared" si="4"/>
        <v>#N/A</v>
      </c>
      <c r="V9" s="1004" t="str">
        <f t="shared" si="5"/>
        <v>#N/A</v>
      </c>
      <c r="W9" s="1012">
        <f t="shared" si="6"/>
        <v>0</v>
      </c>
      <c r="X9" s="1007" t="str">
        <f t="shared" si="7"/>
        <v>#DIV/0!</v>
      </c>
      <c r="Y9" s="1007"/>
      <c r="AA9" s="969"/>
      <c r="AB9" s="969"/>
      <c r="AC9" s="712" t="str">
        <f t="shared" ref="AC9:AE9" si="14">(B9/$F9)</f>
        <v>#DIV/0!</v>
      </c>
      <c r="AD9" s="712" t="str">
        <f t="shared" si="14"/>
        <v>#DIV/0!</v>
      </c>
      <c r="AE9" s="712" t="str">
        <f t="shared" si="14"/>
        <v>#DIV/0!</v>
      </c>
    </row>
    <row r="10">
      <c r="A10" s="1004"/>
      <c r="B10" s="1004"/>
      <c r="C10" s="1004"/>
      <c r="D10" s="1004"/>
      <c r="E10" s="1004"/>
      <c r="F10" s="1004"/>
      <c r="G10" s="1004"/>
      <c r="H10" s="1004"/>
      <c r="I10" s="1004"/>
      <c r="J10" s="1004"/>
      <c r="K10" s="1004"/>
      <c r="L10" s="1004"/>
      <c r="M10" s="1004"/>
      <c r="N10" s="1004"/>
      <c r="O10" s="1004"/>
      <c r="P10" s="1004"/>
      <c r="Q10" s="1004"/>
      <c r="R10" s="1004"/>
      <c r="S10" s="1007">
        <f t="shared" si="2"/>
        <v>0</v>
      </c>
      <c r="T10" s="1004" t="str">
        <f t="shared" si="3"/>
        <v>#N/A</v>
      </c>
      <c r="U10" s="1004" t="str">
        <f t="shared" si="4"/>
        <v>#N/A</v>
      </c>
      <c r="V10" s="1004" t="str">
        <f t="shared" si="5"/>
        <v>#N/A</v>
      </c>
      <c r="W10" s="1012">
        <f t="shared" si="6"/>
        <v>0</v>
      </c>
      <c r="X10" s="1007" t="str">
        <f t="shared" si="7"/>
        <v>#DIV/0!</v>
      </c>
      <c r="Y10" s="1007"/>
      <c r="AA10" s="969"/>
      <c r="AB10" s="969"/>
      <c r="AC10" s="712" t="str">
        <f t="shared" ref="AC10:AE10" si="15">(B10/$F10)</f>
        <v>#DIV/0!</v>
      </c>
      <c r="AD10" s="712" t="str">
        <f t="shared" si="15"/>
        <v>#DIV/0!</v>
      </c>
      <c r="AE10" s="712" t="str">
        <f t="shared" si="15"/>
        <v>#DIV/0!</v>
      </c>
    </row>
    <row r="11">
      <c r="A11" s="1004"/>
      <c r="B11" s="1004"/>
      <c r="C11" s="1004"/>
      <c r="D11" s="1004"/>
      <c r="E11" s="1004"/>
      <c r="F11" s="1004"/>
      <c r="G11" s="1004"/>
      <c r="H11" s="1004"/>
      <c r="I11" s="1004"/>
      <c r="J11" s="1004"/>
      <c r="K11" s="1004"/>
      <c r="L11" s="1004"/>
      <c r="M11" s="1004"/>
      <c r="N11" s="1004"/>
      <c r="O11" s="1004"/>
      <c r="P11" s="1004"/>
      <c r="Q11" s="1004"/>
      <c r="R11" s="1004"/>
      <c r="S11" s="1007">
        <f t="shared" si="2"/>
        <v>0</v>
      </c>
      <c r="T11" s="1004" t="str">
        <f t="shared" si="3"/>
        <v>#N/A</v>
      </c>
      <c r="U11" s="1004" t="str">
        <f t="shared" si="4"/>
        <v>#N/A</v>
      </c>
      <c r="V11" s="1004" t="str">
        <f t="shared" si="5"/>
        <v>#N/A</v>
      </c>
      <c r="W11" s="1012">
        <f t="shared" si="6"/>
        <v>0</v>
      </c>
      <c r="X11" s="1007" t="str">
        <f t="shared" si="7"/>
        <v>#DIV/0!</v>
      </c>
      <c r="Y11" s="1007"/>
      <c r="AA11" s="969"/>
      <c r="AB11" s="969"/>
      <c r="AC11" s="712" t="str">
        <f t="shared" ref="AC11:AE11" si="16">(B11/$F11)</f>
        <v>#DIV/0!</v>
      </c>
      <c r="AD11" s="712" t="str">
        <f t="shared" si="16"/>
        <v>#DIV/0!</v>
      </c>
      <c r="AE11" s="712" t="str">
        <f t="shared" si="16"/>
        <v>#DIV/0!</v>
      </c>
    </row>
    <row r="12">
      <c r="A12" s="1004"/>
      <c r="B12" s="1004"/>
      <c r="C12" s="1004"/>
      <c r="D12" s="1004"/>
      <c r="E12" s="1004"/>
      <c r="F12" s="1004"/>
      <c r="G12" s="1004"/>
      <c r="H12" s="1004"/>
      <c r="I12" s="1004"/>
      <c r="J12" s="1004"/>
      <c r="K12" s="1004"/>
      <c r="L12" s="1004"/>
      <c r="M12" s="1004"/>
      <c r="N12" s="1004"/>
      <c r="O12" s="1004"/>
      <c r="P12" s="1004"/>
      <c r="Q12" s="1004"/>
      <c r="R12" s="1004"/>
      <c r="S12" s="1007">
        <f t="shared" si="2"/>
        <v>0</v>
      </c>
      <c r="T12" s="1004" t="str">
        <f t="shared" si="3"/>
        <v>#N/A</v>
      </c>
      <c r="U12" s="1004" t="str">
        <f t="shared" si="4"/>
        <v>#N/A</v>
      </c>
      <c r="V12" s="1004" t="str">
        <f t="shared" si="5"/>
        <v>#N/A</v>
      </c>
      <c r="W12" s="1012">
        <f t="shared" si="6"/>
        <v>0</v>
      </c>
      <c r="X12" s="1007" t="str">
        <f t="shared" si="7"/>
        <v>#DIV/0!</v>
      </c>
      <c r="Y12" s="1007"/>
      <c r="AA12" s="969"/>
      <c r="AB12" s="969"/>
      <c r="AC12" s="712" t="str">
        <f t="shared" ref="AC12:AE12" si="17">(B12/$F12)</f>
        <v>#DIV/0!</v>
      </c>
      <c r="AD12" s="712" t="str">
        <f t="shared" si="17"/>
        <v>#DIV/0!</v>
      </c>
      <c r="AE12" s="712" t="str">
        <f t="shared" si="17"/>
        <v>#DIV/0!</v>
      </c>
    </row>
    <row r="13">
      <c r="A13" s="1004"/>
      <c r="B13" s="1004"/>
      <c r="C13" s="1004"/>
      <c r="D13" s="1004"/>
      <c r="E13" s="1004"/>
      <c r="F13" s="1004"/>
      <c r="G13" s="1004"/>
      <c r="H13" s="1004"/>
      <c r="I13" s="1004"/>
      <c r="J13" s="1004"/>
      <c r="K13" s="1004"/>
      <c r="L13" s="1004"/>
      <c r="M13" s="1004"/>
      <c r="N13" s="1004"/>
      <c r="O13" s="1004"/>
      <c r="P13" s="1004"/>
      <c r="Q13" s="1004"/>
      <c r="R13" s="1004"/>
      <c r="S13" s="1007">
        <f t="shared" si="2"/>
        <v>0</v>
      </c>
      <c r="T13" s="1004" t="str">
        <f t="shared" si="3"/>
        <v>#N/A</v>
      </c>
      <c r="U13" s="1004" t="str">
        <f t="shared" si="4"/>
        <v>#N/A</v>
      </c>
      <c r="V13" s="1004" t="str">
        <f t="shared" si="5"/>
        <v>#N/A</v>
      </c>
      <c r="W13" s="1012">
        <f t="shared" si="6"/>
        <v>0</v>
      </c>
      <c r="X13" s="1007" t="str">
        <f t="shared" si="7"/>
        <v>#DIV/0!</v>
      </c>
      <c r="Y13" s="1007"/>
      <c r="AA13" s="969"/>
      <c r="AB13" s="969"/>
      <c r="AC13" s="712" t="str">
        <f t="shared" ref="AC13:AE13" si="18">(B13/$F13)</f>
        <v>#DIV/0!</v>
      </c>
      <c r="AD13" s="712" t="str">
        <f t="shared" si="18"/>
        <v>#DIV/0!</v>
      </c>
      <c r="AE13" s="712" t="str">
        <f t="shared" si="18"/>
        <v>#DIV/0!</v>
      </c>
    </row>
    <row r="14">
      <c r="A14" s="1004"/>
      <c r="B14" s="1004"/>
      <c r="C14" s="1004"/>
      <c r="D14" s="1004"/>
      <c r="E14" s="1004"/>
      <c r="F14" s="1004"/>
      <c r="G14" s="1004"/>
      <c r="H14" s="1004"/>
      <c r="I14" s="1004"/>
      <c r="J14" s="1004"/>
      <c r="K14" s="1004"/>
      <c r="L14" s="1004"/>
      <c r="M14" s="1004"/>
      <c r="N14" s="1004"/>
      <c r="O14" s="1004"/>
      <c r="P14" s="1004"/>
      <c r="Q14" s="1004"/>
      <c r="R14" s="1004"/>
      <c r="S14" s="1007">
        <f t="shared" si="2"/>
        <v>0</v>
      </c>
      <c r="T14" s="1004" t="str">
        <f t="shared" si="3"/>
        <v>#N/A</v>
      </c>
      <c r="U14" s="1004" t="str">
        <f t="shared" si="4"/>
        <v>#N/A</v>
      </c>
      <c r="V14" s="1004" t="str">
        <f t="shared" si="5"/>
        <v>#N/A</v>
      </c>
      <c r="W14" s="1012">
        <f t="shared" si="6"/>
        <v>0</v>
      </c>
      <c r="X14" s="1007" t="str">
        <f t="shared" si="7"/>
        <v>#DIV/0!</v>
      </c>
      <c r="Y14" s="1007"/>
      <c r="AA14" s="969"/>
      <c r="AB14" s="969"/>
      <c r="AC14" s="712" t="str">
        <f t="shared" ref="AC14:AE14" si="19">(B14/$F14)</f>
        <v>#DIV/0!</v>
      </c>
      <c r="AD14" s="712" t="str">
        <f t="shared" si="19"/>
        <v>#DIV/0!</v>
      </c>
      <c r="AE14" s="712" t="str">
        <f t="shared" si="19"/>
        <v>#DIV/0!</v>
      </c>
    </row>
    <row r="15">
      <c r="A15" s="1004"/>
      <c r="B15" s="1004"/>
      <c r="C15" s="1004"/>
      <c r="D15" s="1004"/>
      <c r="E15" s="1004"/>
      <c r="F15" s="1004"/>
      <c r="G15" s="1004"/>
      <c r="H15" s="1004"/>
      <c r="I15" s="1004"/>
      <c r="J15" s="1004"/>
      <c r="K15" s="1004"/>
      <c r="L15" s="1004"/>
      <c r="M15" s="1004"/>
      <c r="N15" s="1004"/>
      <c r="O15" s="1004"/>
      <c r="P15" s="1004"/>
      <c r="Q15" s="1004"/>
      <c r="R15" s="1004"/>
      <c r="S15" s="1007">
        <f t="shared" si="2"/>
        <v>0</v>
      </c>
      <c r="T15" s="1004" t="str">
        <f t="shared" si="3"/>
        <v>#N/A</v>
      </c>
      <c r="U15" s="1004" t="str">
        <f t="shared" si="4"/>
        <v>#N/A</v>
      </c>
      <c r="V15" s="1004" t="str">
        <f t="shared" si="5"/>
        <v>#N/A</v>
      </c>
      <c r="W15" s="1012">
        <f t="shared" si="6"/>
        <v>0</v>
      </c>
      <c r="X15" s="1007" t="str">
        <f t="shared" si="7"/>
        <v>#DIV/0!</v>
      </c>
      <c r="Y15" s="1007"/>
      <c r="AA15" s="969"/>
      <c r="AB15" s="969"/>
      <c r="AC15" s="712" t="str">
        <f t="shared" ref="AC15:AE15" si="20">(B15/$F15)</f>
        <v>#DIV/0!</v>
      </c>
      <c r="AD15" s="712" t="str">
        <f t="shared" si="20"/>
        <v>#DIV/0!</v>
      </c>
      <c r="AE15" s="712" t="str">
        <f t="shared" si="20"/>
        <v>#DIV/0!</v>
      </c>
    </row>
    <row r="16">
      <c r="A16" s="1004"/>
      <c r="B16" s="1004"/>
      <c r="C16" s="1004"/>
      <c r="D16" s="1004"/>
      <c r="E16" s="1004"/>
      <c r="F16" s="1004"/>
      <c r="G16" s="1004"/>
      <c r="H16" s="1004"/>
      <c r="I16" s="1004"/>
      <c r="J16" s="1004"/>
      <c r="K16" s="1004"/>
      <c r="L16" s="1004"/>
      <c r="M16" s="1004"/>
      <c r="N16" s="1004"/>
      <c r="O16" s="1004"/>
      <c r="P16" s="1004"/>
      <c r="Q16" s="1004"/>
      <c r="R16" s="1004"/>
      <c r="S16" s="1007">
        <f t="shared" si="2"/>
        <v>0</v>
      </c>
      <c r="T16" s="1004" t="str">
        <f t="shared" si="3"/>
        <v>#N/A</v>
      </c>
      <c r="U16" s="1004" t="str">
        <f t="shared" si="4"/>
        <v>#N/A</v>
      </c>
      <c r="V16" s="1004" t="str">
        <f t="shared" si="5"/>
        <v>#N/A</v>
      </c>
      <c r="W16" s="1012">
        <f t="shared" si="6"/>
        <v>0</v>
      </c>
      <c r="X16" s="1007" t="str">
        <f t="shared" si="7"/>
        <v>#DIV/0!</v>
      </c>
      <c r="Y16" s="1007"/>
      <c r="AA16" s="969"/>
      <c r="AB16" s="969"/>
      <c r="AC16" s="712" t="str">
        <f t="shared" ref="AC16:AE16" si="21">(B16/$F16)</f>
        <v>#DIV/0!</v>
      </c>
      <c r="AD16" s="712" t="str">
        <f t="shared" si="21"/>
        <v>#DIV/0!</v>
      </c>
      <c r="AE16" s="712" t="str">
        <f t="shared" si="21"/>
        <v>#DIV/0!</v>
      </c>
    </row>
    <row r="17">
      <c r="A17" s="1004"/>
      <c r="B17" s="1004"/>
      <c r="C17" s="1004"/>
      <c r="D17" s="1004"/>
      <c r="E17" s="1004"/>
      <c r="F17" s="1004"/>
      <c r="G17" s="1004"/>
      <c r="H17" s="1004"/>
      <c r="I17" s="1004"/>
      <c r="J17" s="1004"/>
      <c r="K17" s="1004"/>
      <c r="L17" s="1004"/>
      <c r="M17" s="1004"/>
      <c r="N17" s="1004"/>
      <c r="O17" s="1004"/>
      <c r="P17" s="1004"/>
      <c r="Q17" s="1004"/>
      <c r="R17" s="1004"/>
      <c r="S17" s="1007">
        <f t="shared" si="2"/>
        <v>0</v>
      </c>
      <c r="T17" s="1004" t="str">
        <f t="shared" si="3"/>
        <v>#N/A</v>
      </c>
      <c r="U17" s="1004" t="str">
        <f t="shared" si="4"/>
        <v>#N/A</v>
      </c>
      <c r="V17" s="1004" t="str">
        <f t="shared" si="5"/>
        <v>#N/A</v>
      </c>
      <c r="W17" s="1012">
        <f t="shared" si="6"/>
        <v>0</v>
      </c>
      <c r="X17" s="1007" t="str">
        <f t="shared" si="7"/>
        <v>#DIV/0!</v>
      </c>
      <c r="Y17" s="1007"/>
      <c r="AA17" s="969"/>
      <c r="AB17" s="969"/>
      <c r="AC17" s="712" t="str">
        <f t="shared" ref="AC17:AE17" si="22">(B17/$F17)</f>
        <v>#DIV/0!</v>
      </c>
      <c r="AD17" s="712" t="str">
        <f t="shared" si="22"/>
        <v>#DIV/0!</v>
      </c>
      <c r="AE17" s="712" t="str">
        <f t="shared" si="22"/>
        <v>#DIV/0!</v>
      </c>
    </row>
    <row r="18">
      <c r="A18" s="1004"/>
      <c r="B18" s="1004"/>
      <c r="C18" s="1004"/>
      <c r="D18" s="1004"/>
      <c r="E18" s="1004"/>
      <c r="F18" s="1004"/>
      <c r="G18" s="1004"/>
      <c r="H18" s="1004"/>
      <c r="I18" s="1004"/>
      <c r="J18" s="1004"/>
      <c r="K18" s="1004"/>
      <c r="L18" s="1004"/>
      <c r="M18" s="1004"/>
      <c r="N18" s="1004"/>
      <c r="O18" s="1004"/>
      <c r="P18" s="1004"/>
      <c r="Q18" s="1004"/>
      <c r="R18" s="1004"/>
      <c r="S18" s="1007">
        <f t="shared" si="2"/>
        <v>0</v>
      </c>
      <c r="T18" s="1004" t="str">
        <f t="shared" si="3"/>
        <v>#N/A</v>
      </c>
      <c r="U18" s="1004" t="str">
        <f t="shared" si="4"/>
        <v>#N/A</v>
      </c>
      <c r="V18" s="1004" t="str">
        <f t="shared" si="5"/>
        <v>#N/A</v>
      </c>
      <c r="W18" s="1012">
        <f t="shared" si="6"/>
        <v>0</v>
      </c>
      <c r="X18" s="1007" t="str">
        <f t="shared" si="7"/>
        <v>#DIV/0!</v>
      </c>
      <c r="Y18" s="1007"/>
      <c r="AA18" s="969"/>
      <c r="AB18" s="969"/>
      <c r="AC18" s="712" t="str">
        <f t="shared" ref="AC18:AE18" si="23">(B18/$F18)</f>
        <v>#DIV/0!</v>
      </c>
      <c r="AD18" s="712" t="str">
        <f t="shared" si="23"/>
        <v>#DIV/0!</v>
      </c>
      <c r="AE18" s="712" t="str">
        <f t="shared" si="23"/>
        <v>#DIV/0!</v>
      </c>
    </row>
    <row r="19">
      <c r="A19" s="1004"/>
      <c r="B19" s="1004"/>
      <c r="C19" s="1004"/>
      <c r="D19" s="1004"/>
      <c r="E19" s="1004"/>
      <c r="F19" s="1004"/>
      <c r="G19" s="1004"/>
      <c r="H19" s="1004"/>
      <c r="I19" s="1004"/>
      <c r="J19" s="1004"/>
      <c r="K19" s="1004"/>
      <c r="L19" s="1004"/>
      <c r="M19" s="1004"/>
      <c r="N19" s="1004"/>
      <c r="O19" s="1004"/>
      <c r="P19" s="1004"/>
      <c r="Q19" s="1004"/>
      <c r="R19" s="1004"/>
      <c r="S19" s="1007">
        <f t="shared" si="2"/>
        <v>0</v>
      </c>
      <c r="T19" s="1004" t="str">
        <f t="shared" si="3"/>
        <v>#N/A</v>
      </c>
      <c r="U19" s="1004" t="str">
        <f t="shared" si="4"/>
        <v>#N/A</v>
      </c>
      <c r="V19" s="1004" t="str">
        <f t="shared" si="5"/>
        <v>#N/A</v>
      </c>
      <c r="W19" s="1012">
        <f t="shared" si="6"/>
        <v>0</v>
      </c>
      <c r="X19" s="1007" t="str">
        <f t="shared" si="7"/>
        <v>#DIV/0!</v>
      </c>
      <c r="Y19" s="1007"/>
      <c r="AA19" s="969"/>
      <c r="AB19" s="969"/>
      <c r="AC19" s="712" t="str">
        <f t="shared" ref="AC19:AE19" si="24">(B19/$F19)</f>
        <v>#DIV/0!</v>
      </c>
      <c r="AD19" s="712" t="str">
        <f t="shared" si="24"/>
        <v>#DIV/0!</v>
      </c>
      <c r="AE19" s="712" t="str">
        <f t="shared" si="24"/>
        <v>#DIV/0!</v>
      </c>
    </row>
    <row r="20">
      <c r="A20" s="1004"/>
      <c r="B20" s="1004"/>
      <c r="C20" s="1004"/>
      <c r="D20" s="1004"/>
      <c r="E20" s="1004"/>
      <c r="F20" s="1004"/>
      <c r="G20" s="1004"/>
      <c r="H20" s="1004"/>
      <c r="I20" s="1004"/>
      <c r="J20" s="1004"/>
      <c r="K20" s="1004"/>
      <c r="L20" s="1004"/>
      <c r="M20" s="1004"/>
      <c r="N20" s="1004"/>
      <c r="O20" s="1004"/>
      <c r="P20" s="1004"/>
      <c r="Q20" s="1004"/>
      <c r="R20" s="1004"/>
      <c r="S20" s="1007">
        <f t="shared" si="2"/>
        <v>0</v>
      </c>
      <c r="T20" s="1004" t="str">
        <f t="shared" si="3"/>
        <v>#N/A</v>
      </c>
      <c r="U20" s="1004" t="str">
        <f t="shared" si="4"/>
        <v>#N/A</v>
      </c>
      <c r="V20" s="1004" t="str">
        <f t="shared" si="5"/>
        <v>#N/A</v>
      </c>
      <c r="W20" s="1012">
        <f t="shared" si="6"/>
        <v>0</v>
      </c>
      <c r="X20" s="1007" t="str">
        <f t="shared" si="7"/>
        <v>#DIV/0!</v>
      </c>
      <c r="Y20" s="1007"/>
      <c r="AA20" s="969"/>
      <c r="AB20" s="969"/>
      <c r="AC20" s="712" t="str">
        <f t="shared" ref="AC20:AE20" si="25">(B20/$F20)</f>
        <v>#DIV/0!</v>
      </c>
      <c r="AD20" s="712" t="str">
        <f t="shared" si="25"/>
        <v>#DIV/0!</v>
      </c>
      <c r="AE20" s="712" t="str">
        <f t="shared" si="25"/>
        <v>#DIV/0!</v>
      </c>
    </row>
    <row r="21">
      <c r="A21" s="1004"/>
      <c r="B21" s="1004"/>
      <c r="C21" s="1004"/>
      <c r="D21" s="1004"/>
      <c r="E21" s="1004"/>
      <c r="F21" s="1004"/>
      <c r="G21" s="1004"/>
      <c r="H21" s="1004"/>
      <c r="I21" s="1004"/>
      <c r="J21" s="1004"/>
      <c r="K21" s="1004"/>
      <c r="L21" s="1004"/>
      <c r="M21" s="1004"/>
      <c r="N21" s="1004"/>
      <c r="O21" s="1004"/>
      <c r="P21" s="1004"/>
      <c r="Q21" s="1004"/>
      <c r="R21" s="1004"/>
      <c r="S21" s="1007">
        <f t="shared" si="2"/>
        <v>0</v>
      </c>
      <c r="T21" s="1004" t="str">
        <f t="shared" si="3"/>
        <v>#N/A</v>
      </c>
      <c r="U21" s="1004" t="str">
        <f t="shared" si="4"/>
        <v>#N/A</v>
      </c>
      <c r="V21" s="1004" t="str">
        <f t="shared" si="5"/>
        <v>#N/A</v>
      </c>
      <c r="W21" s="1012">
        <f t="shared" si="6"/>
        <v>0</v>
      </c>
      <c r="X21" s="1007" t="str">
        <f t="shared" si="7"/>
        <v>#DIV/0!</v>
      </c>
      <c r="Y21" s="1007"/>
      <c r="AA21" s="969"/>
      <c r="AB21" s="969"/>
      <c r="AC21" s="712" t="str">
        <f t="shared" ref="AC21:AE21" si="26">(B21/$F21)</f>
        <v>#DIV/0!</v>
      </c>
      <c r="AD21" s="712" t="str">
        <f t="shared" si="26"/>
        <v>#DIV/0!</v>
      </c>
      <c r="AE21" s="712" t="str">
        <f t="shared" si="26"/>
        <v>#DIV/0!</v>
      </c>
    </row>
    <row r="22">
      <c r="A22" s="1004"/>
      <c r="B22" s="1004"/>
      <c r="C22" s="1004"/>
      <c r="D22" s="1004"/>
      <c r="E22" s="1004"/>
      <c r="F22" s="1004"/>
      <c r="G22" s="1004"/>
      <c r="H22" s="1004"/>
      <c r="I22" s="1004"/>
      <c r="J22" s="1004"/>
      <c r="K22" s="1004"/>
      <c r="L22" s="1004"/>
      <c r="M22" s="1004"/>
      <c r="N22" s="1004"/>
      <c r="O22" s="1004"/>
      <c r="P22" s="1004"/>
      <c r="Q22" s="1004"/>
      <c r="R22" s="1004"/>
      <c r="S22" s="1007">
        <f t="shared" si="2"/>
        <v>0</v>
      </c>
      <c r="T22" s="1004" t="str">
        <f t="shared" si="3"/>
        <v>#N/A</v>
      </c>
      <c r="U22" s="1004" t="str">
        <f t="shared" si="4"/>
        <v>#N/A</v>
      </c>
      <c r="V22" s="1004" t="str">
        <f t="shared" si="5"/>
        <v>#N/A</v>
      </c>
      <c r="W22" s="1012">
        <f t="shared" si="6"/>
        <v>0</v>
      </c>
      <c r="X22" s="1007" t="str">
        <f t="shared" si="7"/>
        <v>#DIV/0!</v>
      </c>
      <c r="Y22" s="1007"/>
      <c r="AA22" s="969"/>
      <c r="AB22" s="969"/>
      <c r="AC22" s="712" t="str">
        <f t="shared" ref="AC22:AE22" si="27">(B22/$F22)</f>
        <v>#DIV/0!</v>
      </c>
      <c r="AD22" s="712" t="str">
        <f t="shared" si="27"/>
        <v>#DIV/0!</v>
      </c>
      <c r="AE22" s="712" t="str">
        <f t="shared" si="27"/>
        <v>#DIV/0!</v>
      </c>
    </row>
    <row r="23">
      <c r="A23" s="1004"/>
      <c r="B23" s="1004"/>
      <c r="C23" s="1004"/>
      <c r="D23" s="1004"/>
      <c r="E23" s="1004"/>
      <c r="F23" s="1004"/>
      <c r="G23" s="1004"/>
      <c r="H23" s="1004"/>
      <c r="I23" s="1004"/>
      <c r="J23" s="1004"/>
      <c r="K23" s="1004"/>
      <c r="L23" s="1004"/>
      <c r="M23" s="1004"/>
      <c r="N23" s="1004"/>
      <c r="O23" s="1004"/>
      <c r="P23" s="1004"/>
      <c r="Q23" s="1004"/>
      <c r="R23" s="1004"/>
      <c r="S23" s="1007">
        <f t="shared" si="2"/>
        <v>0</v>
      </c>
      <c r="T23" s="1004" t="str">
        <f t="shared" si="3"/>
        <v>#N/A</v>
      </c>
      <c r="U23" s="1004" t="str">
        <f t="shared" si="4"/>
        <v>#N/A</v>
      </c>
      <c r="V23" s="1004" t="str">
        <f t="shared" si="5"/>
        <v>#N/A</v>
      </c>
      <c r="W23" s="1012">
        <f t="shared" si="6"/>
        <v>0</v>
      </c>
      <c r="X23" s="1007" t="str">
        <f t="shared" si="7"/>
        <v>#DIV/0!</v>
      </c>
      <c r="Y23" s="1007"/>
      <c r="AA23" s="969"/>
      <c r="AB23" s="969"/>
      <c r="AC23" s="712" t="str">
        <f t="shared" ref="AC23:AE23" si="28">(B23/$F23)</f>
        <v>#DIV/0!</v>
      </c>
      <c r="AD23" s="712" t="str">
        <f t="shared" si="28"/>
        <v>#DIV/0!</v>
      </c>
      <c r="AE23" s="712" t="str">
        <f t="shared" si="28"/>
        <v>#DIV/0!</v>
      </c>
    </row>
    <row r="24">
      <c r="A24" s="1004"/>
      <c r="B24" s="1004"/>
      <c r="C24" s="1004"/>
      <c r="D24" s="1004"/>
      <c r="E24" s="1004"/>
      <c r="F24" s="1004"/>
      <c r="G24" s="1004"/>
      <c r="H24" s="1004"/>
      <c r="I24" s="1004"/>
      <c r="J24" s="1004"/>
      <c r="K24" s="1004"/>
      <c r="L24" s="1004"/>
      <c r="M24" s="1004"/>
      <c r="N24" s="1004"/>
      <c r="O24" s="1004"/>
      <c r="P24" s="1004"/>
      <c r="Q24" s="1004"/>
      <c r="R24" s="1004"/>
      <c r="S24" s="1007">
        <f t="shared" si="2"/>
        <v>0</v>
      </c>
      <c r="T24" s="1004" t="str">
        <f t="shared" si="3"/>
        <v>#N/A</v>
      </c>
      <c r="U24" s="1004" t="str">
        <f t="shared" si="4"/>
        <v>#N/A</v>
      </c>
      <c r="V24" s="1004" t="str">
        <f t="shared" si="5"/>
        <v>#N/A</v>
      </c>
      <c r="W24" s="1012">
        <f t="shared" si="6"/>
        <v>0</v>
      </c>
      <c r="X24" s="1007" t="str">
        <f t="shared" si="7"/>
        <v>#DIV/0!</v>
      </c>
      <c r="Y24" s="1007"/>
      <c r="AA24" s="969"/>
      <c r="AB24" s="969"/>
      <c r="AC24" s="712" t="str">
        <f t="shared" ref="AC24:AE24" si="29">(B24/$F24)</f>
        <v>#DIV/0!</v>
      </c>
      <c r="AD24" s="712" t="str">
        <f t="shared" si="29"/>
        <v>#DIV/0!</v>
      </c>
      <c r="AE24" s="712" t="str">
        <f t="shared" si="29"/>
        <v>#DIV/0!</v>
      </c>
    </row>
    <row r="25">
      <c r="A25" s="1004"/>
      <c r="B25" s="1004"/>
      <c r="C25" s="1004"/>
      <c r="D25" s="1004"/>
      <c r="E25" s="1004"/>
      <c r="F25" s="1004"/>
      <c r="G25" s="1004"/>
      <c r="H25" s="1004"/>
      <c r="I25" s="1004"/>
      <c r="J25" s="1004"/>
      <c r="K25" s="1004"/>
      <c r="L25" s="1004"/>
      <c r="M25" s="1004"/>
      <c r="N25" s="1004"/>
      <c r="O25" s="1004"/>
      <c r="P25" s="1004"/>
      <c r="Q25" s="1004"/>
      <c r="R25" s="1004"/>
      <c r="S25" s="1007">
        <f t="shared" si="2"/>
        <v>0</v>
      </c>
      <c r="T25" s="1004" t="str">
        <f t="shared" si="3"/>
        <v>#N/A</v>
      </c>
      <c r="U25" s="1004" t="str">
        <f t="shared" si="4"/>
        <v>#N/A</v>
      </c>
      <c r="V25" s="1004" t="str">
        <f t="shared" si="5"/>
        <v>#N/A</v>
      </c>
      <c r="W25" s="1012">
        <f t="shared" si="6"/>
        <v>0</v>
      </c>
      <c r="X25" s="1007" t="str">
        <f t="shared" si="7"/>
        <v>#DIV/0!</v>
      </c>
      <c r="Y25" s="1007"/>
      <c r="AA25" s="969"/>
      <c r="AB25" s="969"/>
      <c r="AC25" s="712" t="str">
        <f t="shared" ref="AC25:AE25" si="30">(B25/$F25)</f>
        <v>#DIV/0!</v>
      </c>
      <c r="AD25" s="712" t="str">
        <f t="shared" si="30"/>
        <v>#DIV/0!</v>
      </c>
      <c r="AE25" s="712" t="str">
        <f t="shared" si="30"/>
        <v>#DIV/0!</v>
      </c>
    </row>
    <row r="26">
      <c r="A26" s="1004"/>
      <c r="B26" s="1004"/>
      <c r="C26" s="1004"/>
      <c r="D26" s="1004"/>
      <c r="E26" s="1004"/>
      <c r="F26" s="1004"/>
      <c r="G26" s="1004"/>
      <c r="H26" s="1004"/>
      <c r="I26" s="1004"/>
      <c r="J26" s="1004"/>
      <c r="K26" s="1004"/>
      <c r="L26" s="1004"/>
      <c r="M26" s="1004"/>
      <c r="N26" s="1004"/>
      <c r="O26" s="1004"/>
      <c r="P26" s="1004"/>
      <c r="Q26" s="1004"/>
      <c r="R26" s="1004"/>
      <c r="S26" s="1007">
        <f t="shared" si="2"/>
        <v>0</v>
      </c>
      <c r="T26" s="1004" t="str">
        <f t="shared" si="3"/>
        <v>#N/A</v>
      </c>
      <c r="U26" s="1004" t="str">
        <f t="shared" si="4"/>
        <v>#N/A</v>
      </c>
      <c r="V26" s="1004" t="str">
        <f t="shared" si="5"/>
        <v>#N/A</v>
      </c>
      <c r="W26" s="1012">
        <f t="shared" si="6"/>
        <v>0</v>
      </c>
      <c r="X26" s="1007" t="str">
        <f t="shared" si="7"/>
        <v>#DIV/0!</v>
      </c>
      <c r="Y26" s="1007"/>
      <c r="AA26" s="969"/>
      <c r="AB26" s="969"/>
      <c r="AC26" s="712" t="str">
        <f t="shared" ref="AC26:AE26" si="31">(B26/$F26)</f>
        <v>#DIV/0!</v>
      </c>
      <c r="AD26" s="712" t="str">
        <f t="shared" si="31"/>
        <v>#DIV/0!</v>
      </c>
      <c r="AE26" s="712" t="str">
        <f t="shared" si="31"/>
        <v>#DIV/0!</v>
      </c>
    </row>
    <row r="27">
      <c r="A27" s="1004"/>
      <c r="B27" s="1004"/>
      <c r="C27" s="1004"/>
      <c r="D27" s="1004"/>
      <c r="E27" s="1004"/>
      <c r="F27" s="1004"/>
      <c r="G27" s="1004"/>
      <c r="H27" s="1004"/>
      <c r="I27" s="1004"/>
      <c r="J27" s="1004"/>
      <c r="K27" s="1004"/>
      <c r="L27" s="1004"/>
      <c r="M27" s="1004"/>
      <c r="N27" s="1004"/>
      <c r="O27" s="1004"/>
      <c r="P27" s="1004"/>
      <c r="Q27" s="1004"/>
      <c r="R27" s="1004"/>
      <c r="S27" s="1007">
        <f t="shared" si="2"/>
        <v>0</v>
      </c>
      <c r="T27" s="1004" t="str">
        <f t="shared" si="3"/>
        <v>#N/A</v>
      </c>
      <c r="U27" s="1004" t="str">
        <f t="shared" si="4"/>
        <v>#N/A</v>
      </c>
      <c r="V27" s="1004" t="str">
        <f t="shared" si="5"/>
        <v>#N/A</v>
      </c>
      <c r="W27" s="1012">
        <f t="shared" si="6"/>
        <v>0</v>
      </c>
      <c r="X27" s="1007" t="str">
        <f t="shared" si="7"/>
        <v>#DIV/0!</v>
      </c>
      <c r="Y27" s="1007"/>
      <c r="AA27" s="969"/>
      <c r="AB27" s="969"/>
      <c r="AC27" s="712" t="str">
        <f t="shared" ref="AC27:AE27" si="32">(B27/$F27)</f>
        <v>#DIV/0!</v>
      </c>
      <c r="AD27" s="712" t="str">
        <f t="shared" si="32"/>
        <v>#DIV/0!</v>
      </c>
      <c r="AE27" s="712" t="str">
        <f t="shared" si="32"/>
        <v>#DIV/0!</v>
      </c>
    </row>
    <row r="28">
      <c r="A28" s="1004"/>
      <c r="B28" s="1004"/>
      <c r="C28" s="1004"/>
      <c r="D28" s="1004"/>
      <c r="E28" s="1004"/>
      <c r="F28" s="1004"/>
      <c r="G28" s="1004"/>
      <c r="H28" s="1004"/>
      <c r="I28" s="1004"/>
      <c r="J28" s="1004"/>
      <c r="K28" s="1004"/>
      <c r="L28" s="1004"/>
      <c r="M28" s="1004"/>
      <c r="N28" s="1004"/>
      <c r="O28" s="1004"/>
      <c r="P28" s="1004"/>
      <c r="Q28" s="1004"/>
      <c r="R28" s="1004"/>
      <c r="S28" s="1007">
        <f t="shared" si="2"/>
        <v>0</v>
      </c>
      <c r="T28" s="1004" t="str">
        <f t="shared" si="3"/>
        <v>#N/A</v>
      </c>
      <c r="U28" s="1004" t="str">
        <f t="shared" si="4"/>
        <v>#N/A</v>
      </c>
      <c r="V28" s="1004" t="str">
        <f t="shared" si="5"/>
        <v>#N/A</v>
      </c>
      <c r="W28" s="1012">
        <f t="shared" si="6"/>
        <v>0</v>
      </c>
      <c r="X28" s="1007" t="str">
        <f t="shared" si="7"/>
        <v>#DIV/0!</v>
      </c>
      <c r="Y28" s="1007"/>
      <c r="AA28" s="969"/>
      <c r="AB28" s="969"/>
      <c r="AC28" s="712" t="str">
        <f t="shared" ref="AC28:AE28" si="33">(B28/$F28)</f>
        <v>#DIV/0!</v>
      </c>
      <c r="AD28" s="712" t="str">
        <f t="shared" si="33"/>
        <v>#DIV/0!</v>
      </c>
      <c r="AE28" s="712" t="str">
        <f t="shared" si="33"/>
        <v>#DIV/0!</v>
      </c>
    </row>
    <row r="29">
      <c r="A29" s="1004"/>
      <c r="B29" s="1004"/>
      <c r="C29" s="1004"/>
      <c r="D29" s="1004"/>
      <c r="E29" s="1004"/>
      <c r="F29" s="1004"/>
      <c r="G29" s="1004"/>
      <c r="H29" s="1004"/>
      <c r="I29" s="1004"/>
      <c r="J29" s="1004"/>
      <c r="K29" s="1004"/>
      <c r="L29" s="1004"/>
      <c r="M29" s="1004"/>
      <c r="N29" s="1004"/>
      <c r="O29" s="1004"/>
      <c r="P29" s="1004"/>
      <c r="Q29" s="1004"/>
      <c r="R29" s="1004"/>
      <c r="S29" s="1007">
        <f t="shared" si="2"/>
        <v>0</v>
      </c>
      <c r="T29" s="1004" t="str">
        <f t="shared" si="3"/>
        <v>#N/A</v>
      </c>
      <c r="U29" s="1004" t="str">
        <f t="shared" si="4"/>
        <v>#N/A</v>
      </c>
      <c r="V29" s="1004" t="str">
        <f t="shared" si="5"/>
        <v>#N/A</v>
      </c>
      <c r="W29" s="1012">
        <f t="shared" si="6"/>
        <v>0</v>
      </c>
      <c r="X29" s="1007" t="str">
        <f t="shared" si="7"/>
        <v>#DIV/0!</v>
      </c>
      <c r="Y29" s="1007"/>
      <c r="AA29" s="969"/>
      <c r="AB29" s="969"/>
      <c r="AC29" s="712" t="str">
        <f t="shared" ref="AC29:AE29" si="34">(B29/$F29)</f>
        <v>#DIV/0!</v>
      </c>
      <c r="AD29" s="712" t="str">
        <f t="shared" si="34"/>
        <v>#DIV/0!</v>
      </c>
      <c r="AE29" s="712" t="str">
        <f t="shared" si="34"/>
        <v>#DIV/0!</v>
      </c>
    </row>
    <row r="30">
      <c r="A30" s="1004"/>
      <c r="B30" s="1004"/>
      <c r="C30" s="1004"/>
      <c r="D30" s="1004"/>
      <c r="E30" s="1004"/>
      <c r="F30" s="1004"/>
      <c r="G30" s="1004"/>
      <c r="H30" s="1004"/>
      <c r="I30" s="1004"/>
      <c r="J30" s="1004"/>
      <c r="K30" s="1004"/>
      <c r="L30" s="1004"/>
      <c r="M30" s="1004"/>
      <c r="N30" s="1004"/>
      <c r="O30" s="1004"/>
      <c r="P30" s="1004"/>
      <c r="Q30" s="1004"/>
      <c r="R30" s="1004"/>
      <c r="S30" s="1007">
        <f t="shared" si="2"/>
        <v>0</v>
      </c>
      <c r="T30" s="1004" t="str">
        <f t="shared" si="3"/>
        <v>#N/A</v>
      </c>
      <c r="U30" s="1004" t="str">
        <f t="shared" si="4"/>
        <v>#N/A</v>
      </c>
      <c r="V30" s="1004" t="str">
        <f t="shared" si="5"/>
        <v>#N/A</v>
      </c>
      <c r="W30" s="1012">
        <f t="shared" si="6"/>
        <v>0</v>
      </c>
      <c r="X30" s="1007" t="str">
        <f t="shared" si="7"/>
        <v>#DIV/0!</v>
      </c>
      <c r="Y30" s="1007"/>
      <c r="AA30" s="969"/>
      <c r="AB30" s="969"/>
      <c r="AC30" s="712" t="str">
        <f t="shared" ref="AC30:AE30" si="35">(B30/$F30)</f>
        <v>#DIV/0!</v>
      </c>
      <c r="AD30" s="712" t="str">
        <f t="shared" si="35"/>
        <v>#DIV/0!</v>
      </c>
      <c r="AE30" s="712" t="str">
        <f t="shared" si="35"/>
        <v>#DIV/0!</v>
      </c>
    </row>
    <row r="31">
      <c r="A31" s="1004"/>
      <c r="B31" s="1004"/>
      <c r="C31" s="1004"/>
      <c r="D31" s="1004"/>
      <c r="E31" s="1004"/>
      <c r="F31" s="1004"/>
      <c r="G31" s="1004"/>
      <c r="H31" s="1004"/>
      <c r="I31" s="1004"/>
      <c r="J31" s="1004"/>
      <c r="K31" s="1004"/>
      <c r="L31" s="1004"/>
      <c r="M31" s="1004"/>
      <c r="N31" s="1004"/>
      <c r="O31" s="1004"/>
      <c r="P31" s="1004"/>
      <c r="Q31" s="1004"/>
      <c r="R31" s="1004"/>
      <c r="S31" s="1007">
        <f t="shared" si="2"/>
        <v>0</v>
      </c>
      <c r="T31" s="1004" t="str">
        <f t="shared" si="3"/>
        <v>#N/A</v>
      </c>
      <c r="U31" s="1004" t="str">
        <f t="shared" si="4"/>
        <v>#N/A</v>
      </c>
      <c r="V31" s="1004" t="str">
        <f t="shared" si="5"/>
        <v>#N/A</v>
      </c>
      <c r="W31" s="1012">
        <f t="shared" si="6"/>
        <v>0</v>
      </c>
      <c r="X31" s="1007" t="str">
        <f t="shared" si="7"/>
        <v>#DIV/0!</v>
      </c>
      <c r="Y31" s="1007"/>
      <c r="AA31" s="969"/>
      <c r="AB31" s="969"/>
      <c r="AC31" s="712" t="str">
        <f t="shared" ref="AC31:AE31" si="36">(B31/$F31)</f>
        <v>#DIV/0!</v>
      </c>
      <c r="AD31" s="712" t="str">
        <f t="shared" si="36"/>
        <v>#DIV/0!</v>
      </c>
      <c r="AE31" s="712" t="str">
        <f t="shared" si="36"/>
        <v>#DIV/0!</v>
      </c>
    </row>
    <row r="32">
      <c r="A32" s="1004"/>
      <c r="B32" s="1004"/>
      <c r="C32" s="1004"/>
      <c r="D32" s="1004"/>
      <c r="E32" s="1004"/>
      <c r="F32" s="1004"/>
      <c r="G32" s="1004"/>
      <c r="H32" s="1004"/>
      <c r="I32" s="1004"/>
      <c r="J32" s="1004"/>
      <c r="K32" s="1004"/>
      <c r="L32" s="1004"/>
      <c r="M32" s="1004"/>
      <c r="N32" s="1004"/>
      <c r="O32" s="1004"/>
      <c r="P32" s="1004"/>
      <c r="Q32" s="1004"/>
      <c r="R32" s="1004"/>
      <c r="S32" s="1007">
        <f t="shared" si="2"/>
        <v>0</v>
      </c>
      <c r="T32" s="1004" t="str">
        <f t="shared" si="3"/>
        <v>#N/A</v>
      </c>
      <c r="U32" s="1004" t="str">
        <f t="shared" si="4"/>
        <v>#N/A</v>
      </c>
      <c r="V32" s="1004" t="str">
        <f t="shared" si="5"/>
        <v>#N/A</v>
      </c>
      <c r="W32" s="1012">
        <f t="shared" si="6"/>
        <v>0</v>
      </c>
      <c r="X32" s="1007" t="str">
        <f t="shared" si="7"/>
        <v>#DIV/0!</v>
      </c>
      <c r="Y32" s="1007"/>
      <c r="AA32" s="969"/>
      <c r="AB32" s="969"/>
      <c r="AC32" s="712" t="str">
        <f t="shared" ref="AC32:AE32" si="37">(B32/$F32)</f>
        <v>#DIV/0!</v>
      </c>
      <c r="AD32" s="712" t="str">
        <f t="shared" si="37"/>
        <v>#DIV/0!</v>
      </c>
      <c r="AE32" s="712" t="str">
        <f t="shared" si="37"/>
        <v>#DIV/0!</v>
      </c>
    </row>
    <row r="33">
      <c r="A33" s="1004"/>
      <c r="B33" s="1004"/>
      <c r="C33" s="1004"/>
      <c r="D33" s="1004"/>
      <c r="E33" s="1004"/>
      <c r="F33" s="1004"/>
      <c r="G33" s="1004"/>
      <c r="H33" s="1004"/>
      <c r="I33" s="1004"/>
      <c r="J33" s="1004"/>
      <c r="K33" s="1004"/>
      <c r="L33" s="1004"/>
      <c r="M33" s="1004"/>
      <c r="N33" s="1004"/>
      <c r="O33" s="1004"/>
      <c r="P33" s="1004"/>
      <c r="Q33" s="1004"/>
      <c r="R33" s="1004"/>
      <c r="S33" s="1007">
        <f t="shared" si="2"/>
        <v>0</v>
      </c>
      <c r="T33" s="1004" t="str">
        <f t="shared" si="3"/>
        <v>#N/A</v>
      </c>
      <c r="U33" s="1004" t="str">
        <f t="shared" si="4"/>
        <v>#N/A</v>
      </c>
      <c r="V33" s="1004" t="str">
        <f t="shared" si="5"/>
        <v>#N/A</v>
      </c>
      <c r="W33" s="1012">
        <f t="shared" si="6"/>
        <v>0</v>
      </c>
      <c r="X33" s="1007" t="str">
        <f t="shared" si="7"/>
        <v>#DIV/0!</v>
      </c>
      <c r="Y33" s="1007"/>
      <c r="AA33" s="969"/>
      <c r="AB33" s="969"/>
      <c r="AC33" s="712" t="str">
        <f t="shared" ref="AC33:AE33" si="38">(B33/$F33)</f>
        <v>#DIV/0!</v>
      </c>
      <c r="AD33" s="712" t="str">
        <f t="shared" si="38"/>
        <v>#DIV/0!</v>
      </c>
      <c r="AE33" s="712" t="str">
        <f t="shared" si="38"/>
        <v>#DIV/0!</v>
      </c>
    </row>
    <row r="34">
      <c r="A34" s="1004"/>
      <c r="B34" s="1004"/>
      <c r="C34" s="1004"/>
      <c r="D34" s="1004"/>
      <c r="E34" s="1004"/>
      <c r="F34" s="1004"/>
      <c r="G34" s="1004"/>
      <c r="H34" s="1004"/>
      <c r="I34" s="1004"/>
      <c r="J34" s="1004"/>
      <c r="K34" s="1004"/>
      <c r="L34" s="1004"/>
      <c r="M34" s="1004"/>
      <c r="N34" s="1004"/>
      <c r="O34" s="1004"/>
      <c r="P34" s="1004"/>
      <c r="Q34" s="1004"/>
      <c r="R34" s="1004"/>
      <c r="S34" s="1007">
        <f t="shared" si="2"/>
        <v>0</v>
      </c>
      <c r="T34" s="1004" t="str">
        <f t="shared" si="3"/>
        <v>#N/A</v>
      </c>
      <c r="U34" s="1004" t="str">
        <f t="shared" si="4"/>
        <v>#N/A</v>
      </c>
      <c r="V34" s="1004" t="str">
        <f t="shared" si="5"/>
        <v>#N/A</v>
      </c>
      <c r="W34" s="1012">
        <f t="shared" si="6"/>
        <v>0</v>
      </c>
      <c r="X34" s="1007" t="str">
        <f t="shared" si="7"/>
        <v>#DIV/0!</v>
      </c>
      <c r="Y34" s="1007"/>
      <c r="AA34" s="969"/>
      <c r="AB34" s="969"/>
      <c r="AC34" s="712" t="str">
        <f t="shared" ref="AC34:AE34" si="39">(B34/$F34)</f>
        <v>#DIV/0!</v>
      </c>
      <c r="AD34" s="712" t="str">
        <f t="shared" si="39"/>
        <v>#DIV/0!</v>
      </c>
      <c r="AE34" s="712" t="str">
        <f t="shared" si="39"/>
        <v>#DIV/0!</v>
      </c>
    </row>
    <row r="35">
      <c r="A35" s="1004"/>
      <c r="B35" s="1004"/>
      <c r="C35" s="1004"/>
      <c r="D35" s="1004"/>
      <c r="E35" s="1004"/>
      <c r="F35" s="1004"/>
      <c r="G35" s="1004"/>
      <c r="H35" s="1004"/>
      <c r="I35" s="1004"/>
      <c r="J35" s="1004"/>
      <c r="K35" s="1004"/>
      <c r="L35" s="1004"/>
      <c r="M35" s="1004"/>
      <c r="N35" s="1004"/>
      <c r="O35" s="1004"/>
      <c r="P35" s="1004"/>
      <c r="Q35" s="1004"/>
      <c r="R35" s="1004"/>
      <c r="S35" s="1007">
        <f t="shared" si="2"/>
        <v>0</v>
      </c>
      <c r="T35" s="1004" t="str">
        <f t="shared" si="3"/>
        <v>#N/A</v>
      </c>
      <c r="U35" s="1004" t="str">
        <f t="shared" si="4"/>
        <v>#N/A</v>
      </c>
      <c r="V35" s="1004" t="str">
        <f t="shared" si="5"/>
        <v>#N/A</v>
      </c>
      <c r="W35" s="1012">
        <f t="shared" si="6"/>
        <v>0</v>
      </c>
      <c r="X35" s="1007" t="str">
        <f t="shared" si="7"/>
        <v>#DIV/0!</v>
      </c>
      <c r="Y35" s="1007"/>
      <c r="AA35" s="969"/>
      <c r="AB35" s="969"/>
      <c r="AC35" s="712" t="str">
        <f t="shared" ref="AC35:AE35" si="40">(B35/$F35)</f>
        <v>#DIV/0!</v>
      </c>
      <c r="AD35" s="712" t="str">
        <f t="shared" si="40"/>
        <v>#DIV/0!</v>
      </c>
      <c r="AE35" s="712" t="str">
        <f t="shared" si="40"/>
        <v>#DIV/0!</v>
      </c>
    </row>
    <row r="36">
      <c r="A36" s="1004"/>
      <c r="B36" s="1004"/>
      <c r="C36" s="1004"/>
      <c r="D36" s="1004"/>
      <c r="E36" s="1004"/>
      <c r="F36" s="1004"/>
      <c r="G36" s="1004"/>
      <c r="H36" s="1004"/>
      <c r="I36" s="1004"/>
      <c r="J36" s="1004"/>
      <c r="K36" s="1004"/>
      <c r="L36" s="1004"/>
      <c r="M36" s="1004"/>
      <c r="N36" s="1004"/>
      <c r="O36" s="1004"/>
      <c r="P36" s="1004"/>
      <c r="Q36" s="1004"/>
      <c r="R36" s="1004"/>
      <c r="S36" s="1007">
        <f t="shared" si="2"/>
        <v>0</v>
      </c>
      <c r="T36" s="1004" t="str">
        <f t="shared" si="3"/>
        <v>#N/A</v>
      </c>
      <c r="U36" s="1004" t="str">
        <f t="shared" si="4"/>
        <v>#N/A</v>
      </c>
      <c r="V36" s="1004" t="str">
        <f t="shared" si="5"/>
        <v>#N/A</v>
      </c>
      <c r="W36" s="1012">
        <f t="shared" si="6"/>
        <v>0</v>
      </c>
      <c r="X36" s="1007" t="str">
        <f t="shared" si="7"/>
        <v>#DIV/0!</v>
      </c>
      <c r="Y36" s="1007"/>
      <c r="AA36" s="969"/>
      <c r="AB36" s="969"/>
      <c r="AC36" s="712" t="str">
        <f t="shared" ref="AC36:AE36" si="41">(B36/$F36)</f>
        <v>#DIV/0!</v>
      </c>
      <c r="AD36" s="712" t="str">
        <f t="shared" si="41"/>
        <v>#DIV/0!</v>
      </c>
      <c r="AE36" s="712" t="str">
        <f t="shared" si="41"/>
        <v>#DIV/0!</v>
      </c>
    </row>
    <row r="37">
      <c r="A37" s="1004"/>
      <c r="B37" s="1004"/>
      <c r="C37" s="1004"/>
      <c r="D37" s="1004"/>
      <c r="E37" s="1004"/>
      <c r="F37" s="1004"/>
      <c r="G37" s="1004"/>
      <c r="H37" s="1004"/>
      <c r="I37" s="1004"/>
      <c r="J37" s="1004"/>
      <c r="K37" s="1004"/>
      <c r="L37" s="1004"/>
      <c r="M37" s="1004"/>
      <c r="N37" s="1004"/>
      <c r="O37" s="1004"/>
      <c r="P37" s="1004"/>
      <c r="Q37" s="1004"/>
      <c r="R37" s="1004"/>
      <c r="S37" s="1007">
        <f t="shared" si="2"/>
        <v>0</v>
      </c>
      <c r="T37" s="1004" t="str">
        <f t="shared" si="3"/>
        <v>#N/A</v>
      </c>
      <c r="U37" s="1004" t="str">
        <f t="shared" si="4"/>
        <v>#N/A</v>
      </c>
      <c r="V37" s="1004" t="str">
        <f t="shared" si="5"/>
        <v>#N/A</v>
      </c>
      <c r="W37" s="1012">
        <f t="shared" si="6"/>
        <v>0</v>
      </c>
      <c r="X37" s="1007" t="str">
        <f t="shared" si="7"/>
        <v>#DIV/0!</v>
      </c>
      <c r="Y37" s="1007"/>
      <c r="AA37" s="969"/>
      <c r="AB37" s="969"/>
      <c r="AC37" s="712" t="str">
        <f t="shared" ref="AC37:AE37" si="42">(B37/$F37)</f>
        <v>#DIV/0!</v>
      </c>
      <c r="AD37" s="712" t="str">
        <f t="shared" si="42"/>
        <v>#DIV/0!</v>
      </c>
      <c r="AE37" s="712" t="str">
        <f t="shared" si="42"/>
        <v>#DIV/0!</v>
      </c>
    </row>
    <row r="38">
      <c r="A38" s="1004"/>
      <c r="B38" s="1004"/>
      <c r="C38" s="1004"/>
      <c r="D38" s="1004"/>
      <c r="E38" s="1004"/>
      <c r="F38" s="1004"/>
      <c r="G38" s="1004"/>
      <c r="H38" s="1004"/>
      <c r="I38" s="1004"/>
      <c r="J38" s="1004"/>
      <c r="K38" s="1004"/>
      <c r="L38" s="1004"/>
      <c r="M38" s="1004"/>
      <c r="N38" s="1004"/>
      <c r="O38" s="1004"/>
      <c r="P38" s="1004"/>
      <c r="Q38" s="1004"/>
      <c r="R38" s="1004"/>
      <c r="S38" s="1007">
        <f t="shared" si="2"/>
        <v>0</v>
      </c>
      <c r="T38" s="1004" t="str">
        <f t="shared" si="3"/>
        <v>#N/A</v>
      </c>
      <c r="U38" s="1004" t="str">
        <f t="shared" si="4"/>
        <v>#N/A</v>
      </c>
      <c r="V38" s="1004" t="str">
        <f t="shared" si="5"/>
        <v>#N/A</v>
      </c>
      <c r="W38" s="1012">
        <f t="shared" si="6"/>
        <v>0</v>
      </c>
      <c r="X38" s="1007" t="str">
        <f t="shared" si="7"/>
        <v>#DIV/0!</v>
      </c>
      <c r="Y38" s="1007"/>
      <c r="AA38" s="969"/>
      <c r="AB38" s="969"/>
      <c r="AC38" s="712" t="str">
        <f t="shared" ref="AC38:AE38" si="43">(B38/$F38)</f>
        <v>#DIV/0!</v>
      </c>
      <c r="AD38" s="712" t="str">
        <f t="shared" si="43"/>
        <v>#DIV/0!</v>
      </c>
      <c r="AE38" s="712" t="str">
        <f t="shared" si="43"/>
        <v>#DIV/0!</v>
      </c>
    </row>
    <row r="39">
      <c r="A39" s="1004"/>
      <c r="B39" s="1004"/>
      <c r="C39" s="1004"/>
      <c r="D39" s="1004"/>
      <c r="E39" s="1004"/>
      <c r="F39" s="1004"/>
      <c r="G39" s="1004"/>
      <c r="H39" s="1004"/>
      <c r="I39" s="1004"/>
      <c r="J39" s="1004"/>
      <c r="K39" s="1004"/>
      <c r="L39" s="1004"/>
      <c r="M39" s="1004"/>
      <c r="N39" s="1004"/>
      <c r="O39" s="1004"/>
      <c r="P39" s="1004"/>
      <c r="Q39" s="1004"/>
      <c r="R39" s="1004"/>
      <c r="S39" s="1007">
        <f t="shared" si="2"/>
        <v>0</v>
      </c>
      <c r="T39" s="1004" t="str">
        <f t="shared" si="3"/>
        <v>#N/A</v>
      </c>
      <c r="U39" s="1004" t="str">
        <f t="shared" si="4"/>
        <v>#N/A</v>
      </c>
      <c r="V39" s="1004" t="str">
        <f t="shared" si="5"/>
        <v>#N/A</v>
      </c>
      <c r="W39" s="1012">
        <f t="shared" si="6"/>
        <v>0</v>
      </c>
      <c r="X39" s="1007" t="str">
        <f t="shared" si="7"/>
        <v>#DIV/0!</v>
      </c>
      <c r="Y39" s="1007"/>
      <c r="AA39" s="969"/>
      <c r="AB39" s="969"/>
      <c r="AC39" s="712" t="str">
        <f t="shared" ref="AC39:AE39" si="44">(B39/$F39)</f>
        <v>#DIV/0!</v>
      </c>
      <c r="AD39" s="712" t="str">
        <f t="shared" si="44"/>
        <v>#DIV/0!</v>
      </c>
      <c r="AE39" s="712" t="str">
        <f t="shared" si="44"/>
        <v>#DIV/0!</v>
      </c>
    </row>
    <row r="40">
      <c r="A40" s="1004"/>
      <c r="B40" s="1004"/>
      <c r="C40" s="1004"/>
      <c r="D40" s="1004"/>
      <c r="E40" s="1004"/>
      <c r="F40" s="1004"/>
      <c r="G40" s="1004"/>
      <c r="H40" s="1004"/>
      <c r="I40" s="1004"/>
      <c r="J40" s="1004"/>
      <c r="K40" s="1004"/>
      <c r="L40" s="1004"/>
      <c r="M40" s="1004"/>
      <c r="N40" s="1004"/>
      <c r="O40" s="1004"/>
      <c r="P40" s="1004"/>
      <c r="Q40" s="1004"/>
      <c r="R40" s="1004"/>
      <c r="S40" s="1007">
        <f t="shared" si="2"/>
        <v>0</v>
      </c>
      <c r="T40" s="1004" t="str">
        <f t="shared" si="3"/>
        <v>#N/A</v>
      </c>
      <c r="U40" s="1004" t="str">
        <f t="shared" si="4"/>
        <v>#N/A</v>
      </c>
      <c r="V40" s="1004" t="str">
        <f t="shared" si="5"/>
        <v>#N/A</v>
      </c>
      <c r="W40" s="1012">
        <f t="shared" si="6"/>
        <v>0</v>
      </c>
      <c r="X40" s="1007" t="str">
        <f t="shared" si="7"/>
        <v>#DIV/0!</v>
      </c>
      <c r="Y40" s="1007"/>
      <c r="AA40" s="969"/>
      <c r="AB40" s="969"/>
      <c r="AC40" s="712" t="str">
        <f t="shared" ref="AC40:AE40" si="45">(B40/$F40)</f>
        <v>#DIV/0!</v>
      </c>
      <c r="AD40" s="712" t="str">
        <f t="shared" si="45"/>
        <v>#DIV/0!</v>
      </c>
      <c r="AE40" s="712" t="str">
        <f t="shared" si="45"/>
        <v>#DIV/0!</v>
      </c>
    </row>
    <row r="41">
      <c r="A41" s="1004"/>
      <c r="B41" s="1004"/>
      <c r="C41" s="1004"/>
      <c r="D41" s="1004"/>
      <c r="E41" s="1004"/>
      <c r="F41" s="1004"/>
      <c r="G41" s="1004"/>
      <c r="H41" s="1004"/>
      <c r="I41" s="1004"/>
      <c r="J41" s="1004"/>
      <c r="K41" s="1004"/>
      <c r="L41" s="1004"/>
      <c r="M41" s="1004"/>
      <c r="N41" s="1004"/>
      <c r="O41" s="1004"/>
      <c r="P41" s="1004"/>
      <c r="Q41" s="1004"/>
      <c r="R41" s="1004"/>
      <c r="S41" s="1007">
        <f t="shared" si="2"/>
        <v>0</v>
      </c>
      <c r="T41" s="1004" t="str">
        <f t="shared" si="3"/>
        <v>#N/A</v>
      </c>
      <c r="U41" s="1004" t="str">
        <f t="shared" si="4"/>
        <v>#N/A</v>
      </c>
      <c r="V41" s="1004" t="str">
        <f t="shared" si="5"/>
        <v>#N/A</v>
      </c>
      <c r="W41" s="1012">
        <f t="shared" si="6"/>
        <v>0</v>
      </c>
      <c r="X41" s="1007" t="str">
        <f t="shared" si="7"/>
        <v>#DIV/0!</v>
      </c>
      <c r="Y41" s="1007"/>
      <c r="AA41" s="969"/>
      <c r="AB41" s="969"/>
      <c r="AC41" s="712" t="str">
        <f t="shared" ref="AC41:AE41" si="46">(B41/$F41)</f>
        <v>#DIV/0!</v>
      </c>
      <c r="AD41" s="712" t="str">
        <f t="shared" si="46"/>
        <v>#DIV/0!</v>
      </c>
      <c r="AE41" s="712" t="str">
        <f t="shared" si="46"/>
        <v>#DIV/0!</v>
      </c>
    </row>
    <row r="42">
      <c r="A42" s="1004"/>
      <c r="B42" s="1004"/>
      <c r="C42" s="1004"/>
      <c r="D42" s="1004"/>
      <c r="E42" s="1004"/>
      <c r="F42" s="1004"/>
      <c r="G42" s="1004"/>
      <c r="H42" s="1004"/>
      <c r="I42" s="1004"/>
      <c r="J42" s="1004"/>
      <c r="K42" s="1004"/>
      <c r="L42" s="1004"/>
      <c r="M42" s="1004"/>
      <c r="N42" s="1004"/>
      <c r="O42" s="1004"/>
      <c r="P42" s="1004"/>
      <c r="Q42" s="1004"/>
      <c r="R42" s="1004"/>
      <c r="S42" s="1007">
        <f t="shared" si="2"/>
        <v>0</v>
      </c>
      <c r="T42" s="1004" t="str">
        <f t="shared" si="3"/>
        <v>#N/A</v>
      </c>
      <c r="U42" s="1004" t="str">
        <f t="shared" si="4"/>
        <v>#N/A</v>
      </c>
      <c r="V42" s="1004" t="str">
        <f t="shared" si="5"/>
        <v>#N/A</v>
      </c>
      <c r="W42" s="1012">
        <f t="shared" si="6"/>
        <v>0</v>
      </c>
      <c r="X42" s="1007" t="str">
        <f t="shared" si="7"/>
        <v>#DIV/0!</v>
      </c>
      <c r="Y42" s="1007"/>
      <c r="AA42" s="969"/>
      <c r="AB42" s="969"/>
      <c r="AC42" s="712" t="str">
        <f t="shared" ref="AC42:AE42" si="47">(B42/$F42)</f>
        <v>#DIV/0!</v>
      </c>
      <c r="AD42" s="712" t="str">
        <f t="shared" si="47"/>
        <v>#DIV/0!</v>
      </c>
      <c r="AE42" s="712" t="str">
        <f t="shared" si="47"/>
        <v>#DIV/0!</v>
      </c>
    </row>
    <row r="43">
      <c r="A43" s="1004"/>
      <c r="B43" s="1004"/>
      <c r="C43" s="1004"/>
      <c r="D43" s="1004"/>
      <c r="E43" s="1004"/>
      <c r="F43" s="1004"/>
      <c r="G43" s="1004"/>
      <c r="H43" s="1004"/>
      <c r="I43" s="1004"/>
      <c r="J43" s="1004"/>
      <c r="K43" s="1004"/>
      <c r="L43" s="1004"/>
      <c r="M43" s="1004"/>
      <c r="N43" s="1004"/>
      <c r="O43" s="1004"/>
      <c r="P43" s="1004"/>
      <c r="Q43" s="1004"/>
      <c r="R43" s="1004"/>
      <c r="S43" s="1007">
        <f t="shared" si="2"/>
        <v>0</v>
      </c>
      <c r="T43" s="1004" t="str">
        <f t="shared" si="3"/>
        <v>#N/A</v>
      </c>
      <c r="U43" s="1004" t="str">
        <f t="shared" si="4"/>
        <v>#N/A</v>
      </c>
      <c r="V43" s="1004" t="str">
        <f t="shared" si="5"/>
        <v>#N/A</v>
      </c>
      <c r="W43" s="1012">
        <f t="shared" si="6"/>
        <v>0</v>
      </c>
      <c r="X43" s="1004" t="str">
        <f t="shared" si="7"/>
        <v>#DIV/0!</v>
      </c>
      <c r="Y43" s="1004"/>
      <c r="AA43" s="969"/>
      <c r="AB43" s="969"/>
      <c r="AC43" s="712" t="str">
        <f t="shared" ref="AC43:AE43" si="48">(B43/$F43)</f>
        <v>#DIV/0!</v>
      </c>
      <c r="AD43" s="712" t="str">
        <f t="shared" si="48"/>
        <v>#DIV/0!</v>
      </c>
      <c r="AE43" s="712" t="str">
        <f t="shared" si="48"/>
        <v>#DIV/0!</v>
      </c>
    </row>
    <row r="44">
      <c r="A44" s="1007"/>
      <c r="B44" s="1008"/>
      <c r="C44" s="1008"/>
      <c r="D44" s="1008"/>
      <c r="E44" s="1007"/>
      <c r="F44" s="1008"/>
      <c r="G44" s="1009"/>
      <c r="H44" s="1008"/>
      <c r="I44" s="1008"/>
      <c r="J44" s="1007"/>
      <c r="K44" s="1009"/>
      <c r="L44" s="1010"/>
      <c r="M44" s="1011"/>
      <c r="N44" s="1010"/>
      <c r="O44" s="1010"/>
      <c r="P44" s="1010"/>
      <c r="Q44" s="1010"/>
      <c r="R44" s="1010"/>
      <c r="S44" s="1007">
        <f t="shared" si="2"/>
        <v>0</v>
      </c>
      <c r="T44" s="1004" t="str">
        <f t="shared" si="3"/>
        <v>#N/A</v>
      </c>
      <c r="U44" s="1004" t="str">
        <f t="shared" si="4"/>
        <v>#N/A</v>
      </c>
      <c r="V44" s="1004" t="str">
        <f t="shared" si="5"/>
        <v>#N/A</v>
      </c>
      <c r="W44" s="1012">
        <f t="shared" si="6"/>
        <v>0</v>
      </c>
      <c r="X44" s="1007" t="str">
        <f t="shared" si="7"/>
        <v>#DIV/0!</v>
      </c>
      <c r="Y44" s="1007"/>
      <c r="AA44" s="969"/>
      <c r="AB44" s="969"/>
      <c r="AC44" s="712" t="str">
        <f t="shared" ref="AC44:AE44" si="49">(B44/$F44)</f>
        <v>#DIV/0!</v>
      </c>
      <c r="AD44" s="712" t="str">
        <f t="shared" si="49"/>
        <v>#DIV/0!</v>
      </c>
      <c r="AE44" s="712" t="str">
        <f t="shared" si="49"/>
        <v>#DIV/0!</v>
      </c>
    </row>
    <row r="45">
      <c r="A45" s="1004"/>
      <c r="B45" s="1008"/>
      <c r="C45" s="1008"/>
      <c r="D45" s="1008"/>
      <c r="E45" s="1007"/>
      <c r="F45" s="1008"/>
      <c r="G45" s="1009"/>
      <c r="H45" s="1008"/>
      <c r="I45" s="1008"/>
      <c r="J45" s="1007"/>
      <c r="K45" s="1009"/>
      <c r="L45" s="1010"/>
      <c r="M45" s="1011"/>
      <c r="N45" s="1010"/>
      <c r="O45" s="1010"/>
      <c r="P45" s="1010"/>
      <c r="Q45" s="1010"/>
      <c r="R45" s="1010"/>
      <c r="S45" s="1007">
        <f t="shared" si="2"/>
        <v>0</v>
      </c>
      <c r="T45" s="1004" t="str">
        <f t="shared" si="3"/>
        <v>#N/A</v>
      </c>
      <c r="U45" s="1004" t="str">
        <f t="shared" si="4"/>
        <v>#N/A</v>
      </c>
      <c r="V45" s="1004" t="str">
        <f t="shared" si="5"/>
        <v>#N/A</v>
      </c>
      <c r="W45" s="1012">
        <f t="shared" si="6"/>
        <v>0</v>
      </c>
      <c r="X45" s="1007" t="str">
        <f t="shared" si="7"/>
        <v>#DIV/0!</v>
      </c>
      <c r="Y45" s="1007"/>
      <c r="AA45" s="969"/>
      <c r="AB45" s="969"/>
      <c r="AC45" s="712" t="str">
        <f t="shared" ref="AC45:AE45" si="50">(B45/$F45)</f>
        <v>#DIV/0!</v>
      </c>
      <c r="AD45" s="712" t="str">
        <f t="shared" si="50"/>
        <v>#DIV/0!</v>
      </c>
      <c r="AE45" s="712" t="str">
        <f t="shared" si="50"/>
        <v>#DIV/0!</v>
      </c>
    </row>
    <row r="46">
      <c r="A46" s="1004"/>
      <c r="B46" s="1008"/>
      <c r="C46" s="1008"/>
      <c r="D46" s="1008"/>
      <c r="E46" s="1007"/>
      <c r="F46" s="1008"/>
      <c r="G46" s="1009"/>
      <c r="H46" s="1008"/>
      <c r="I46" s="1008"/>
      <c r="J46" s="1007"/>
      <c r="K46" s="1009"/>
      <c r="L46" s="1010"/>
      <c r="M46" s="1011"/>
      <c r="N46" s="1010"/>
      <c r="O46" s="1010"/>
      <c r="P46" s="1010"/>
      <c r="Q46" s="1010"/>
      <c r="R46" s="1010"/>
      <c r="S46" s="1007">
        <f t="shared" si="2"/>
        <v>0</v>
      </c>
      <c r="T46" s="1004" t="str">
        <f t="shared" si="3"/>
        <v>#N/A</v>
      </c>
      <c r="U46" s="1004" t="str">
        <f t="shared" si="4"/>
        <v>#N/A</v>
      </c>
      <c r="V46" s="1004" t="str">
        <f t="shared" si="5"/>
        <v>#N/A</v>
      </c>
      <c r="W46" s="1012">
        <f t="shared" si="6"/>
        <v>0</v>
      </c>
      <c r="X46" s="1007" t="str">
        <f t="shared" si="7"/>
        <v>#DIV/0!</v>
      </c>
      <c r="Y46" s="1007"/>
      <c r="AA46" s="969"/>
      <c r="AB46" s="969"/>
      <c r="AC46" s="712" t="str">
        <f t="shared" ref="AC46:AE46" si="51">(B46/$F46)</f>
        <v>#DIV/0!</v>
      </c>
      <c r="AD46" s="712" t="str">
        <f t="shared" si="51"/>
        <v>#DIV/0!</v>
      </c>
      <c r="AE46" s="712" t="str">
        <f t="shared" si="51"/>
        <v>#DIV/0!</v>
      </c>
    </row>
    <row r="47">
      <c r="A47" s="1004"/>
      <c r="B47" s="1008"/>
      <c r="C47" s="1008"/>
      <c r="D47" s="1008"/>
      <c r="E47" s="1007"/>
      <c r="F47" s="1008"/>
      <c r="G47" s="1009"/>
      <c r="H47" s="1008"/>
      <c r="I47" s="1008"/>
      <c r="J47" s="1007"/>
      <c r="K47" s="1009"/>
      <c r="L47" s="1010"/>
      <c r="M47" s="1011"/>
      <c r="N47" s="1010"/>
      <c r="O47" s="1010"/>
      <c r="P47" s="1010"/>
      <c r="Q47" s="1010"/>
      <c r="R47" s="1010"/>
      <c r="S47" s="1007">
        <f t="shared" si="2"/>
        <v>0</v>
      </c>
      <c r="T47" s="1004" t="str">
        <f t="shared" si="3"/>
        <v>#N/A</v>
      </c>
      <c r="U47" s="1004" t="str">
        <f t="shared" si="4"/>
        <v>#N/A</v>
      </c>
      <c r="V47" s="1004" t="str">
        <f t="shared" si="5"/>
        <v>#N/A</v>
      </c>
      <c r="W47" s="1012">
        <f t="shared" si="6"/>
        <v>0</v>
      </c>
      <c r="X47" s="1007" t="str">
        <f t="shared" si="7"/>
        <v>#DIV/0!</v>
      </c>
      <c r="Y47" s="1007"/>
      <c r="AA47" s="969"/>
      <c r="AB47" s="969"/>
      <c r="AC47" s="712" t="str">
        <f t="shared" ref="AC47:AE47" si="52">(B47/$F47)</f>
        <v>#DIV/0!</v>
      </c>
      <c r="AD47" s="712" t="str">
        <f t="shared" si="52"/>
        <v>#DIV/0!</v>
      </c>
      <c r="AE47" s="712" t="str">
        <f t="shared" si="52"/>
        <v>#DIV/0!</v>
      </c>
    </row>
    <row r="48">
      <c r="A48" s="1004"/>
      <c r="B48" s="1008"/>
      <c r="C48" s="1008"/>
      <c r="D48" s="1008"/>
      <c r="E48" s="1007"/>
      <c r="F48" s="1008"/>
      <c r="G48" s="1009"/>
      <c r="H48" s="1008"/>
      <c r="I48" s="1008"/>
      <c r="J48" s="1007"/>
      <c r="K48" s="1009"/>
      <c r="L48" s="1010"/>
      <c r="M48" s="1011"/>
      <c r="N48" s="1010"/>
      <c r="O48" s="1010"/>
      <c r="P48" s="1010"/>
      <c r="Q48" s="1010"/>
      <c r="R48" s="1010"/>
      <c r="S48" s="1007">
        <f t="shared" si="2"/>
        <v>0</v>
      </c>
      <c r="T48" s="1004" t="str">
        <f t="shared" si="3"/>
        <v>#N/A</v>
      </c>
      <c r="U48" s="1004" t="str">
        <f t="shared" si="4"/>
        <v>#N/A</v>
      </c>
      <c r="V48" s="1004" t="str">
        <f t="shared" si="5"/>
        <v>#N/A</v>
      </c>
      <c r="W48" s="1012">
        <f t="shared" si="6"/>
        <v>0</v>
      </c>
      <c r="X48" s="1007" t="str">
        <f t="shared" si="7"/>
        <v>#DIV/0!</v>
      </c>
      <c r="Y48" s="1007"/>
      <c r="AA48" s="969"/>
      <c r="AB48" s="969"/>
      <c r="AC48" s="712" t="str">
        <f t="shared" ref="AC48:AE48" si="53">(B48/$F48)</f>
        <v>#DIV/0!</v>
      </c>
      <c r="AD48" s="712" t="str">
        <f t="shared" si="53"/>
        <v>#DIV/0!</v>
      </c>
      <c r="AE48" s="712" t="str">
        <f t="shared" si="53"/>
        <v>#DIV/0!</v>
      </c>
    </row>
    <row r="49">
      <c r="A49" s="1004"/>
      <c r="B49" s="1008"/>
      <c r="C49" s="1008"/>
      <c r="D49" s="1008"/>
      <c r="E49" s="1007"/>
      <c r="F49" s="1008"/>
      <c r="G49" s="1009"/>
      <c r="H49" s="1008"/>
      <c r="I49" s="1008"/>
      <c r="J49" s="1007"/>
      <c r="K49" s="1009"/>
      <c r="L49" s="1010"/>
      <c r="M49" s="1011"/>
      <c r="N49" s="1010"/>
      <c r="O49" s="1010"/>
      <c r="P49" s="1010"/>
      <c r="Q49" s="1010"/>
      <c r="R49" s="1010"/>
      <c r="S49" s="1007">
        <f t="shared" si="2"/>
        <v>0</v>
      </c>
      <c r="T49" s="1004" t="str">
        <f t="shared" si="3"/>
        <v>#N/A</v>
      </c>
      <c r="U49" s="1004" t="str">
        <f t="shared" si="4"/>
        <v>#N/A</v>
      </c>
      <c r="V49" s="1004" t="str">
        <f t="shared" si="5"/>
        <v>#N/A</v>
      </c>
      <c r="W49" s="1012">
        <f t="shared" si="6"/>
        <v>0</v>
      </c>
      <c r="X49" s="1007" t="str">
        <f t="shared" si="7"/>
        <v>#DIV/0!</v>
      </c>
      <c r="Y49" s="1007"/>
      <c r="AA49" s="969"/>
      <c r="AB49" s="969"/>
      <c r="AC49" s="712" t="str">
        <f t="shared" ref="AC49:AE49" si="54">(B49/$F49)</f>
        <v>#DIV/0!</v>
      </c>
      <c r="AD49" s="712" t="str">
        <f t="shared" si="54"/>
        <v>#DIV/0!</v>
      </c>
      <c r="AE49" s="712" t="str">
        <f t="shared" si="54"/>
        <v>#DIV/0!</v>
      </c>
    </row>
    <row r="50">
      <c r="A50" s="1004"/>
      <c r="B50" s="1008"/>
      <c r="C50" s="1008"/>
      <c r="D50" s="1008"/>
      <c r="E50" s="1007"/>
      <c r="F50" s="1008"/>
      <c r="G50" s="1009"/>
      <c r="H50" s="1008"/>
      <c r="I50" s="1008"/>
      <c r="J50" s="1007"/>
      <c r="K50" s="1009"/>
      <c r="L50" s="1010"/>
      <c r="M50" s="1011"/>
      <c r="N50" s="1010"/>
      <c r="O50" s="1010"/>
      <c r="P50" s="1010"/>
      <c r="Q50" s="1010"/>
      <c r="R50" s="1010"/>
      <c r="S50" s="1007">
        <f t="shared" si="2"/>
        <v>0</v>
      </c>
      <c r="T50" s="1004" t="str">
        <f t="shared" si="3"/>
        <v>#N/A</v>
      </c>
      <c r="U50" s="1004" t="str">
        <f t="shared" si="4"/>
        <v>#N/A</v>
      </c>
      <c r="V50" s="1004" t="str">
        <f t="shared" si="5"/>
        <v>#N/A</v>
      </c>
      <c r="W50" s="1012">
        <f t="shared" si="6"/>
        <v>0</v>
      </c>
      <c r="X50" s="1007" t="str">
        <f t="shared" si="7"/>
        <v>#DIV/0!</v>
      </c>
      <c r="Y50" s="1007"/>
      <c r="AA50" s="969"/>
      <c r="AB50" s="969"/>
      <c r="AC50" s="712" t="str">
        <f t="shared" ref="AC50:AE50" si="55">(B50/$F50)</f>
        <v>#DIV/0!</v>
      </c>
      <c r="AD50" s="712" t="str">
        <f t="shared" si="55"/>
        <v>#DIV/0!</v>
      </c>
      <c r="AE50" s="712" t="str">
        <f t="shared" si="55"/>
        <v>#DIV/0!</v>
      </c>
    </row>
    <row r="51">
      <c r="A51" s="1004"/>
      <c r="B51" s="1008"/>
      <c r="C51" s="1008"/>
      <c r="D51" s="1008"/>
      <c r="E51" s="1007"/>
      <c r="F51" s="1008"/>
      <c r="G51" s="1009"/>
      <c r="H51" s="1008"/>
      <c r="I51" s="1008"/>
      <c r="J51" s="1007"/>
      <c r="K51" s="1009"/>
      <c r="L51" s="1010"/>
      <c r="M51" s="1011"/>
      <c r="N51" s="1010"/>
      <c r="O51" s="1010"/>
      <c r="P51" s="1010"/>
      <c r="Q51" s="1010"/>
      <c r="R51" s="1010"/>
      <c r="S51" s="1007">
        <f t="shared" si="2"/>
        <v>0</v>
      </c>
      <c r="T51" s="1004" t="str">
        <f t="shared" si="3"/>
        <v>#N/A</v>
      </c>
      <c r="U51" s="1004" t="str">
        <f t="shared" si="4"/>
        <v>#N/A</v>
      </c>
      <c r="V51" s="1004" t="str">
        <f t="shared" si="5"/>
        <v>#N/A</v>
      </c>
      <c r="W51" s="1012">
        <f t="shared" si="6"/>
        <v>0</v>
      </c>
      <c r="X51" s="1007" t="str">
        <f t="shared" si="7"/>
        <v>#DIV/0!</v>
      </c>
      <c r="Y51" s="1007"/>
      <c r="AA51" s="969"/>
      <c r="AB51" s="969"/>
      <c r="AC51" s="712" t="str">
        <f t="shared" ref="AC51:AE51" si="56">(B51/$F51)</f>
        <v>#DIV/0!</v>
      </c>
      <c r="AD51" s="712" t="str">
        <f t="shared" si="56"/>
        <v>#DIV/0!</v>
      </c>
      <c r="AE51" s="712" t="str">
        <f t="shared" si="56"/>
        <v>#DIV/0!</v>
      </c>
    </row>
    <row r="52">
      <c r="A52" s="1004"/>
      <c r="B52" s="1008"/>
      <c r="C52" s="1008"/>
      <c r="D52" s="1008"/>
      <c r="E52" s="1007"/>
      <c r="F52" s="1008"/>
      <c r="G52" s="1009"/>
      <c r="H52" s="1008"/>
      <c r="I52" s="1008"/>
      <c r="J52" s="1007"/>
      <c r="K52" s="1009"/>
      <c r="L52" s="1010"/>
      <c r="M52" s="1011"/>
      <c r="N52" s="1010"/>
      <c r="O52" s="1010"/>
      <c r="P52" s="1010"/>
      <c r="Q52" s="1010"/>
      <c r="R52" s="1010"/>
      <c r="S52" s="1007">
        <f t="shared" si="2"/>
        <v>0</v>
      </c>
      <c r="T52" s="1004" t="str">
        <f t="shared" si="3"/>
        <v>#N/A</v>
      </c>
      <c r="U52" s="1004" t="str">
        <f t="shared" si="4"/>
        <v>#N/A</v>
      </c>
      <c r="V52" s="1004" t="str">
        <f t="shared" si="5"/>
        <v>#N/A</v>
      </c>
      <c r="W52" s="1012">
        <f t="shared" si="6"/>
        <v>0</v>
      </c>
      <c r="X52" s="1007" t="str">
        <f t="shared" si="7"/>
        <v>#DIV/0!</v>
      </c>
      <c r="Y52" s="1007"/>
      <c r="AA52" s="969"/>
      <c r="AB52" s="969"/>
      <c r="AC52" s="712" t="str">
        <f t="shared" ref="AC52:AE52" si="57">(B52/$F52)</f>
        <v>#DIV/0!</v>
      </c>
      <c r="AD52" s="712" t="str">
        <f t="shared" si="57"/>
        <v>#DIV/0!</v>
      </c>
      <c r="AE52" s="712" t="str">
        <f t="shared" si="57"/>
        <v>#DIV/0!</v>
      </c>
    </row>
    <row r="53">
      <c r="A53" s="1004"/>
      <c r="B53" s="1008"/>
      <c r="C53" s="1008"/>
      <c r="D53" s="1008"/>
      <c r="E53" s="1007"/>
      <c r="F53" s="1008"/>
      <c r="G53" s="1009"/>
      <c r="H53" s="1008"/>
      <c r="I53" s="1008"/>
      <c r="J53" s="1007"/>
      <c r="K53" s="1009"/>
      <c r="L53" s="1010"/>
      <c r="M53" s="1011"/>
      <c r="N53" s="1010"/>
      <c r="O53" s="1010"/>
      <c r="P53" s="1010"/>
      <c r="Q53" s="1010"/>
      <c r="R53" s="1010"/>
      <c r="S53" s="1007">
        <f t="shared" si="2"/>
        <v>0</v>
      </c>
      <c r="T53" s="1004" t="str">
        <f t="shared" si="3"/>
        <v>#N/A</v>
      </c>
      <c r="U53" s="1004" t="str">
        <f t="shared" si="4"/>
        <v>#N/A</v>
      </c>
      <c r="V53" s="1004" t="str">
        <f t="shared" si="5"/>
        <v>#N/A</v>
      </c>
      <c r="W53" s="1012">
        <f t="shared" si="6"/>
        <v>0</v>
      </c>
      <c r="X53" s="1007" t="str">
        <f t="shared" si="7"/>
        <v>#DIV/0!</v>
      </c>
      <c r="Y53" s="1007"/>
      <c r="AA53" s="969"/>
      <c r="AB53" s="969"/>
      <c r="AC53" s="712"/>
    </row>
    <row r="54">
      <c r="A54" s="1004"/>
      <c r="B54" s="1008"/>
      <c r="C54" s="1008"/>
      <c r="D54" s="1008"/>
      <c r="E54" s="1007"/>
      <c r="F54" s="1008"/>
      <c r="G54" s="1009"/>
      <c r="H54" s="1008"/>
      <c r="I54" s="1008"/>
      <c r="J54" s="1007"/>
      <c r="K54" s="1009"/>
      <c r="L54" s="1010"/>
      <c r="M54" s="1011"/>
      <c r="N54" s="1010"/>
      <c r="O54" s="1010"/>
      <c r="P54" s="1010"/>
      <c r="Q54" s="1010"/>
      <c r="R54" s="1010"/>
      <c r="S54" s="1007"/>
      <c r="T54" s="1004"/>
      <c r="U54" s="1004"/>
      <c r="V54" s="1004"/>
      <c r="W54" s="1012"/>
      <c r="X54" s="1007"/>
      <c r="Y54" s="1007"/>
      <c r="AA54" s="969"/>
      <c r="AB54" s="969"/>
      <c r="AC54" s="712"/>
    </row>
    <row r="55">
      <c r="A55" s="1004"/>
      <c r="B55" s="1008"/>
      <c r="C55" s="1008"/>
      <c r="D55" s="1008"/>
      <c r="E55" s="1007"/>
      <c r="F55" s="1008"/>
      <c r="G55" s="1009"/>
      <c r="H55" s="1008"/>
      <c r="I55" s="1008"/>
      <c r="J55" s="1007"/>
      <c r="K55" s="1009"/>
      <c r="L55" s="1010"/>
      <c r="M55" s="1011"/>
      <c r="N55" s="1010"/>
      <c r="O55" s="1010"/>
      <c r="P55" s="1010"/>
      <c r="Q55" s="1010"/>
      <c r="R55" s="1010"/>
      <c r="S55" s="1007"/>
      <c r="T55" s="1004"/>
      <c r="U55" s="1004"/>
      <c r="V55" s="1004"/>
      <c r="W55" s="1012"/>
      <c r="X55" s="1007"/>
      <c r="Y55" s="1007"/>
      <c r="AA55" s="969"/>
      <c r="AB55" s="969"/>
      <c r="AC55" s="712"/>
    </row>
    <row r="56">
      <c r="A56" s="1004"/>
      <c r="B56" s="1008"/>
      <c r="C56" s="1008"/>
      <c r="D56" s="1008"/>
      <c r="E56" s="1007"/>
      <c r="F56" s="1008"/>
      <c r="G56" s="1009"/>
      <c r="H56" s="1008"/>
      <c r="I56" s="1008"/>
      <c r="J56" s="1007"/>
      <c r="K56" s="1009"/>
      <c r="L56" s="1010"/>
      <c r="M56" s="1011"/>
      <c r="N56" s="1010"/>
      <c r="O56" s="1010"/>
      <c r="P56" s="1010"/>
      <c r="Q56" s="1010"/>
      <c r="R56" s="1010"/>
      <c r="S56" s="1007"/>
      <c r="T56" s="1004"/>
      <c r="U56" s="1004"/>
      <c r="V56" s="1004"/>
      <c r="W56" s="1012"/>
      <c r="X56" s="1007"/>
      <c r="Y56" s="1007"/>
      <c r="AA56" s="969"/>
      <c r="AB56" s="969"/>
      <c r="AC56" s="712"/>
    </row>
    <row r="57">
      <c r="A57" s="1004"/>
      <c r="B57" s="1008"/>
      <c r="C57" s="1008"/>
      <c r="D57" s="1008"/>
      <c r="E57" s="1007"/>
      <c r="F57" s="1008"/>
      <c r="G57" s="1009"/>
      <c r="H57" s="1008"/>
      <c r="I57" s="1008"/>
      <c r="J57" s="1007"/>
      <c r="K57" s="1009"/>
      <c r="L57" s="1010"/>
      <c r="M57" s="1011"/>
      <c r="N57" s="1010"/>
      <c r="O57" s="1010"/>
      <c r="P57" s="1010"/>
      <c r="Q57" s="1010"/>
      <c r="R57" s="1010"/>
      <c r="S57" s="1007"/>
      <c r="T57" s="1004"/>
      <c r="U57" s="1004"/>
      <c r="V57" s="1004"/>
      <c r="W57" s="1012"/>
      <c r="X57" s="1007"/>
      <c r="Y57" s="1007"/>
      <c r="AA57" s="969"/>
      <c r="AB57" s="969"/>
      <c r="AC57" s="712"/>
    </row>
    <row r="58">
      <c r="A58" s="1004"/>
      <c r="B58" s="1008"/>
      <c r="C58" s="1008"/>
      <c r="D58" s="1008"/>
      <c r="E58" s="1007"/>
      <c r="F58" s="1008"/>
      <c r="G58" s="1009"/>
      <c r="H58" s="1008"/>
      <c r="I58" s="1008"/>
      <c r="J58" s="1007"/>
      <c r="K58" s="1009"/>
      <c r="L58" s="1010"/>
      <c r="M58" s="1011"/>
      <c r="N58" s="1010"/>
      <c r="O58" s="1010"/>
      <c r="P58" s="1010"/>
      <c r="Q58" s="1010"/>
      <c r="R58" s="1010"/>
      <c r="S58" s="1007"/>
      <c r="T58" s="1004"/>
      <c r="U58" s="1004"/>
      <c r="V58" s="1004"/>
      <c r="W58" s="1012"/>
      <c r="X58" s="1007"/>
      <c r="Y58" s="1007"/>
      <c r="AA58" s="969"/>
      <c r="AB58" s="969"/>
      <c r="AC58" s="712"/>
    </row>
    <row r="59">
      <c r="A59" s="1004"/>
      <c r="B59" s="1008"/>
      <c r="C59" s="1008"/>
      <c r="D59" s="1008"/>
      <c r="E59" s="1007"/>
      <c r="F59" s="1008"/>
      <c r="G59" s="1009"/>
      <c r="H59" s="1008"/>
      <c r="I59" s="1008"/>
      <c r="J59" s="1007"/>
      <c r="K59" s="1009"/>
      <c r="L59" s="1010"/>
      <c r="M59" s="1011"/>
      <c r="N59" s="1010"/>
      <c r="O59" s="1010"/>
      <c r="P59" s="1010"/>
      <c r="Q59" s="1010"/>
      <c r="R59" s="1010"/>
      <c r="S59" s="1007"/>
      <c r="T59" s="1004"/>
      <c r="U59" s="1004"/>
      <c r="V59" s="1004"/>
      <c r="W59" s="1012"/>
      <c r="X59" s="1007"/>
      <c r="Y59" s="1007"/>
      <c r="AA59" s="969"/>
      <c r="AB59" s="969"/>
      <c r="AC59" s="712"/>
    </row>
    <row r="60">
      <c r="A60" s="969"/>
      <c r="B60" s="969"/>
      <c r="C60" s="969"/>
      <c r="D60" s="969"/>
      <c r="E60" s="969"/>
      <c r="F60" s="969"/>
      <c r="G60" s="969"/>
      <c r="H60" s="969"/>
      <c r="I60" s="969"/>
      <c r="J60" s="969"/>
      <c r="K60" s="969"/>
      <c r="L60" s="969"/>
      <c r="M60" s="969"/>
      <c r="N60" s="969"/>
      <c r="O60" s="969"/>
      <c r="P60" s="969"/>
      <c r="Q60" s="969"/>
      <c r="R60" s="969"/>
      <c r="W60" s="1014"/>
      <c r="AA60" s="969"/>
      <c r="AB60" s="969"/>
      <c r="AC60" s="712"/>
    </row>
    <row r="61">
      <c r="A61" s="969"/>
      <c r="B61" s="969"/>
      <c r="C61" s="969"/>
      <c r="D61" s="969"/>
      <c r="E61" s="969"/>
      <c r="F61" s="969"/>
      <c r="G61" s="969"/>
      <c r="H61" s="969"/>
      <c r="I61" s="969"/>
      <c r="J61" s="969"/>
      <c r="K61" s="969"/>
      <c r="L61" s="969"/>
      <c r="M61" s="969"/>
      <c r="N61" s="969"/>
      <c r="O61" s="969"/>
      <c r="P61" s="969"/>
      <c r="Q61" s="969"/>
      <c r="R61" s="969"/>
      <c r="W61" s="1014"/>
      <c r="AC61" s="712"/>
    </row>
    <row r="62">
      <c r="A62" s="969"/>
      <c r="B62" s="969"/>
      <c r="C62" s="969"/>
      <c r="D62" s="969"/>
      <c r="E62" s="969"/>
      <c r="F62" s="969"/>
      <c r="G62" s="969"/>
      <c r="H62" s="969"/>
      <c r="I62" s="969"/>
      <c r="J62" s="969"/>
      <c r="K62" s="969"/>
      <c r="L62" s="969"/>
      <c r="M62" s="969"/>
      <c r="N62" s="969"/>
      <c r="O62" s="969"/>
      <c r="P62" s="969"/>
      <c r="Q62" s="969"/>
      <c r="R62" s="969"/>
      <c r="W62" s="1014"/>
      <c r="AC62" s="712"/>
    </row>
    <row r="63">
      <c r="A63" s="969"/>
      <c r="B63" s="969"/>
      <c r="C63" s="969"/>
      <c r="D63" s="969"/>
      <c r="E63" s="969"/>
      <c r="F63" s="969"/>
      <c r="G63" s="969"/>
      <c r="H63" s="969"/>
      <c r="I63" s="969"/>
      <c r="J63" s="969"/>
      <c r="K63" s="969"/>
      <c r="L63" s="969"/>
      <c r="M63" s="969"/>
      <c r="N63" s="969"/>
      <c r="O63" s="969"/>
      <c r="P63" s="969"/>
      <c r="Q63" s="969"/>
      <c r="R63" s="969"/>
      <c r="W63" s="1014"/>
      <c r="AC63" s="712"/>
    </row>
    <row r="64">
      <c r="A64" s="969"/>
      <c r="B64" s="969"/>
      <c r="C64" s="969"/>
      <c r="D64" s="969"/>
      <c r="E64" s="969"/>
      <c r="F64" s="969"/>
      <c r="G64" s="969"/>
      <c r="H64" s="969"/>
      <c r="I64" s="969"/>
      <c r="J64" s="969"/>
      <c r="K64" s="969"/>
      <c r="L64" s="969"/>
      <c r="M64" s="969"/>
      <c r="N64" s="969"/>
      <c r="O64" s="969"/>
      <c r="P64" s="969"/>
      <c r="Q64" s="969"/>
      <c r="R64" s="969"/>
      <c r="W64" s="1014"/>
      <c r="AC64" s="712"/>
    </row>
    <row r="65">
      <c r="A65" s="969"/>
      <c r="B65" s="969"/>
      <c r="C65" s="969"/>
      <c r="D65" s="969"/>
      <c r="E65" s="969"/>
      <c r="F65" s="969"/>
      <c r="G65" s="969"/>
      <c r="H65" s="969"/>
      <c r="I65" s="969"/>
      <c r="J65" s="969"/>
      <c r="K65" s="969"/>
      <c r="L65" s="969"/>
      <c r="M65" s="969"/>
      <c r="N65" s="969"/>
      <c r="O65" s="969"/>
      <c r="P65" s="969"/>
      <c r="Q65" s="969"/>
      <c r="R65" s="969"/>
      <c r="W65" s="1014"/>
      <c r="AC65" s="712"/>
    </row>
    <row r="66">
      <c r="A66" s="969"/>
      <c r="B66" s="969"/>
      <c r="C66" s="969"/>
      <c r="D66" s="969"/>
      <c r="E66" s="969"/>
      <c r="F66" s="969"/>
      <c r="G66" s="969"/>
      <c r="H66" s="969"/>
      <c r="I66" s="969"/>
      <c r="J66" s="969"/>
      <c r="K66" s="969"/>
      <c r="L66" s="969"/>
      <c r="M66" s="969"/>
      <c r="N66" s="969"/>
      <c r="O66" s="969"/>
      <c r="P66" s="969"/>
      <c r="Q66" s="969"/>
      <c r="R66" s="969"/>
      <c r="W66" s="1014"/>
      <c r="AC66" s="712"/>
    </row>
    <row r="67">
      <c r="A67" s="969"/>
      <c r="B67" s="969"/>
      <c r="C67" s="969"/>
      <c r="D67" s="969"/>
      <c r="E67" s="969"/>
      <c r="F67" s="969"/>
      <c r="G67" s="969"/>
      <c r="H67" s="969"/>
      <c r="I67" s="969"/>
      <c r="J67" s="969"/>
      <c r="K67" s="969"/>
      <c r="L67" s="969"/>
      <c r="M67" s="969"/>
      <c r="N67" s="969"/>
      <c r="O67" s="969"/>
      <c r="P67" s="969"/>
      <c r="Q67" s="969"/>
      <c r="R67" s="969"/>
      <c r="W67" s="1014"/>
      <c r="AC67" s="712"/>
    </row>
    <row r="68">
      <c r="A68" s="969"/>
      <c r="B68" s="969"/>
      <c r="C68" s="969"/>
      <c r="D68" s="969"/>
      <c r="E68" s="969"/>
      <c r="F68" s="969"/>
      <c r="G68" s="969"/>
      <c r="H68" s="969"/>
      <c r="I68" s="969"/>
      <c r="J68" s="969"/>
      <c r="K68" s="969"/>
      <c r="L68" s="969"/>
      <c r="M68" s="969"/>
      <c r="N68" s="969"/>
      <c r="O68" s="969"/>
      <c r="P68" s="969"/>
      <c r="Q68" s="969"/>
      <c r="R68" s="969"/>
      <c r="W68" s="1014"/>
      <c r="AC68" s="712"/>
    </row>
    <row r="69">
      <c r="A69" s="969"/>
      <c r="B69" s="969"/>
      <c r="C69" s="969"/>
      <c r="D69" s="969"/>
      <c r="E69" s="969"/>
      <c r="F69" s="969"/>
      <c r="G69" s="969"/>
      <c r="H69" s="969"/>
      <c r="I69" s="969"/>
      <c r="J69" s="969"/>
      <c r="K69" s="969"/>
      <c r="L69" s="969"/>
      <c r="M69" s="969"/>
      <c r="N69" s="969"/>
      <c r="O69" s="969"/>
      <c r="P69" s="969"/>
      <c r="Q69" s="969"/>
      <c r="R69" s="969"/>
      <c r="W69" s="1014"/>
      <c r="AC69" s="712"/>
    </row>
    <row r="70">
      <c r="A70" s="969"/>
      <c r="B70" s="969"/>
      <c r="C70" s="969"/>
      <c r="D70" s="969"/>
      <c r="E70" s="969"/>
      <c r="F70" s="969"/>
      <c r="G70" s="969"/>
      <c r="H70" s="969"/>
      <c r="I70" s="969"/>
      <c r="J70" s="969"/>
      <c r="K70" s="969"/>
      <c r="L70" s="969"/>
      <c r="M70" s="969"/>
      <c r="N70" s="969"/>
      <c r="O70" s="969"/>
      <c r="P70" s="969"/>
      <c r="Q70" s="969"/>
      <c r="R70" s="969"/>
      <c r="W70" s="1014"/>
      <c r="AC70" s="712"/>
    </row>
    <row r="71">
      <c r="A71" s="969"/>
      <c r="B71" s="969"/>
      <c r="C71" s="969"/>
      <c r="D71" s="969"/>
      <c r="E71" s="969"/>
      <c r="F71" s="969"/>
      <c r="G71" s="969"/>
      <c r="H71" s="969"/>
      <c r="I71" s="969"/>
      <c r="J71" s="969"/>
      <c r="K71" s="969"/>
      <c r="L71" s="969"/>
      <c r="M71" s="969"/>
      <c r="N71" s="969"/>
      <c r="O71" s="969"/>
      <c r="P71" s="969"/>
      <c r="Q71" s="969"/>
      <c r="R71" s="969"/>
      <c r="W71" s="1014"/>
      <c r="AC71" s="712"/>
    </row>
    <row r="72">
      <c r="A72" s="969"/>
      <c r="B72" s="969"/>
      <c r="C72" s="969"/>
      <c r="D72" s="969"/>
      <c r="E72" s="969"/>
      <c r="F72" s="969"/>
      <c r="G72" s="969"/>
      <c r="H72" s="969"/>
      <c r="I72" s="969"/>
      <c r="J72" s="969"/>
      <c r="K72" s="969"/>
      <c r="L72" s="969"/>
      <c r="M72" s="969"/>
      <c r="N72" s="969"/>
      <c r="O72" s="969"/>
      <c r="P72" s="969"/>
      <c r="Q72" s="969"/>
      <c r="R72" s="969"/>
      <c r="W72" s="1014"/>
      <c r="AC72" s="712"/>
    </row>
    <row r="73">
      <c r="A73" s="969"/>
      <c r="B73" s="969"/>
      <c r="C73" s="969"/>
      <c r="D73" s="969"/>
      <c r="E73" s="969"/>
      <c r="F73" s="969"/>
      <c r="G73" s="969"/>
      <c r="H73" s="969"/>
      <c r="I73" s="969"/>
      <c r="J73" s="969"/>
      <c r="K73" s="969"/>
      <c r="L73" s="969"/>
      <c r="M73" s="969"/>
      <c r="N73" s="969"/>
      <c r="O73" s="969"/>
      <c r="P73" s="969"/>
      <c r="Q73" s="969"/>
      <c r="R73" s="969"/>
      <c r="W73" s="1014"/>
      <c r="AC73" s="712"/>
    </row>
    <row r="74">
      <c r="A74" s="969"/>
      <c r="B74" s="969"/>
      <c r="C74" s="969"/>
      <c r="D74" s="969"/>
      <c r="E74" s="969"/>
      <c r="F74" s="969"/>
      <c r="G74" s="969"/>
      <c r="H74" s="969"/>
      <c r="I74" s="969"/>
      <c r="J74" s="969"/>
      <c r="K74" s="969"/>
      <c r="L74" s="969"/>
      <c r="M74" s="969"/>
      <c r="N74" s="969"/>
      <c r="O74" s="969"/>
      <c r="P74" s="969"/>
      <c r="Q74" s="969"/>
      <c r="R74" s="969"/>
      <c r="W74" s="1014"/>
      <c r="AC74" s="712"/>
    </row>
    <row r="75">
      <c r="A75" s="969"/>
      <c r="B75" s="969"/>
      <c r="C75" s="969"/>
      <c r="D75" s="969"/>
      <c r="E75" s="969"/>
      <c r="F75" s="969"/>
      <c r="G75" s="969"/>
      <c r="H75" s="969"/>
      <c r="I75" s="969"/>
      <c r="J75" s="969"/>
      <c r="K75" s="969"/>
      <c r="L75" s="969"/>
      <c r="M75" s="969"/>
      <c r="N75" s="969"/>
      <c r="O75" s="969"/>
      <c r="P75" s="969"/>
      <c r="Q75" s="969"/>
      <c r="R75" s="969"/>
      <c r="W75" s="1014"/>
      <c r="AC75" s="712"/>
    </row>
    <row r="76">
      <c r="A76" s="969"/>
      <c r="B76" s="969"/>
      <c r="C76" s="969"/>
      <c r="D76" s="969"/>
      <c r="E76" s="969"/>
      <c r="F76" s="969"/>
      <c r="G76" s="969"/>
      <c r="H76" s="969"/>
      <c r="I76" s="969"/>
      <c r="J76" s="969"/>
      <c r="K76" s="969"/>
      <c r="L76" s="969"/>
      <c r="M76" s="969"/>
      <c r="N76" s="969"/>
      <c r="O76" s="969"/>
      <c r="P76" s="969"/>
      <c r="Q76" s="969"/>
      <c r="R76" s="969"/>
      <c r="W76" s="1014"/>
      <c r="AC76" s="712"/>
    </row>
    <row r="77">
      <c r="A77" s="969"/>
      <c r="B77" s="969"/>
      <c r="C77" s="969"/>
      <c r="D77" s="969"/>
      <c r="E77" s="969"/>
      <c r="F77" s="969"/>
      <c r="G77" s="969"/>
      <c r="H77" s="969"/>
      <c r="I77" s="969"/>
      <c r="J77" s="969"/>
      <c r="K77" s="969"/>
      <c r="L77" s="969"/>
      <c r="M77" s="969"/>
      <c r="N77" s="969"/>
      <c r="O77" s="969"/>
      <c r="P77" s="969"/>
      <c r="Q77" s="969"/>
      <c r="R77" s="969"/>
      <c r="W77" s="1014"/>
      <c r="AC77" s="712"/>
    </row>
    <row r="78">
      <c r="A78" s="969"/>
      <c r="B78" s="969"/>
      <c r="C78" s="969"/>
      <c r="D78" s="969"/>
      <c r="E78" s="969"/>
      <c r="F78" s="969"/>
      <c r="G78" s="969"/>
      <c r="H78" s="969"/>
      <c r="I78" s="969"/>
      <c r="J78" s="969"/>
      <c r="K78" s="969"/>
      <c r="L78" s="969"/>
      <c r="M78" s="969"/>
      <c r="N78" s="969"/>
      <c r="O78" s="969"/>
      <c r="P78" s="969"/>
      <c r="Q78" s="969"/>
      <c r="R78" s="969"/>
      <c r="W78" s="1014"/>
      <c r="AC78" s="712"/>
    </row>
    <row r="79">
      <c r="A79" s="969"/>
      <c r="B79" s="969"/>
      <c r="C79" s="969"/>
      <c r="D79" s="969"/>
      <c r="E79" s="969"/>
      <c r="F79" s="969"/>
      <c r="G79" s="969"/>
      <c r="H79" s="969"/>
      <c r="I79" s="969"/>
      <c r="J79" s="969"/>
      <c r="K79" s="969"/>
      <c r="L79" s="969"/>
      <c r="M79" s="969"/>
      <c r="N79" s="969"/>
      <c r="O79" s="969"/>
      <c r="P79" s="969"/>
      <c r="Q79" s="969"/>
      <c r="R79" s="969"/>
      <c r="W79" s="1014"/>
      <c r="AC79" s="712"/>
    </row>
    <row r="80">
      <c r="A80" s="969"/>
      <c r="B80" s="969"/>
      <c r="C80" s="969"/>
      <c r="D80" s="969"/>
      <c r="E80" s="969"/>
      <c r="F80" s="969"/>
      <c r="G80" s="969"/>
      <c r="H80" s="969"/>
      <c r="I80" s="969"/>
      <c r="J80" s="969"/>
      <c r="K80" s="969"/>
      <c r="L80" s="969"/>
      <c r="M80" s="969"/>
      <c r="N80" s="969"/>
      <c r="O80" s="969"/>
      <c r="P80" s="969"/>
      <c r="Q80" s="969"/>
      <c r="R80" s="969"/>
      <c r="W80" s="1014"/>
      <c r="AC80" s="712"/>
    </row>
    <row r="81">
      <c r="A81" s="969"/>
      <c r="B81" s="969"/>
      <c r="C81" s="969"/>
      <c r="D81" s="969"/>
      <c r="E81" s="969"/>
      <c r="F81" s="969"/>
      <c r="G81" s="969"/>
      <c r="H81" s="969"/>
      <c r="I81" s="969"/>
      <c r="J81" s="969"/>
      <c r="K81" s="969"/>
      <c r="L81" s="969"/>
      <c r="M81" s="969"/>
      <c r="N81" s="969"/>
      <c r="O81" s="969"/>
      <c r="P81" s="969"/>
      <c r="Q81" s="969"/>
      <c r="R81" s="969"/>
      <c r="W81" s="1014"/>
      <c r="AC81" s="712"/>
    </row>
    <row r="82">
      <c r="A82" s="969"/>
      <c r="B82" s="969"/>
      <c r="C82" s="969"/>
      <c r="D82" s="969"/>
      <c r="E82" s="969"/>
      <c r="F82" s="969"/>
      <c r="G82" s="969"/>
      <c r="H82" s="969"/>
      <c r="I82" s="969"/>
      <c r="J82" s="969"/>
      <c r="K82" s="969"/>
      <c r="L82" s="969"/>
      <c r="M82" s="969"/>
      <c r="N82" s="969"/>
      <c r="O82" s="969"/>
      <c r="P82" s="969"/>
      <c r="Q82" s="969"/>
      <c r="R82" s="969"/>
      <c r="W82" s="1014"/>
      <c r="AC82" s="712"/>
    </row>
    <row r="83">
      <c r="A83" s="969"/>
      <c r="B83" s="969"/>
      <c r="C83" s="969"/>
      <c r="D83" s="969"/>
      <c r="E83" s="969"/>
      <c r="F83" s="969"/>
      <c r="G83" s="969"/>
      <c r="H83" s="969"/>
      <c r="I83" s="969"/>
      <c r="J83" s="969"/>
      <c r="K83" s="969"/>
      <c r="L83" s="969"/>
      <c r="M83" s="969"/>
      <c r="N83" s="969"/>
      <c r="O83" s="969"/>
      <c r="P83" s="969"/>
      <c r="Q83" s="969"/>
      <c r="R83" s="969"/>
      <c r="W83" s="1014"/>
      <c r="AC83" s="712"/>
    </row>
    <row r="84">
      <c r="A84" s="969"/>
      <c r="B84" s="969"/>
      <c r="C84" s="969"/>
      <c r="D84" s="969"/>
      <c r="E84" s="969"/>
      <c r="F84" s="969"/>
      <c r="G84" s="969"/>
      <c r="H84" s="969"/>
      <c r="I84" s="969"/>
      <c r="J84" s="969"/>
      <c r="K84" s="969"/>
      <c r="L84" s="969"/>
      <c r="M84" s="969"/>
      <c r="N84" s="969"/>
      <c r="O84" s="969"/>
      <c r="P84" s="969"/>
      <c r="Q84" s="969"/>
      <c r="R84" s="969"/>
      <c r="W84" s="1014"/>
      <c r="AC84" s="712"/>
    </row>
    <row r="85">
      <c r="A85" s="969"/>
      <c r="B85" s="969"/>
      <c r="C85" s="969"/>
      <c r="D85" s="969"/>
      <c r="E85" s="969"/>
      <c r="F85" s="969"/>
      <c r="G85" s="969"/>
      <c r="H85" s="969"/>
      <c r="I85" s="969"/>
      <c r="J85" s="969"/>
      <c r="K85" s="969"/>
      <c r="L85" s="969"/>
      <c r="M85" s="969"/>
      <c r="N85" s="969"/>
      <c r="O85" s="969"/>
      <c r="P85" s="969"/>
      <c r="Q85" s="969"/>
      <c r="R85" s="969"/>
      <c r="W85" s="1014"/>
      <c r="AC85" s="712"/>
    </row>
    <row r="86">
      <c r="A86" s="969"/>
      <c r="B86" s="969"/>
      <c r="C86" s="969"/>
      <c r="D86" s="969"/>
      <c r="E86" s="969"/>
      <c r="F86" s="969"/>
      <c r="G86" s="969"/>
      <c r="H86" s="969"/>
      <c r="I86" s="969"/>
      <c r="J86" s="969"/>
      <c r="K86" s="969"/>
      <c r="L86" s="969"/>
      <c r="M86" s="969"/>
      <c r="N86" s="969"/>
      <c r="O86" s="969"/>
      <c r="P86" s="969"/>
      <c r="Q86" s="969"/>
      <c r="R86" s="969"/>
      <c r="W86" s="1014"/>
      <c r="AC86" s="712"/>
    </row>
    <row r="87">
      <c r="A87" s="969"/>
      <c r="B87" s="969"/>
      <c r="C87" s="969"/>
      <c r="D87" s="969"/>
      <c r="E87" s="969"/>
      <c r="F87" s="969"/>
      <c r="G87" s="969"/>
      <c r="H87" s="969"/>
      <c r="I87" s="969"/>
      <c r="J87" s="969"/>
      <c r="K87" s="969"/>
      <c r="L87" s="969"/>
      <c r="M87" s="969"/>
      <c r="N87" s="969"/>
      <c r="O87" s="969"/>
      <c r="P87" s="969"/>
      <c r="Q87" s="969"/>
      <c r="R87" s="969"/>
      <c r="W87" s="1014"/>
      <c r="AC87" s="712"/>
    </row>
    <row r="88">
      <c r="A88" s="969"/>
      <c r="B88" s="969"/>
      <c r="C88" s="969"/>
      <c r="D88" s="969"/>
      <c r="E88" s="969"/>
      <c r="F88" s="969"/>
      <c r="G88" s="969"/>
      <c r="H88" s="969"/>
      <c r="I88" s="969"/>
      <c r="J88" s="969"/>
      <c r="K88" s="969"/>
      <c r="L88" s="969"/>
      <c r="M88" s="969"/>
      <c r="N88" s="969"/>
      <c r="O88" s="969"/>
      <c r="P88" s="969"/>
      <c r="Q88" s="969"/>
      <c r="R88" s="969"/>
      <c r="W88" s="1014"/>
      <c r="AC88" s="712"/>
    </row>
    <row r="89">
      <c r="A89" s="969"/>
      <c r="B89" s="969"/>
      <c r="C89" s="969"/>
      <c r="D89" s="969"/>
      <c r="E89" s="969"/>
      <c r="F89" s="969"/>
      <c r="G89" s="969"/>
      <c r="H89" s="969"/>
      <c r="I89" s="969"/>
      <c r="J89" s="969"/>
      <c r="K89" s="969"/>
      <c r="L89" s="969"/>
      <c r="M89" s="969"/>
      <c r="N89" s="969"/>
      <c r="O89" s="969"/>
      <c r="P89" s="969"/>
      <c r="Q89" s="969"/>
      <c r="R89" s="969"/>
      <c r="W89" s="1014"/>
      <c r="AC89" s="712"/>
    </row>
    <row r="90">
      <c r="A90" s="969"/>
      <c r="B90" s="969"/>
      <c r="C90" s="969"/>
      <c r="D90" s="969"/>
      <c r="E90" s="969"/>
      <c r="F90" s="969"/>
      <c r="G90" s="969"/>
      <c r="H90" s="969"/>
      <c r="I90" s="969"/>
      <c r="J90" s="969"/>
      <c r="K90" s="969"/>
      <c r="L90" s="969"/>
      <c r="M90" s="969"/>
      <c r="N90" s="969"/>
      <c r="O90" s="969"/>
      <c r="P90" s="969"/>
      <c r="Q90" s="969"/>
      <c r="R90" s="969"/>
      <c r="W90" s="1014"/>
      <c r="AC90" s="712"/>
    </row>
    <row r="91">
      <c r="A91" s="969"/>
      <c r="B91" s="969"/>
      <c r="C91" s="969"/>
      <c r="D91" s="969"/>
      <c r="E91" s="969"/>
      <c r="F91" s="969"/>
      <c r="G91" s="969"/>
      <c r="H91" s="969"/>
      <c r="I91" s="969"/>
      <c r="J91" s="969"/>
      <c r="K91" s="969"/>
      <c r="L91" s="969"/>
      <c r="M91" s="969"/>
      <c r="N91" s="969"/>
      <c r="O91" s="969"/>
      <c r="P91" s="969"/>
      <c r="Q91" s="969"/>
      <c r="R91" s="969"/>
      <c r="W91" s="1014"/>
      <c r="AC91" s="712"/>
    </row>
    <row r="92">
      <c r="A92" s="969"/>
      <c r="B92" s="969"/>
      <c r="C92" s="969"/>
      <c r="D92" s="969"/>
      <c r="E92" s="969"/>
      <c r="F92" s="969"/>
      <c r="G92" s="969"/>
      <c r="H92" s="969"/>
      <c r="I92" s="969"/>
      <c r="J92" s="969"/>
      <c r="K92" s="969"/>
      <c r="L92" s="969"/>
      <c r="M92" s="969"/>
      <c r="N92" s="969"/>
      <c r="O92" s="969"/>
      <c r="P92" s="969"/>
      <c r="Q92" s="969"/>
      <c r="R92" s="969"/>
      <c r="W92" s="1014"/>
      <c r="AC92" s="712"/>
    </row>
    <row r="93">
      <c r="A93" s="969"/>
      <c r="B93" s="969"/>
      <c r="C93" s="969"/>
      <c r="D93" s="969"/>
      <c r="E93" s="969"/>
      <c r="F93" s="969"/>
      <c r="G93" s="969"/>
      <c r="H93" s="969"/>
      <c r="I93" s="969"/>
      <c r="J93" s="969"/>
      <c r="K93" s="969"/>
      <c r="L93" s="969"/>
      <c r="M93" s="969"/>
      <c r="N93" s="969"/>
      <c r="O93" s="969"/>
      <c r="P93" s="969"/>
      <c r="Q93" s="969"/>
      <c r="R93" s="969"/>
      <c r="W93" s="1014"/>
      <c r="AC93" s="712"/>
    </row>
    <row r="94">
      <c r="A94" s="969"/>
      <c r="B94" s="969"/>
      <c r="C94" s="969"/>
      <c r="D94" s="969"/>
      <c r="E94" s="969"/>
      <c r="F94" s="969"/>
      <c r="G94" s="969"/>
      <c r="H94" s="969"/>
      <c r="I94" s="969"/>
      <c r="J94" s="969"/>
      <c r="K94" s="969"/>
      <c r="L94" s="969"/>
      <c r="M94" s="969"/>
      <c r="N94" s="969"/>
      <c r="O94" s="969"/>
      <c r="P94" s="969"/>
      <c r="Q94" s="969"/>
      <c r="R94" s="969"/>
      <c r="W94" s="1014"/>
      <c r="AC94" s="712"/>
    </row>
    <row r="95">
      <c r="A95" s="969"/>
      <c r="B95" s="969"/>
      <c r="C95" s="969"/>
      <c r="D95" s="969"/>
      <c r="E95" s="969"/>
      <c r="F95" s="969"/>
      <c r="G95" s="969"/>
      <c r="H95" s="969"/>
      <c r="I95" s="969"/>
      <c r="J95" s="969"/>
      <c r="K95" s="969"/>
      <c r="L95" s="969"/>
      <c r="M95" s="969"/>
      <c r="N95" s="969"/>
      <c r="O95" s="969"/>
      <c r="P95" s="969"/>
      <c r="Q95" s="969"/>
      <c r="R95" s="969"/>
      <c r="W95" s="1014"/>
      <c r="AC95" s="712"/>
    </row>
    <row r="96">
      <c r="A96" s="969"/>
      <c r="B96" s="969"/>
      <c r="C96" s="969"/>
      <c r="D96" s="969"/>
      <c r="E96" s="969"/>
      <c r="F96" s="969"/>
      <c r="G96" s="969"/>
      <c r="H96" s="969"/>
      <c r="I96" s="969"/>
      <c r="J96" s="969"/>
      <c r="K96" s="969"/>
      <c r="L96" s="969"/>
      <c r="M96" s="969"/>
      <c r="N96" s="969"/>
      <c r="O96" s="969"/>
      <c r="P96" s="969"/>
      <c r="Q96" s="969"/>
      <c r="R96" s="969"/>
      <c r="W96" s="1014"/>
      <c r="AC96" s="712"/>
    </row>
    <row r="97">
      <c r="A97" s="969"/>
      <c r="B97" s="969"/>
      <c r="C97" s="969"/>
      <c r="D97" s="969"/>
      <c r="E97" s="969"/>
      <c r="F97" s="969"/>
      <c r="G97" s="969"/>
      <c r="H97" s="969"/>
      <c r="I97" s="969"/>
      <c r="J97" s="969"/>
      <c r="K97" s="969"/>
      <c r="L97" s="969"/>
      <c r="M97" s="969"/>
      <c r="N97" s="969"/>
      <c r="O97" s="969"/>
      <c r="P97" s="969"/>
      <c r="Q97" s="969"/>
      <c r="R97" s="969"/>
      <c r="W97" s="1014"/>
      <c r="AC97" s="712"/>
    </row>
    <row r="98">
      <c r="A98" s="969"/>
      <c r="B98" s="969"/>
      <c r="C98" s="969"/>
      <c r="D98" s="969"/>
      <c r="E98" s="969"/>
      <c r="F98" s="969"/>
      <c r="G98" s="969"/>
      <c r="H98" s="969"/>
      <c r="I98" s="969"/>
      <c r="J98" s="969"/>
      <c r="K98" s="969"/>
      <c r="L98" s="969"/>
      <c r="M98" s="969"/>
      <c r="N98" s="969"/>
      <c r="O98" s="969"/>
      <c r="P98" s="969"/>
      <c r="Q98" s="969"/>
      <c r="R98" s="969"/>
      <c r="W98" s="1014"/>
      <c r="AC98" s="712"/>
    </row>
    <row r="99">
      <c r="A99" s="969"/>
      <c r="B99" s="969"/>
      <c r="C99" s="969"/>
      <c r="D99" s="969"/>
      <c r="E99" s="969"/>
      <c r="F99" s="969"/>
      <c r="G99" s="969"/>
      <c r="H99" s="969"/>
      <c r="I99" s="969"/>
      <c r="J99" s="969"/>
      <c r="K99" s="969"/>
      <c r="L99" s="969"/>
      <c r="M99" s="969"/>
      <c r="N99" s="969"/>
      <c r="O99" s="969"/>
      <c r="P99" s="969"/>
      <c r="Q99" s="969"/>
      <c r="R99" s="969"/>
      <c r="W99" s="1014"/>
      <c r="AC99" s="712"/>
    </row>
    <row r="100">
      <c r="A100" s="969"/>
      <c r="B100" s="969"/>
      <c r="C100" s="969"/>
      <c r="D100" s="969"/>
      <c r="E100" s="969"/>
      <c r="F100" s="969"/>
      <c r="G100" s="969"/>
      <c r="H100" s="969"/>
      <c r="I100" s="969"/>
      <c r="J100" s="969"/>
      <c r="K100" s="969"/>
      <c r="L100" s="969"/>
      <c r="M100" s="969"/>
      <c r="N100" s="969"/>
      <c r="O100" s="969"/>
      <c r="P100" s="969"/>
      <c r="Q100" s="969"/>
      <c r="R100" s="969"/>
      <c r="W100" s="1014"/>
      <c r="AC100" s="712"/>
    </row>
    <row r="101">
      <c r="A101" s="969"/>
      <c r="B101" s="969"/>
      <c r="C101" s="969"/>
      <c r="D101" s="969"/>
      <c r="E101" s="969"/>
      <c r="F101" s="969"/>
      <c r="G101" s="969"/>
      <c r="H101" s="969"/>
      <c r="I101" s="969"/>
      <c r="J101" s="969"/>
      <c r="K101" s="969"/>
      <c r="L101" s="969"/>
      <c r="M101" s="969"/>
      <c r="N101" s="969"/>
      <c r="O101" s="969"/>
      <c r="P101" s="969"/>
      <c r="Q101" s="969"/>
      <c r="R101" s="969"/>
      <c r="W101" s="1014"/>
      <c r="AC101" s="712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15" t="s">
        <v>390</v>
      </c>
      <c r="B1" s="1016" t="s">
        <v>549</v>
      </c>
      <c r="C1" s="1016" t="s">
        <v>550</v>
      </c>
      <c r="D1" s="1015" t="s">
        <v>551</v>
      </c>
      <c r="E1" s="1015" t="s">
        <v>395</v>
      </c>
    </row>
    <row r="2">
      <c r="A2" s="983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B2" s="984">
        <f>IFERROR(__xludf.DUMMYFUNCTION("""COMPUTED_VALUE"""),4.821120324928076)</f>
        <v>4.821120325</v>
      </c>
      <c r="C2" s="969" t="str">
        <f>IFERROR(__xludf.DUMMYFUNCTION("""COMPUTED_VALUE"""),"#DIV/0!")</f>
        <v>#DIV/0!</v>
      </c>
      <c r="D2" s="969" t="str">
        <f>IFERROR(__xludf.DUMMYFUNCTION("""COMPUTED_VALUE"""),"#DIV/0!")</f>
        <v>#DIV/0!</v>
      </c>
      <c r="E2" s="983" t="str">
        <f t="shared" ref="E2:E35" si="1">RANK(D2,D$2:D$55,0)</f>
        <v>#VALUE!</v>
      </c>
    </row>
    <row r="3">
      <c r="A3" s="969"/>
      <c r="B3" s="984"/>
      <c r="C3" s="969"/>
      <c r="D3" s="969" t="str">
        <f>IFERROR(__xludf.DUMMYFUNCTION("""COMPUTED_VALUE"""),"#DIV/0!")</f>
        <v>#DIV/0!</v>
      </c>
      <c r="E3" s="983" t="str">
        <f t="shared" si="1"/>
        <v>#VALUE!</v>
      </c>
    </row>
    <row r="4">
      <c r="A4" s="969"/>
      <c r="B4" s="984"/>
      <c r="C4" s="969"/>
      <c r="D4" s="969" t="str">
        <f>IFERROR(__xludf.DUMMYFUNCTION("""COMPUTED_VALUE"""),"#DIV/0!")</f>
        <v>#DIV/0!</v>
      </c>
      <c r="E4" s="983" t="str">
        <f t="shared" si="1"/>
        <v>#VALUE!</v>
      </c>
    </row>
    <row r="5">
      <c r="A5" s="969"/>
      <c r="B5" s="984"/>
      <c r="C5" s="969"/>
      <c r="D5" s="969" t="str">
        <f>IFERROR(__xludf.DUMMYFUNCTION("""COMPUTED_VALUE"""),"#DIV/0!")</f>
        <v>#DIV/0!</v>
      </c>
      <c r="E5" s="983" t="str">
        <f t="shared" si="1"/>
        <v>#VALUE!</v>
      </c>
    </row>
    <row r="6">
      <c r="A6" s="969"/>
      <c r="B6" s="984"/>
      <c r="C6" s="969"/>
      <c r="D6" s="969" t="str">
        <f>IFERROR(__xludf.DUMMYFUNCTION("""COMPUTED_VALUE"""),"#DIV/0!")</f>
        <v>#DIV/0!</v>
      </c>
      <c r="E6" s="983" t="str">
        <f t="shared" si="1"/>
        <v>#VALUE!</v>
      </c>
    </row>
    <row r="7">
      <c r="A7" s="969"/>
      <c r="B7" s="984"/>
      <c r="C7" s="969"/>
      <c r="D7" s="969" t="str">
        <f>IFERROR(__xludf.DUMMYFUNCTION("""COMPUTED_VALUE"""),"#DIV/0!")</f>
        <v>#DIV/0!</v>
      </c>
      <c r="E7" s="983" t="str">
        <f t="shared" si="1"/>
        <v>#VALUE!</v>
      </c>
    </row>
    <row r="8">
      <c r="A8" s="969"/>
      <c r="B8" s="984"/>
      <c r="C8" s="969"/>
      <c r="D8" s="969" t="str">
        <f>IFERROR(__xludf.DUMMYFUNCTION("""COMPUTED_VALUE"""),"#DIV/0!")</f>
        <v>#DIV/0!</v>
      </c>
      <c r="E8" s="983" t="str">
        <f t="shared" si="1"/>
        <v>#VALUE!</v>
      </c>
    </row>
    <row r="9">
      <c r="A9" s="969"/>
      <c r="B9" s="984"/>
      <c r="C9" s="969"/>
      <c r="D9" s="969" t="str">
        <f>IFERROR(__xludf.DUMMYFUNCTION("""COMPUTED_VALUE"""),"#DIV/0!")</f>
        <v>#DIV/0!</v>
      </c>
      <c r="E9" s="983" t="str">
        <f t="shared" si="1"/>
        <v>#VALUE!</v>
      </c>
    </row>
    <row r="10">
      <c r="A10" s="969"/>
      <c r="B10" s="984"/>
      <c r="C10" s="969"/>
      <c r="D10" s="969" t="str">
        <f>IFERROR(__xludf.DUMMYFUNCTION("""COMPUTED_VALUE"""),"#DIV/0!")</f>
        <v>#DIV/0!</v>
      </c>
      <c r="E10" s="983" t="str">
        <f t="shared" si="1"/>
        <v>#VALUE!</v>
      </c>
    </row>
    <row r="11">
      <c r="A11" s="969"/>
      <c r="B11" s="984"/>
      <c r="C11" s="969"/>
      <c r="D11" s="969" t="str">
        <f>IFERROR(__xludf.DUMMYFUNCTION("""COMPUTED_VALUE"""),"#DIV/0!")</f>
        <v>#DIV/0!</v>
      </c>
      <c r="E11" s="983" t="str">
        <f t="shared" si="1"/>
        <v>#VALUE!</v>
      </c>
    </row>
    <row r="12">
      <c r="A12" s="969"/>
      <c r="B12" s="984"/>
      <c r="C12" s="969"/>
      <c r="D12" s="969" t="str">
        <f>IFERROR(__xludf.DUMMYFUNCTION("""COMPUTED_VALUE"""),"#DIV/0!")</f>
        <v>#DIV/0!</v>
      </c>
      <c r="E12" s="983" t="str">
        <f t="shared" si="1"/>
        <v>#VALUE!</v>
      </c>
    </row>
    <row r="13">
      <c r="A13" s="969"/>
      <c r="B13" s="984"/>
      <c r="C13" s="969"/>
      <c r="D13" s="969" t="str">
        <f>IFERROR(__xludf.DUMMYFUNCTION("""COMPUTED_VALUE"""),"#DIV/0!")</f>
        <v>#DIV/0!</v>
      </c>
      <c r="E13" s="983" t="str">
        <f t="shared" si="1"/>
        <v>#VALUE!</v>
      </c>
    </row>
    <row r="14">
      <c r="A14" s="969"/>
      <c r="B14" s="984"/>
      <c r="C14" s="969"/>
      <c r="D14" s="969" t="str">
        <f>IFERROR(__xludf.DUMMYFUNCTION("""COMPUTED_VALUE"""),"#DIV/0!")</f>
        <v>#DIV/0!</v>
      </c>
      <c r="E14" s="983" t="str">
        <f t="shared" si="1"/>
        <v>#VALUE!</v>
      </c>
    </row>
    <row r="15">
      <c r="A15" s="969"/>
      <c r="B15" s="984"/>
      <c r="C15" s="969"/>
      <c r="D15" s="969" t="str">
        <f>IFERROR(__xludf.DUMMYFUNCTION("""COMPUTED_VALUE"""),"#DIV/0!")</f>
        <v>#DIV/0!</v>
      </c>
      <c r="E15" s="983" t="str">
        <f t="shared" si="1"/>
        <v>#VALUE!</v>
      </c>
    </row>
    <row r="16">
      <c r="A16" s="969"/>
      <c r="B16" s="984"/>
      <c r="C16" s="969"/>
      <c r="D16" s="969" t="str">
        <f>IFERROR(__xludf.DUMMYFUNCTION("""COMPUTED_VALUE"""),"#DIV/0!")</f>
        <v>#DIV/0!</v>
      </c>
      <c r="E16" s="983" t="str">
        <f t="shared" si="1"/>
        <v>#VALUE!</v>
      </c>
    </row>
    <row r="17">
      <c r="A17" s="969"/>
      <c r="B17" s="984"/>
      <c r="C17" s="969"/>
      <c r="D17" s="969" t="str">
        <f>IFERROR(__xludf.DUMMYFUNCTION("""COMPUTED_VALUE"""),"#DIV/0!")</f>
        <v>#DIV/0!</v>
      </c>
      <c r="E17" s="983" t="str">
        <f t="shared" si="1"/>
        <v>#VALUE!</v>
      </c>
    </row>
    <row r="18">
      <c r="A18" s="969"/>
      <c r="B18" s="984"/>
      <c r="C18" s="969"/>
      <c r="D18" s="969" t="str">
        <f>IFERROR(__xludf.DUMMYFUNCTION("""COMPUTED_VALUE"""),"#DIV/0!")</f>
        <v>#DIV/0!</v>
      </c>
      <c r="E18" s="983" t="str">
        <f t="shared" si="1"/>
        <v>#VALUE!</v>
      </c>
    </row>
    <row r="19">
      <c r="A19" s="969"/>
      <c r="B19" s="984"/>
      <c r="C19" s="969"/>
      <c r="D19" s="969" t="str">
        <f>IFERROR(__xludf.DUMMYFUNCTION("""COMPUTED_VALUE"""),"#DIV/0!")</f>
        <v>#DIV/0!</v>
      </c>
      <c r="E19" s="983" t="str">
        <f t="shared" si="1"/>
        <v>#VALUE!</v>
      </c>
    </row>
    <row r="20">
      <c r="A20" s="969"/>
      <c r="B20" s="984"/>
      <c r="C20" s="969"/>
      <c r="D20" s="969" t="str">
        <f>IFERROR(__xludf.DUMMYFUNCTION("""COMPUTED_VALUE"""),"#DIV/0!")</f>
        <v>#DIV/0!</v>
      </c>
      <c r="E20" s="983" t="str">
        <f t="shared" si="1"/>
        <v>#VALUE!</v>
      </c>
    </row>
    <row r="21">
      <c r="A21" s="969"/>
      <c r="B21" s="984"/>
      <c r="C21" s="969"/>
      <c r="D21" s="969" t="str">
        <f>IFERROR(__xludf.DUMMYFUNCTION("""COMPUTED_VALUE"""),"#DIV/0!")</f>
        <v>#DIV/0!</v>
      </c>
      <c r="E21" s="983" t="str">
        <f t="shared" si="1"/>
        <v>#VALUE!</v>
      </c>
    </row>
    <row r="22">
      <c r="A22" s="969"/>
      <c r="B22" s="984"/>
      <c r="C22" s="969"/>
      <c r="D22" s="969" t="str">
        <f>IFERROR(__xludf.DUMMYFUNCTION("""COMPUTED_VALUE"""),"#DIV/0!")</f>
        <v>#DIV/0!</v>
      </c>
      <c r="E22" s="983" t="str">
        <f t="shared" si="1"/>
        <v>#VALUE!</v>
      </c>
    </row>
    <row r="23">
      <c r="A23" s="969"/>
      <c r="B23" s="984"/>
      <c r="C23" s="969"/>
      <c r="D23" s="969" t="str">
        <f>IFERROR(__xludf.DUMMYFUNCTION("""COMPUTED_VALUE"""),"#DIV/0!")</f>
        <v>#DIV/0!</v>
      </c>
      <c r="E23" s="983" t="str">
        <f t="shared" si="1"/>
        <v>#VALUE!</v>
      </c>
    </row>
    <row r="24">
      <c r="A24" s="969"/>
      <c r="B24" s="984"/>
      <c r="C24" s="969"/>
      <c r="D24" s="969" t="str">
        <f>IFERROR(__xludf.DUMMYFUNCTION("""COMPUTED_VALUE"""),"#DIV/0!")</f>
        <v>#DIV/0!</v>
      </c>
      <c r="E24" s="983" t="str">
        <f t="shared" si="1"/>
        <v>#VALUE!</v>
      </c>
    </row>
    <row r="25">
      <c r="A25" s="969"/>
      <c r="B25" s="984"/>
      <c r="C25" s="969"/>
      <c r="D25" s="969" t="str">
        <f>IFERROR(__xludf.DUMMYFUNCTION("""COMPUTED_VALUE"""),"#DIV/0!")</f>
        <v>#DIV/0!</v>
      </c>
      <c r="E25" s="983" t="str">
        <f t="shared" si="1"/>
        <v>#VALUE!</v>
      </c>
    </row>
    <row r="26">
      <c r="A26" s="969"/>
      <c r="B26" s="984"/>
      <c r="C26" s="969"/>
      <c r="D26" s="969" t="str">
        <f>IFERROR(__xludf.DUMMYFUNCTION("""COMPUTED_VALUE"""),"#DIV/0!")</f>
        <v>#DIV/0!</v>
      </c>
      <c r="E26" s="983" t="str">
        <f t="shared" si="1"/>
        <v>#VALUE!</v>
      </c>
    </row>
    <row r="27">
      <c r="A27" s="969"/>
      <c r="B27" s="984"/>
      <c r="C27" s="969"/>
      <c r="D27" s="969" t="str">
        <f>IFERROR(__xludf.DUMMYFUNCTION("""COMPUTED_VALUE"""),"#DIV/0!")</f>
        <v>#DIV/0!</v>
      </c>
      <c r="E27" s="983" t="str">
        <f t="shared" si="1"/>
        <v>#VALUE!</v>
      </c>
    </row>
    <row r="28">
      <c r="A28" s="969"/>
      <c r="B28" s="984"/>
      <c r="C28" s="969"/>
      <c r="D28" s="969" t="str">
        <f>IFERROR(__xludf.DUMMYFUNCTION("""COMPUTED_VALUE"""),"#DIV/0!")</f>
        <v>#DIV/0!</v>
      </c>
      <c r="E28" s="983" t="str">
        <f t="shared" si="1"/>
        <v>#VALUE!</v>
      </c>
    </row>
    <row r="29">
      <c r="A29" s="969"/>
      <c r="B29" s="984"/>
      <c r="C29" s="969"/>
      <c r="D29" s="969" t="str">
        <f>IFERROR(__xludf.DUMMYFUNCTION("""COMPUTED_VALUE"""),"#DIV/0!")</f>
        <v>#DIV/0!</v>
      </c>
      <c r="E29" s="983" t="str">
        <f t="shared" si="1"/>
        <v>#VALUE!</v>
      </c>
    </row>
    <row r="30">
      <c r="A30" s="969"/>
      <c r="B30" s="984"/>
      <c r="C30" s="969"/>
      <c r="D30" s="969" t="str">
        <f>IFERROR(__xludf.DUMMYFUNCTION("""COMPUTED_VALUE"""),"#DIV/0!")</f>
        <v>#DIV/0!</v>
      </c>
      <c r="E30" s="983" t="str">
        <f t="shared" si="1"/>
        <v>#VALUE!</v>
      </c>
    </row>
    <row r="31">
      <c r="A31" s="969"/>
      <c r="B31" s="984"/>
      <c r="C31" s="969"/>
      <c r="D31" s="969" t="str">
        <f>IFERROR(__xludf.DUMMYFUNCTION("""COMPUTED_VALUE"""),"#DIV/0!")</f>
        <v>#DIV/0!</v>
      </c>
      <c r="E31" s="983" t="str">
        <f t="shared" si="1"/>
        <v>#VALUE!</v>
      </c>
    </row>
    <row r="32">
      <c r="A32" s="969"/>
      <c r="B32" s="984"/>
      <c r="C32" s="969"/>
      <c r="D32" s="969" t="str">
        <f>IFERROR(__xludf.DUMMYFUNCTION("""COMPUTED_VALUE"""),"#DIV/0!")</f>
        <v>#DIV/0!</v>
      </c>
      <c r="E32" s="983" t="str">
        <f t="shared" si="1"/>
        <v>#VALUE!</v>
      </c>
    </row>
    <row r="33">
      <c r="A33" s="969"/>
      <c r="B33" s="984"/>
      <c r="C33" s="969"/>
      <c r="D33" s="969" t="str">
        <f>IFERROR(__xludf.DUMMYFUNCTION("""COMPUTED_VALUE"""),"#DIV/0!")</f>
        <v>#DIV/0!</v>
      </c>
      <c r="E33" s="969" t="str">
        <f t="shared" si="1"/>
        <v>#VALUE!</v>
      </c>
    </row>
    <row r="34">
      <c r="A34" s="969"/>
      <c r="B34" s="984"/>
      <c r="C34" s="969"/>
      <c r="D34" s="969" t="str">
        <f>IFERROR(__xludf.DUMMYFUNCTION("""COMPUTED_VALUE"""),"#DIV/0!")</f>
        <v>#DIV/0!</v>
      </c>
      <c r="E34" s="969" t="str">
        <f t="shared" si="1"/>
        <v>#VALUE!</v>
      </c>
    </row>
    <row r="35">
      <c r="A35" s="969"/>
      <c r="B35" s="984"/>
      <c r="C35" s="969"/>
      <c r="D35" s="969" t="str">
        <f>IFERROR(__xludf.DUMMYFUNCTION("""COMPUTED_VALUE"""),"#DIV/0!")</f>
        <v>#DIV/0!</v>
      </c>
      <c r="E35" s="969" t="str">
        <f t="shared" si="1"/>
        <v>#VALUE!</v>
      </c>
    </row>
    <row r="36">
      <c r="A36" s="969"/>
      <c r="B36" s="984"/>
      <c r="C36" s="969"/>
      <c r="D36" s="969" t="str">
        <f>IFERROR(__xludf.DUMMYFUNCTION("""COMPUTED_VALUE"""),"#DIV/0!")</f>
        <v>#DIV/0!</v>
      </c>
    </row>
    <row r="37">
      <c r="A37" s="969"/>
      <c r="B37" s="984"/>
      <c r="C37" s="969"/>
      <c r="D37" s="969" t="str">
        <f>IFERROR(__xludf.DUMMYFUNCTION("""COMPUTED_VALUE"""),"#DIV/0!")</f>
        <v>#DIV/0!</v>
      </c>
    </row>
    <row r="38">
      <c r="A38" s="969"/>
      <c r="B38" s="984"/>
      <c r="C38" s="969"/>
      <c r="D38" s="969" t="str">
        <f>IFERROR(__xludf.DUMMYFUNCTION("""COMPUTED_VALUE"""),"#DIV/0!")</f>
        <v>#DIV/0!</v>
      </c>
    </row>
    <row r="39">
      <c r="A39" s="969"/>
      <c r="B39" s="984"/>
      <c r="C39" s="969"/>
      <c r="D39" s="969" t="str">
        <f>IFERROR(__xludf.DUMMYFUNCTION("""COMPUTED_VALUE"""),"#DIV/0!")</f>
        <v>#DIV/0!</v>
      </c>
    </row>
    <row r="40">
      <c r="A40" s="969"/>
      <c r="B40" s="984"/>
      <c r="C40" s="969"/>
      <c r="D40" s="969" t="str">
        <f>IFERROR(__xludf.DUMMYFUNCTION("""COMPUTED_VALUE"""),"#DIV/0!")</f>
        <v>#DIV/0!</v>
      </c>
    </row>
    <row r="41">
      <c r="A41" s="969"/>
      <c r="B41" s="984"/>
      <c r="C41" s="969"/>
      <c r="D41" s="969" t="str">
        <f>IFERROR(__xludf.DUMMYFUNCTION("""COMPUTED_VALUE"""),"#DIV/0!")</f>
        <v>#DIV/0!</v>
      </c>
    </row>
    <row r="42">
      <c r="A42" s="991"/>
      <c r="B42" s="1017"/>
      <c r="C42" s="992"/>
      <c r="D42" s="992" t="str">
        <f>IFERROR(__xludf.DUMMYFUNCTION("""COMPUTED_VALUE"""),"#DIV/0!")</f>
        <v>#DIV/0!</v>
      </c>
      <c r="E42" s="992"/>
      <c r="F42" s="992"/>
      <c r="G42" s="992"/>
    </row>
    <row r="43">
      <c r="A43" s="988"/>
      <c r="B43" s="1018"/>
      <c r="C43" s="993"/>
      <c r="D43" s="993" t="str">
        <f>IFERROR(__xludf.DUMMYFUNCTION("""COMPUTED_VALUE"""),"#DIV/0!")</f>
        <v>#DIV/0!</v>
      </c>
      <c r="E43" s="993"/>
      <c r="F43" s="717"/>
      <c r="G43" s="717"/>
    </row>
    <row r="44">
      <c r="A44" s="994"/>
      <c r="B44" s="1018"/>
      <c r="C44" s="993"/>
      <c r="D44" s="993" t="str">
        <f>IFERROR(__xludf.DUMMYFUNCTION("""COMPUTED_VALUE"""),"#DIV/0!")</f>
        <v>#DIV/0!</v>
      </c>
      <c r="E44" s="993"/>
      <c r="F44" s="717"/>
      <c r="G44" s="717"/>
    </row>
    <row r="45">
      <c r="A45" s="994"/>
      <c r="B45" s="1018"/>
      <c r="C45" s="993"/>
      <c r="D45" s="993" t="str">
        <f>IFERROR(__xludf.DUMMYFUNCTION("""COMPUTED_VALUE"""),"#DIV/0!")</f>
        <v>#DIV/0!</v>
      </c>
      <c r="E45" s="993"/>
      <c r="F45" s="717"/>
      <c r="G45" s="717"/>
    </row>
    <row r="46">
      <c r="A46" s="994"/>
      <c r="B46" s="1018"/>
      <c r="C46" s="993"/>
      <c r="D46" s="993" t="str">
        <f>IFERROR(__xludf.DUMMYFUNCTION("""COMPUTED_VALUE"""),"#DIV/0!")</f>
        <v>#DIV/0!</v>
      </c>
      <c r="E46" s="993"/>
      <c r="F46" s="717"/>
      <c r="G46" s="717"/>
    </row>
    <row r="47">
      <c r="A47" s="994"/>
      <c r="B47" s="1018"/>
      <c r="C47" s="993"/>
      <c r="D47" s="993" t="str">
        <f>IFERROR(__xludf.DUMMYFUNCTION("""COMPUTED_VALUE"""),"#DIV/0!")</f>
        <v>#DIV/0!</v>
      </c>
      <c r="E47" s="993"/>
      <c r="F47" s="717"/>
      <c r="G47" s="717"/>
    </row>
    <row r="48">
      <c r="A48" s="994"/>
      <c r="B48" s="1018"/>
      <c r="C48" s="993"/>
      <c r="D48" s="993" t="str">
        <f>IFERROR(__xludf.DUMMYFUNCTION("""COMPUTED_VALUE"""),"#DIV/0!")</f>
        <v>#DIV/0!</v>
      </c>
      <c r="E48" s="993"/>
      <c r="F48" s="717"/>
      <c r="G48" s="717"/>
    </row>
    <row r="49">
      <c r="A49" s="994"/>
      <c r="B49" s="1018"/>
      <c r="C49" s="993"/>
      <c r="D49" s="993" t="str">
        <f>IFERROR(__xludf.DUMMYFUNCTION("""COMPUTED_VALUE"""),"#DIV/0!")</f>
        <v>#DIV/0!</v>
      </c>
      <c r="E49" s="993"/>
      <c r="F49" s="717"/>
      <c r="G49" s="717"/>
    </row>
    <row r="50">
      <c r="A50" s="994"/>
      <c r="B50" s="1018"/>
      <c r="C50" s="993"/>
      <c r="D50" s="993" t="str">
        <f>IFERROR(__xludf.DUMMYFUNCTION("""COMPUTED_VALUE"""),"#DIV/0!")</f>
        <v>#DIV/0!</v>
      </c>
      <c r="E50" s="993"/>
      <c r="F50" s="717"/>
      <c r="G50" s="717"/>
    </row>
    <row r="51">
      <c r="A51" s="717"/>
      <c r="B51" s="1019"/>
      <c r="C51" s="717"/>
      <c r="D51" s="717" t="str">
        <f>IFERROR(__xludf.DUMMYFUNCTION("""COMPUTED_VALUE"""),"#DIV/0!")</f>
        <v>#DIV/0!</v>
      </c>
      <c r="E51" s="717"/>
      <c r="F51" s="717"/>
      <c r="G51" s="717"/>
    </row>
    <row r="52">
      <c r="A52" s="969"/>
      <c r="B52" s="984"/>
      <c r="C52" s="969"/>
      <c r="D52" s="969" t="str">
        <f>IFERROR(__xludf.DUMMYFUNCTION("""COMPUTED_VALUE"""),"#DIV/0!")</f>
        <v>#DIV/0!</v>
      </c>
    </row>
    <row r="53">
      <c r="A53" s="969"/>
      <c r="B53" s="984"/>
      <c r="C53" s="969"/>
      <c r="D53" s="969" t="str">
        <f>IFERROR(__xludf.DUMMYFUNCTION("""COMPUTED_VALUE"""),"#DIV/0!")</f>
        <v>#DIV/0!</v>
      </c>
    </row>
    <row r="54">
      <c r="A54" s="969"/>
      <c r="B54" s="984"/>
      <c r="C54" s="969"/>
      <c r="D54" s="969"/>
    </row>
    <row r="55">
      <c r="A55" s="969"/>
      <c r="B55" s="984"/>
      <c r="C55" s="969"/>
      <c r="D55" s="969"/>
    </row>
    <row r="56">
      <c r="A56" s="969"/>
      <c r="B56" s="984"/>
      <c r="C56" s="969"/>
      <c r="D56" s="969"/>
    </row>
    <row r="57">
      <c r="A57" s="969"/>
      <c r="B57" s="984"/>
      <c r="C57" s="969"/>
      <c r="D57" s="969"/>
    </row>
    <row r="58">
      <c r="A58" s="969"/>
      <c r="B58" s="984"/>
      <c r="C58" s="969"/>
      <c r="D58" s="969"/>
    </row>
    <row r="59">
      <c r="A59" s="969"/>
      <c r="B59" s="984"/>
      <c r="C59" s="969"/>
      <c r="D59" s="969"/>
    </row>
    <row r="60">
      <c r="A60" s="969"/>
      <c r="B60" s="984"/>
      <c r="C60" s="969"/>
      <c r="D60" s="969"/>
    </row>
    <row r="61">
      <c r="A61" s="969"/>
      <c r="B61" s="984"/>
      <c r="C61" s="969"/>
      <c r="D61" s="969"/>
    </row>
    <row r="62">
      <c r="A62" s="969"/>
      <c r="B62" s="984"/>
      <c r="C62" s="969"/>
      <c r="D62" s="969"/>
    </row>
    <row r="63">
      <c r="A63" s="969"/>
      <c r="B63" s="984"/>
      <c r="C63" s="969"/>
      <c r="D63" s="969"/>
    </row>
    <row r="64">
      <c r="A64" s="969"/>
      <c r="B64" s="984"/>
      <c r="C64" s="969"/>
      <c r="D64" s="969"/>
    </row>
    <row r="65">
      <c r="A65" s="969"/>
      <c r="B65" s="984"/>
      <c r="C65" s="969"/>
      <c r="D65" s="969"/>
    </row>
    <row r="66">
      <c r="A66" s="969"/>
      <c r="B66" s="984"/>
      <c r="C66" s="969"/>
      <c r="D66" s="969"/>
    </row>
    <row r="67">
      <c r="A67" s="969"/>
      <c r="B67" s="984"/>
      <c r="C67" s="969"/>
      <c r="D67" s="969"/>
    </row>
    <row r="68">
      <c r="A68" s="969"/>
      <c r="B68" s="984"/>
      <c r="C68" s="969"/>
      <c r="D68" s="969"/>
    </row>
    <row r="69">
      <c r="A69" s="969"/>
      <c r="B69" s="984"/>
      <c r="C69" s="969"/>
      <c r="D69" s="969"/>
    </row>
    <row r="70">
      <c r="A70" s="969"/>
      <c r="B70" s="984"/>
      <c r="C70" s="969"/>
      <c r="D70" s="969"/>
    </row>
    <row r="71">
      <c r="A71" s="969"/>
      <c r="B71" s="984"/>
      <c r="C71" s="969"/>
      <c r="D71" s="969"/>
    </row>
    <row r="72">
      <c r="A72" s="969"/>
      <c r="B72" s="984"/>
      <c r="C72" s="969"/>
      <c r="D72" s="969"/>
    </row>
    <row r="73">
      <c r="A73" s="969"/>
      <c r="B73" s="984"/>
      <c r="C73" s="969"/>
      <c r="D73" s="969"/>
    </row>
    <row r="74">
      <c r="A74" s="969"/>
      <c r="B74" s="984"/>
      <c r="C74" s="969"/>
      <c r="D74" s="969"/>
    </row>
    <row r="75">
      <c r="A75" s="969"/>
      <c r="B75" s="984"/>
      <c r="C75" s="969"/>
      <c r="D75" s="969"/>
    </row>
    <row r="76">
      <c r="A76" s="969"/>
      <c r="B76" s="984"/>
      <c r="C76" s="969"/>
      <c r="D76" s="969"/>
    </row>
    <row r="77">
      <c r="A77" s="969"/>
      <c r="B77" s="984"/>
      <c r="C77" s="969"/>
      <c r="D77" s="969"/>
    </row>
    <row r="78">
      <c r="A78" s="969"/>
      <c r="B78" s="984"/>
      <c r="C78" s="969"/>
      <c r="D78" s="969"/>
    </row>
    <row r="79">
      <c r="A79" s="969"/>
      <c r="B79" s="984"/>
      <c r="C79" s="969"/>
      <c r="D79" s="969"/>
    </row>
    <row r="80">
      <c r="A80" s="969"/>
      <c r="B80" s="984"/>
      <c r="C80" s="969"/>
      <c r="D80" s="969"/>
    </row>
    <row r="81">
      <c r="A81" s="969"/>
      <c r="B81" s="984"/>
      <c r="C81" s="969"/>
      <c r="D81" s="969"/>
    </row>
    <row r="82">
      <c r="A82" s="969"/>
      <c r="B82" s="984"/>
      <c r="C82" s="969"/>
      <c r="D82" s="969"/>
    </row>
    <row r="83">
      <c r="A83" s="969"/>
      <c r="B83" s="984"/>
      <c r="C83" s="969"/>
      <c r="D83" s="969"/>
    </row>
    <row r="84">
      <c r="A84" s="969"/>
      <c r="B84" s="984"/>
      <c r="C84" s="969"/>
      <c r="D84" s="969"/>
    </row>
    <row r="85">
      <c r="A85" s="969"/>
      <c r="B85" s="984"/>
      <c r="C85" s="969"/>
      <c r="D85" s="969"/>
    </row>
    <row r="86">
      <c r="A86" s="969"/>
      <c r="B86" s="984"/>
      <c r="C86" s="969"/>
      <c r="D86" s="969"/>
    </row>
    <row r="87">
      <c r="A87" s="969"/>
      <c r="B87" s="984"/>
      <c r="C87" s="969"/>
      <c r="D87" s="969"/>
    </row>
    <row r="88">
      <c r="A88" s="969"/>
      <c r="B88" s="984"/>
      <c r="C88" s="969"/>
      <c r="D88" s="969"/>
    </row>
    <row r="89">
      <c r="A89" s="969"/>
      <c r="B89" s="984"/>
      <c r="C89" s="969"/>
      <c r="D89" s="969"/>
    </row>
    <row r="90">
      <c r="A90" s="969"/>
      <c r="B90" s="984"/>
      <c r="C90" s="969"/>
      <c r="D90" s="969"/>
    </row>
    <row r="91">
      <c r="A91" s="969"/>
      <c r="B91" s="984"/>
      <c r="C91" s="969"/>
      <c r="D91" s="969"/>
    </row>
    <row r="92">
      <c r="A92" s="969"/>
      <c r="B92" s="984"/>
      <c r="C92" s="969"/>
      <c r="D92" s="969"/>
    </row>
    <row r="93">
      <c r="A93" s="969"/>
      <c r="B93" s="984"/>
      <c r="C93" s="969"/>
      <c r="D93" s="969"/>
    </row>
    <row r="94">
      <c r="A94" s="969"/>
      <c r="B94" s="984"/>
      <c r="C94" s="969"/>
      <c r="D94" s="969"/>
    </row>
    <row r="95">
      <c r="A95" s="969"/>
      <c r="B95" s="984"/>
      <c r="C95" s="969"/>
      <c r="D95" s="969"/>
    </row>
    <row r="96">
      <c r="A96" s="969"/>
      <c r="B96" s="984"/>
      <c r="C96" s="969"/>
      <c r="D96" s="969"/>
    </row>
    <row r="97">
      <c r="A97" s="969"/>
      <c r="B97" s="984"/>
      <c r="C97" s="969"/>
      <c r="D97" s="969"/>
    </row>
    <row r="98">
      <c r="A98" s="969"/>
      <c r="B98" s="984"/>
      <c r="C98" s="969"/>
      <c r="D98" s="969"/>
    </row>
    <row r="99">
      <c r="A99" s="969"/>
      <c r="B99" s="984"/>
      <c r="C99" s="969"/>
      <c r="D99" s="969"/>
    </row>
    <row r="100">
      <c r="A100" s="969"/>
      <c r="B100" s="984"/>
      <c r="C100" s="969"/>
      <c r="D100" s="969"/>
    </row>
    <row r="101">
      <c r="A101" s="969"/>
      <c r="B101" s="984"/>
      <c r="C101" s="969"/>
      <c r="D101" s="96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12" width="16.57"/>
    <col customWidth="1" min="13" max="13" width="14.43"/>
    <col customWidth="1" min="14" max="17" width="4.43"/>
    <col customWidth="1" min="18" max="18" width="2.29"/>
    <col customWidth="1" min="19" max="20" width="5.86"/>
    <col customWidth="1" min="21" max="21" width="25.43"/>
    <col customWidth="1" min="22" max="22" width="17.0"/>
    <col customWidth="1" min="23" max="23" width="17.29"/>
    <col customWidth="1" min="24" max="24" width="14.43"/>
    <col customWidth="1" min="25" max="28" width="4.43"/>
    <col customWidth="1" min="29" max="29" width="2.29"/>
    <col customWidth="1" min="30" max="31" width="5.86"/>
    <col customWidth="1" min="32" max="32" width="24.43"/>
    <col customWidth="1" min="33" max="33" width="14.43"/>
    <col customWidth="1" min="34" max="34" width="16.57"/>
    <col customWidth="1" min="35" max="35" width="14.43"/>
    <col customWidth="1" min="36" max="39" width="4.43"/>
    <col customWidth="1" min="40" max="40" width="2.29"/>
    <col customWidth="1" min="41" max="42" width="5.86"/>
    <col customWidth="1" min="43" max="43" width="19.43"/>
    <col customWidth="1" min="44" max="44" width="14.43"/>
    <col customWidth="1" min="45" max="45" width="15.86"/>
    <col customWidth="1" min="46" max="46" width="14.43"/>
    <col customWidth="1" min="47" max="51" width="4.43"/>
  </cols>
  <sheetData>
    <row r="1">
      <c r="A1" s="1" t="str">
        <f>FAUX(``
()</f>
        <v>#ERROR!</v>
      </c>
      <c r="B1" s="1020">
        <v>45982.0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021"/>
      <c r="AE1" s="1021"/>
      <c r="AF1" s="1021"/>
      <c r="AG1" s="1021"/>
      <c r="AH1" s="1021"/>
      <c r="AI1" s="1021"/>
      <c r="AJ1" s="1021"/>
      <c r="AK1" s="1021"/>
      <c r="AL1" s="1021"/>
      <c r="AM1" s="1021"/>
      <c r="AN1" s="1021"/>
      <c r="AO1" s="1021"/>
      <c r="AP1" s="1021"/>
      <c r="AQ1" s="1021"/>
      <c r="AR1" s="1021"/>
      <c r="AS1" s="1021"/>
      <c r="AT1" s="1021"/>
      <c r="AU1" s="1021"/>
      <c r="AV1" s="1021"/>
      <c r="AW1" s="1021"/>
      <c r="AX1" s="1022"/>
      <c r="AY1" s="1023"/>
    </row>
    <row r="2">
      <c r="A2" s="48"/>
      <c r="B2" s="1024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025"/>
      <c r="S2" s="1026" t="s">
        <v>1</v>
      </c>
      <c r="T2" s="9"/>
      <c r="U2" s="9"/>
      <c r="V2" s="9"/>
      <c r="W2" s="9"/>
      <c r="X2" s="9"/>
      <c r="Y2" s="9"/>
      <c r="Z2" s="9"/>
      <c r="AA2" s="9"/>
      <c r="AB2" s="10"/>
      <c r="AC2" s="1027"/>
      <c r="AD2" s="1024" t="s">
        <v>559</v>
      </c>
      <c r="AE2" s="9"/>
      <c r="AF2" s="9"/>
      <c r="AG2" s="9"/>
      <c r="AH2" s="9"/>
      <c r="AI2" s="9"/>
      <c r="AJ2" s="9"/>
      <c r="AK2" s="9"/>
      <c r="AL2" s="9"/>
      <c r="AM2" s="10"/>
      <c r="AN2" s="1027"/>
      <c r="AO2" s="1028" t="s">
        <v>560</v>
      </c>
      <c r="AP2" s="9"/>
      <c r="AQ2" s="9"/>
      <c r="AR2" s="9"/>
      <c r="AS2" s="9"/>
      <c r="AT2" s="9"/>
      <c r="AU2" s="9"/>
      <c r="AV2" s="9"/>
      <c r="AW2" s="9"/>
      <c r="AX2" s="10"/>
      <c r="AY2" s="1029"/>
    </row>
    <row r="3" ht="19.5" customHeight="1">
      <c r="A3" s="16"/>
      <c r="B3" s="783" t="s">
        <v>4</v>
      </c>
      <c r="C3" s="784" t="s">
        <v>5</v>
      </c>
      <c r="D3" s="784" t="s">
        <v>6</v>
      </c>
      <c r="E3" s="784" t="s">
        <v>7</v>
      </c>
      <c r="F3" s="784" t="s">
        <v>8</v>
      </c>
      <c r="G3" s="784"/>
      <c r="H3" s="784"/>
      <c r="I3" s="784"/>
      <c r="J3" s="784"/>
      <c r="K3" s="784"/>
      <c r="L3" s="784"/>
      <c r="M3" s="784" t="s">
        <v>9</v>
      </c>
      <c r="N3" s="785" t="s">
        <v>10</v>
      </c>
      <c r="O3" s="785" t="s">
        <v>11</v>
      </c>
      <c r="P3" s="785" t="s">
        <v>12</v>
      </c>
      <c r="Q3" s="786" t="s">
        <v>13</v>
      </c>
      <c r="R3" s="1030"/>
      <c r="S3" s="788" t="s">
        <v>4</v>
      </c>
      <c r="T3" s="789" t="s">
        <v>5</v>
      </c>
      <c r="U3" s="790" t="s">
        <v>6</v>
      </c>
      <c r="V3" s="790" t="s">
        <v>7</v>
      </c>
      <c r="W3" s="790" t="s">
        <v>8</v>
      </c>
      <c r="X3" s="791" t="s">
        <v>9</v>
      </c>
      <c r="Y3" s="792" t="s">
        <v>10</v>
      </c>
      <c r="Z3" s="793" t="s">
        <v>11</v>
      </c>
      <c r="AA3" s="793" t="s">
        <v>12</v>
      </c>
      <c r="AB3" s="1031" t="s">
        <v>13</v>
      </c>
      <c r="AC3" s="1032"/>
      <c r="AD3" s="784" t="s">
        <v>4</v>
      </c>
      <c r="AE3" s="784" t="s">
        <v>5</v>
      </c>
      <c r="AF3" s="784" t="s">
        <v>6</v>
      </c>
      <c r="AG3" s="784" t="s">
        <v>7</v>
      </c>
      <c r="AH3" s="784" t="s">
        <v>8</v>
      </c>
      <c r="AI3" s="784" t="s">
        <v>14</v>
      </c>
      <c r="AJ3" s="1033" t="s">
        <v>10</v>
      </c>
      <c r="AK3" s="785" t="s">
        <v>11</v>
      </c>
      <c r="AL3" s="785" t="s">
        <v>12</v>
      </c>
      <c r="AM3" s="1034" t="s">
        <v>13</v>
      </c>
      <c r="AN3" s="1032"/>
      <c r="AO3" s="790" t="s">
        <v>4</v>
      </c>
      <c r="AP3" s="790" t="s">
        <v>5</v>
      </c>
      <c r="AQ3" s="790" t="s">
        <v>6</v>
      </c>
      <c r="AR3" s="790" t="s">
        <v>7</v>
      </c>
      <c r="AS3" s="790" t="s">
        <v>8</v>
      </c>
      <c r="AT3" s="791" t="s">
        <v>14</v>
      </c>
      <c r="AU3" s="792" t="s">
        <v>10</v>
      </c>
      <c r="AV3" s="793" t="s">
        <v>11</v>
      </c>
      <c r="AW3" s="793" t="s">
        <v>12</v>
      </c>
      <c r="AX3" s="1035" t="s">
        <v>13</v>
      </c>
      <c r="AY3" s="1036"/>
    </row>
    <row r="4">
      <c r="A4" s="35" t="s">
        <v>15</v>
      </c>
      <c r="B4" s="795" t="s">
        <v>16</v>
      </c>
      <c r="C4" s="46" t="s">
        <v>17</v>
      </c>
      <c r="D4" s="325"/>
      <c r="E4" s="797"/>
      <c r="F4" s="797"/>
      <c r="G4" s="1037"/>
      <c r="H4" s="1037"/>
      <c r="I4" s="1037"/>
      <c r="J4" s="1037"/>
      <c r="K4" s="1037"/>
      <c r="L4" s="1037"/>
      <c r="M4" s="798"/>
      <c r="N4" s="799"/>
      <c r="O4" s="800"/>
      <c r="P4" s="800"/>
      <c r="Q4" s="801"/>
      <c r="R4" s="1038"/>
      <c r="S4" s="803" t="s">
        <v>16</v>
      </c>
      <c r="T4" s="804" t="s">
        <v>26</v>
      </c>
      <c r="U4" s="40"/>
      <c r="V4" s="797"/>
      <c r="W4" s="797"/>
      <c r="X4" s="805"/>
      <c r="Y4" s="799"/>
      <c r="Z4" s="800"/>
      <c r="AA4" s="800"/>
      <c r="AB4" s="1039"/>
      <c r="AC4" s="1040"/>
      <c r="AD4" s="1041" t="s">
        <v>16</v>
      </c>
      <c r="AE4" s="46" t="s">
        <v>32</v>
      </c>
      <c r="AF4" s="909"/>
      <c r="AG4" s="797"/>
      <c r="AH4" s="909"/>
      <c r="AI4" s="77"/>
      <c r="AJ4" s="799"/>
      <c r="AK4" s="800"/>
      <c r="AL4" s="800"/>
      <c r="AM4" s="1039"/>
      <c r="AN4" s="1042"/>
      <c r="AO4" s="99" t="s">
        <v>16</v>
      </c>
      <c r="AP4" s="1043" t="s">
        <v>33</v>
      </c>
      <c r="AQ4" s="1044"/>
      <c r="AR4" s="1045"/>
      <c r="AS4" s="94"/>
      <c r="AT4" s="819"/>
      <c r="AU4" s="1046"/>
      <c r="AV4" s="1047"/>
      <c r="AW4" s="800"/>
      <c r="AX4" s="1039"/>
      <c r="AY4" s="960"/>
    </row>
    <row r="5">
      <c r="A5" s="48" t="s">
        <v>34</v>
      </c>
      <c r="B5" s="795" t="s">
        <v>35</v>
      </c>
      <c r="C5" s="46" t="s">
        <v>36</v>
      </c>
      <c r="D5" s="1048"/>
      <c r="E5" s="35"/>
      <c r="F5" s="35"/>
      <c r="G5" s="798"/>
      <c r="H5" s="798"/>
      <c r="I5" s="798"/>
      <c r="J5" s="798"/>
      <c r="K5" s="798"/>
      <c r="L5" s="798"/>
      <c r="M5" s="798"/>
      <c r="N5" s="807"/>
      <c r="O5" s="808"/>
      <c r="P5" s="808"/>
      <c r="Q5" s="809"/>
      <c r="R5" s="1038"/>
      <c r="S5" s="811" t="s">
        <v>35</v>
      </c>
      <c r="T5" s="804" t="s">
        <v>42</v>
      </c>
      <c r="U5" s="40"/>
      <c r="V5" s="812"/>
      <c r="W5" s="35"/>
      <c r="X5" s="798"/>
      <c r="Y5" s="807"/>
      <c r="Z5" s="808"/>
      <c r="AA5" s="808"/>
      <c r="AB5" s="1049"/>
      <c r="AC5" s="1040"/>
      <c r="AD5" s="1041" t="s">
        <v>35</v>
      </c>
      <c r="AE5" s="46" t="s">
        <v>48</v>
      </c>
      <c r="AF5" s="40"/>
      <c r="AG5" s="1050"/>
      <c r="AH5" s="39"/>
      <c r="AI5" s="77"/>
      <c r="AJ5" s="826"/>
      <c r="AK5" s="808"/>
      <c r="AL5" s="1051"/>
      <c r="AM5" s="1049"/>
      <c r="AN5" s="1040"/>
      <c r="AO5" s="1052" t="s">
        <v>35</v>
      </c>
      <c r="AP5" s="1043" t="s">
        <v>49</v>
      </c>
      <c r="AQ5" s="1053"/>
      <c r="AR5" s="1054"/>
      <c r="AS5" s="94"/>
      <c r="AT5" s="819"/>
      <c r="AU5" s="1055"/>
      <c r="AV5" s="1056"/>
      <c r="AW5" s="1057"/>
      <c r="AX5" s="1058"/>
      <c r="AY5" s="960"/>
    </row>
    <row r="6">
      <c r="A6" s="48" t="s">
        <v>50</v>
      </c>
      <c r="B6" s="795" t="s">
        <v>51</v>
      </c>
      <c r="C6" s="46" t="s">
        <v>52</v>
      </c>
      <c r="D6" s="40"/>
      <c r="E6" s="797"/>
      <c r="F6" s="844"/>
      <c r="G6" s="1059"/>
      <c r="H6" s="1059"/>
      <c r="I6" s="1059"/>
      <c r="J6" s="1059"/>
      <c r="K6" s="1059"/>
      <c r="L6" s="1059"/>
      <c r="M6" s="838"/>
      <c r="N6" s="807"/>
      <c r="O6" s="808"/>
      <c r="P6" s="808"/>
      <c r="Q6" s="809"/>
      <c r="R6" s="1038"/>
      <c r="S6" s="803" t="s">
        <v>51</v>
      </c>
      <c r="T6" s="804" t="s">
        <v>59</v>
      </c>
      <c r="U6" s="40"/>
      <c r="V6" s="797"/>
      <c r="W6" s="813"/>
      <c r="X6" s="814"/>
      <c r="Y6" s="807"/>
      <c r="Z6" s="808"/>
      <c r="AA6" s="808"/>
      <c r="AB6" s="1049"/>
      <c r="AC6" s="1040"/>
      <c r="AD6" s="1041" t="s">
        <v>51</v>
      </c>
      <c r="AE6" s="46" t="s">
        <v>60</v>
      </c>
      <c r="AF6" s="325"/>
      <c r="AG6" s="1050"/>
      <c r="AH6" s="40"/>
      <c r="AI6" s="77"/>
      <c r="AJ6" s="826"/>
      <c r="AK6" s="1060"/>
      <c r="AL6" s="808"/>
      <c r="AM6" s="1049"/>
      <c r="AN6" s="1061"/>
      <c r="AO6" s="1043" t="s">
        <v>51</v>
      </c>
      <c r="AP6" s="1043" t="s">
        <v>61</v>
      </c>
      <c r="AQ6" s="1062"/>
      <c r="AR6" s="1045"/>
      <c r="AS6" s="94"/>
      <c r="AT6" s="819"/>
      <c r="AU6" s="1055"/>
      <c r="AV6" s="1056"/>
      <c r="AW6" s="1057"/>
      <c r="AX6" s="1058"/>
      <c r="AY6" s="960"/>
    </row>
    <row r="7">
      <c r="A7" s="48" t="s">
        <v>31</v>
      </c>
      <c r="B7" s="815" t="s">
        <v>62</v>
      </c>
      <c r="C7" s="94" t="s">
        <v>63</v>
      </c>
      <c r="D7" s="1063"/>
      <c r="E7" s="817"/>
      <c r="F7" s="818"/>
      <c r="G7" s="823"/>
      <c r="H7" s="823"/>
      <c r="I7" s="823"/>
      <c r="J7" s="823"/>
      <c r="K7" s="823"/>
      <c r="L7" s="823"/>
      <c r="M7" s="819"/>
      <c r="N7" s="807"/>
      <c r="O7" s="808"/>
      <c r="P7" s="808"/>
      <c r="Q7" s="809"/>
      <c r="R7" s="1038"/>
      <c r="S7" s="820" t="s">
        <v>62</v>
      </c>
      <c r="T7" s="821" t="s">
        <v>70</v>
      </c>
      <c r="U7" s="822"/>
      <c r="V7" s="818"/>
      <c r="W7" s="818"/>
      <c r="X7" s="823"/>
      <c r="Y7" s="807"/>
      <c r="Z7" s="808"/>
      <c r="AA7" s="808"/>
      <c r="AB7" s="1049"/>
      <c r="AC7" s="1040"/>
      <c r="AD7" s="99" t="s">
        <v>62</v>
      </c>
      <c r="AE7" s="94" t="s">
        <v>71</v>
      </c>
      <c r="AF7" s="824"/>
      <c r="AG7" s="94"/>
      <c r="AH7" s="822"/>
      <c r="AI7" s="1064"/>
      <c r="AJ7" s="807"/>
      <c r="AK7" s="808"/>
      <c r="AL7" s="808"/>
      <c r="AM7" s="1049"/>
      <c r="AN7" s="1040"/>
      <c r="AO7" s="166" t="s">
        <v>62</v>
      </c>
      <c r="AP7" s="166" t="s">
        <v>291</v>
      </c>
      <c r="AQ7" s="137"/>
      <c r="AR7" s="164"/>
      <c r="AS7" s="197"/>
      <c r="AT7" s="1065"/>
      <c r="AU7" s="826"/>
      <c r="AV7" s="1060"/>
      <c r="AW7" s="808"/>
      <c r="AX7" s="1049"/>
      <c r="AY7" s="960"/>
    </row>
    <row r="8">
      <c r="A8" s="48" t="s">
        <v>57</v>
      </c>
      <c r="B8" s="815" t="s">
        <v>73</v>
      </c>
      <c r="C8" s="98" t="s">
        <v>74</v>
      </c>
      <c r="D8" s="824"/>
      <c r="E8" s="817"/>
      <c r="F8" s="825"/>
      <c r="G8" s="1066"/>
      <c r="H8" s="1067"/>
      <c r="I8" s="1067"/>
      <c r="J8" s="1067"/>
      <c r="K8" s="1067"/>
      <c r="L8" s="1067"/>
      <c r="M8" s="100"/>
      <c r="N8" s="807"/>
      <c r="O8" s="808"/>
      <c r="P8" s="808"/>
      <c r="Q8" s="809"/>
      <c r="R8" s="1038"/>
      <c r="S8" s="820" t="s">
        <v>73</v>
      </c>
      <c r="T8" s="818" t="s">
        <v>80</v>
      </c>
      <c r="U8" s="95"/>
      <c r="V8" s="818"/>
      <c r="W8" s="818"/>
      <c r="X8" s="823"/>
      <c r="Y8" s="807"/>
      <c r="Z8" s="808"/>
      <c r="AA8" s="826"/>
      <c r="AB8" s="1049"/>
      <c r="AC8" s="1040"/>
      <c r="AD8" s="99" t="s">
        <v>73</v>
      </c>
      <c r="AE8" s="94" t="s">
        <v>81</v>
      </c>
      <c r="AF8" s="824"/>
      <c r="AG8" s="94"/>
      <c r="AH8" s="822"/>
      <c r="AI8" s="1064"/>
      <c r="AJ8" s="807"/>
      <c r="AK8" s="808"/>
      <c r="AL8" s="808"/>
      <c r="AM8" s="1049"/>
      <c r="AN8" s="1040"/>
      <c r="AO8" s="166" t="s">
        <v>73</v>
      </c>
      <c r="AP8" s="166" t="s">
        <v>72</v>
      </c>
      <c r="AQ8" s="137"/>
      <c r="AR8" s="170"/>
      <c r="AS8" s="170"/>
      <c r="AT8" s="1068"/>
      <c r="AU8" s="826"/>
      <c r="AV8" s="1060"/>
      <c r="AW8" s="808"/>
      <c r="AX8" s="1049"/>
      <c r="AY8" s="960"/>
    </row>
    <row r="9">
      <c r="A9" s="35" t="s">
        <v>83</v>
      </c>
      <c r="B9" s="783" t="s">
        <v>84</v>
      </c>
      <c r="C9" s="1069" t="s">
        <v>85</v>
      </c>
      <c r="D9" s="137"/>
      <c r="E9" s="797"/>
      <c r="F9" s="844"/>
      <c r="G9" s="1070"/>
      <c r="H9" s="1070"/>
      <c r="I9" s="1070"/>
      <c r="J9" s="1070"/>
      <c r="K9" s="1070"/>
      <c r="L9" s="1070"/>
      <c r="M9" s="855"/>
      <c r="N9" s="807"/>
      <c r="O9" s="808"/>
      <c r="P9" s="808"/>
      <c r="Q9" s="809"/>
      <c r="R9" s="1038"/>
      <c r="S9" s="828" t="s">
        <v>84</v>
      </c>
      <c r="T9" s="829" t="s">
        <v>87</v>
      </c>
      <c r="U9" s="137"/>
      <c r="V9" s="812"/>
      <c r="W9" s="812"/>
      <c r="X9" s="830"/>
      <c r="Y9" s="807"/>
      <c r="Z9" s="808"/>
      <c r="AA9" s="808"/>
      <c r="AB9" s="1049"/>
      <c r="AC9" s="1042"/>
      <c r="AD9" s="191" t="s">
        <v>84</v>
      </c>
      <c r="AE9" s="1069" t="s">
        <v>88</v>
      </c>
      <c r="AF9" s="137"/>
      <c r="AG9" s="1050"/>
      <c r="AH9" s="812"/>
      <c r="AI9" s="1071"/>
      <c r="AJ9" s="826"/>
      <c r="AK9" s="808"/>
      <c r="AL9" s="808"/>
      <c r="AM9" s="1049"/>
      <c r="AN9" s="1040"/>
      <c r="AO9" s="166" t="s">
        <v>84</v>
      </c>
      <c r="AP9" s="1072" t="s">
        <v>82</v>
      </c>
      <c r="AQ9" s="106"/>
      <c r="AR9" s="797"/>
      <c r="AS9" s="844"/>
      <c r="AT9" s="1073"/>
      <c r="AU9" s="826"/>
      <c r="AV9" s="1060"/>
      <c r="AW9" s="808"/>
      <c r="AX9" s="1049"/>
      <c r="AY9" s="960"/>
    </row>
    <row r="10">
      <c r="A10" s="35" t="s">
        <v>90</v>
      </c>
      <c r="B10" s="783" t="s">
        <v>91</v>
      </c>
      <c r="C10" s="1069" t="s">
        <v>92</v>
      </c>
      <c r="D10" s="137"/>
      <c r="E10" s="35"/>
      <c r="F10" s="35"/>
      <c r="G10" s="839"/>
      <c r="H10" s="839"/>
      <c r="I10" s="839"/>
      <c r="J10" s="839"/>
      <c r="K10" s="839"/>
      <c r="L10" s="839"/>
      <c r="M10" s="839"/>
      <c r="N10" s="807"/>
      <c r="O10" s="808"/>
      <c r="P10" s="808"/>
      <c r="Q10" s="809"/>
      <c r="R10" s="1074"/>
      <c r="S10" s="831" t="s">
        <v>91</v>
      </c>
      <c r="T10" s="829" t="s">
        <v>98</v>
      </c>
      <c r="U10" s="137"/>
      <c r="V10" s="216"/>
      <c r="W10" s="170"/>
      <c r="X10" s="832"/>
      <c r="Y10" s="807"/>
      <c r="Z10" s="808"/>
      <c r="AA10" s="808"/>
      <c r="AB10" s="1049"/>
      <c r="AC10" s="1075"/>
      <c r="AD10" s="1076" t="s">
        <v>91</v>
      </c>
      <c r="AE10" s="1076" t="s">
        <v>104</v>
      </c>
      <c r="AF10" s="137"/>
      <c r="AG10" s="837"/>
      <c r="AH10" s="837"/>
      <c r="AI10" s="88"/>
      <c r="AJ10" s="826"/>
      <c r="AK10" s="808"/>
      <c r="AL10" s="808"/>
      <c r="AM10" s="1049"/>
      <c r="AN10" s="1075"/>
      <c r="AO10" s="1077" t="s">
        <v>91</v>
      </c>
      <c r="AP10" s="1077" t="s">
        <v>89</v>
      </c>
      <c r="AQ10" s="106"/>
      <c r="AR10" s="87"/>
      <c r="AS10" s="164"/>
      <c r="AT10" s="1073"/>
      <c r="AU10" s="826"/>
      <c r="AV10" s="1060"/>
      <c r="AW10" s="808"/>
      <c r="AX10" s="1049"/>
      <c r="AY10" s="838"/>
    </row>
    <row r="11" ht="15.75" customHeight="1">
      <c r="A11" s="35" t="s">
        <v>68</v>
      </c>
      <c r="B11" s="783" t="s">
        <v>106</v>
      </c>
      <c r="C11" s="1069" t="s">
        <v>107</v>
      </c>
      <c r="D11" s="137"/>
      <c r="E11" s="35"/>
      <c r="F11" s="35"/>
      <c r="G11" s="835"/>
      <c r="H11" s="835"/>
      <c r="I11" s="835"/>
      <c r="J11" s="835"/>
      <c r="K11" s="835"/>
      <c r="L11" s="835"/>
      <c r="M11" s="805"/>
      <c r="N11" s="807"/>
      <c r="O11" s="808"/>
      <c r="P11" s="808"/>
      <c r="Q11" s="809"/>
      <c r="R11" s="1038"/>
      <c r="S11" s="831" t="s">
        <v>106</v>
      </c>
      <c r="T11" s="833" t="s">
        <v>112</v>
      </c>
      <c r="U11" s="137"/>
      <c r="V11" s="834"/>
      <c r="W11" s="35"/>
      <c r="X11" s="835"/>
      <c r="Y11" s="807"/>
      <c r="Z11" s="808"/>
      <c r="AA11" s="808"/>
      <c r="AB11" s="1049"/>
      <c r="AC11" s="1078"/>
      <c r="AD11" s="191" t="s">
        <v>106</v>
      </c>
      <c r="AE11" s="1069" t="s">
        <v>116</v>
      </c>
      <c r="AF11" s="137"/>
      <c r="AG11" s="1050"/>
      <c r="AH11" s="812"/>
      <c r="AI11" s="1071"/>
      <c r="AJ11" s="826"/>
      <c r="AK11" s="808"/>
      <c r="AL11" s="808"/>
      <c r="AM11" s="1049"/>
      <c r="AN11" s="1079"/>
      <c r="AO11" s="1072" t="s">
        <v>106</v>
      </c>
      <c r="AP11" s="1080" t="s">
        <v>105</v>
      </c>
      <c r="AQ11" s="137"/>
      <c r="AR11" s="1081"/>
      <c r="AS11" s="1082"/>
      <c r="AT11" s="1083"/>
      <c r="AU11" s="1055"/>
      <c r="AV11" s="1056"/>
      <c r="AW11" s="1057"/>
      <c r="AX11" s="1058"/>
      <c r="AY11" s="960"/>
    </row>
    <row r="12">
      <c r="A12" s="35" t="s">
        <v>118</v>
      </c>
      <c r="B12" s="783" t="s">
        <v>119</v>
      </c>
      <c r="C12" s="1069" t="s">
        <v>120</v>
      </c>
      <c r="D12" s="137"/>
      <c r="E12" s="35"/>
      <c r="F12" s="1"/>
      <c r="G12" s="834"/>
      <c r="H12" s="834"/>
      <c r="I12" s="834"/>
      <c r="J12" s="834"/>
      <c r="K12" s="834"/>
      <c r="L12" s="834"/>
      <c r="M12" s="836"/>
      <c r="N12" s="807"/>
      <c r="O12" s="808"/>
      <c r="P12" s="808"/>
      <c r="Q12" s="809"/>
      <c r="R12" s="1038"/>
      <c r="S12" s="831" t="s">
        <v>119</v>
      </c>
      <c r="T12" s="833" t="s">
        <v>125</v>
      </c>
      <c r="U12" s="137"/>
      <c r="V12" s="837"/>
      <c r="W12" s="837"/>
      <c r="X12" s="838"/>
      <c r="Y12" s="807"/>
      <c r="Z12" s="808"/>
      <c r="AA12" s="808"/>
      <c r="AB12" s="1049"/>
      <c r="AC12" s="1040"/>
      <c r="AD12" s="191" t="s">
        <v>119</v>
      </c>
      <c r="AE12" s="1069" t="s">
        <v>130</v>
      </c>
      <c r="AF12" s="137"/>
      <c r="AG12" s="48"/>
      <c r="AH12" s="35"/>
      <c r="AI12" s="156"/>
      <c r="AJ12" s="826"/>
      <c r="AK12" s="808"/>
      <c r="AL12" s="808"/>
      <c r="AM12" s="1049"/>
      <c r="AN12" s="1040"/>
      <c r="AO12" s="1072" t="s">
        <v>119</v>
      </c>
      <c r="AP12" s="1080" t="s">
        <v>117</v>
      </c>
      <c r="AQ12" s="137"/>
      <c r="AR12" s="1081"/>
      <c r="AS12" s="1084"/>
      <c r="AT12" s="1083"/>
      <c r="AU12" s="1055"/>
      <c r="AV12" s="1056"/>
      <c r="AW12" s="1057"/>
      <c r="AX12" s="1058"/>
      <c r="AY12" s="960"/>
    </row>
    <row r="13" ht="15.0" customHeight="1">
      <c r="A13" s="35" t="s">
        <v>132</v>
      </c>
      <c r="B13" s="783" t="s">
        <v>133</v>
      </c>
      <c r="C13" s="1069" t="s">
        <v>134</v>
      </c>
      <c r="D13" s="137"/>
      <c r="E13" s="797"/>
      <c r="F13" s="35"/>
      <c r="G13" s="835"/>
      <c r="H13" s="835"/>
      <c r="I13" s="835"/>
      <c r="J13" s="835"/>
      <c r="K13" s="835"/>
      <c r="L13" s="835"/>
      <c r="M13" s="835"/>
      <c r="N13" s="807"/>
      <c r="O13" s="808"/>
      <c r="P13" s="808"/>
      <c r="Q13" s="809"/>
      <c r="R13" s="1074"/>
      <c r="S13" s="828" t="s">
        <v>133</v>
      </c>
      <c r="T13" s="833" t="s">
        <v>138</v>
      </c>
      <c r="U13" s="137"/>
      <c r="V13" s="35"/>
      <c r="W13" s="35"/>
      <c r="X13" s="835"/>
      <c r="Y13" s="807"/>
      <c r="Z13" s="808"/>
      <c r="AA13" s="808"/>
      <c r="AB13" s="1049"/>
      <c r="AC13" s="1042"/>
      <c r="AD13" s="191" t="s">
        <v>133</v>
      </c>
      <c r="AE13" s="1069" t="s">
        <v>142</v>
      </c>
      <c r="AF13" s="137"/>
      <c r="AG13" s="837"/>
      <c r="AH13" s="137"/>
      <c r="AI13" s="88"/>
      <c r="AJ13" s="826"/>
      <c r="AK13" s="808"/>
      <c r="AL13" s="808"/>
      <c r="AM13" s="1049"/>
      <c r="AN13" s="1040"/>
      <c r="AO13" s="1085">
        <v>55.0</v>
      </c>
      <c r="AP13" s="1080" t="s">
        <v>131</v>
      </c>
      <c r="AQ13" s="137"/>
      <c r="AR13" s="1081"/>
      <c r="AS13" s="1084"/>
      <c r="AT13" s="1083"/>
      <c r="AU13" s="826"/>
      <c r="AV13" s="1060"/>
      <c r="AW13" s="808"/>
      <c r="AX13" s="1049"/>
      <c r="AY13" s="838"/>
    </row>
    <row r="14" ht="15.0" customHeight="1">
      <c r="A14" s="35" t="s">
        <v>144</v>
      </c>
      <c r="B14" s="783" t="s">
        <v>145</v>
      </c>
      <c r="C14" s="1069" t="s">
        <v>146</v>
      </c>
      <c r="D14" s="137"/>
      <c r="E14" s="813"/>
      <c r="F14" s="35"/>
      <c r="G14" s="798"/>
      <c r="H14" s="798"/>
      <c r="I14" s="798"/>
      <c r="J14" s="798"/>
      <c r="K14" s="798"/>
      <c r="L14" s="798"/>
      <c r="M14" s="798"/>
      <c r="N14" s="807"/>
      <c r="O14" s="808"/>
      <c r="P14" s="808"/>
      <c r="Q14" s="809"/>
      <c r="R14" s="1038"/>
      <c r="S14" s="831" t="s">
        <v>145</v>
      </c>
      <c r="T14" s="833" t="s">
        <v>151</v>
      </c>
      <c r="U14" s="137"/>
      <c r="V14" s="839"/>
      <c r="W14" s="812"/>
      <c r="X14" s="835"/>
      <c r="Y14" s="807"/>
      <c r="Z14" s="808"/>
      <c r="AA14" s="808"/>
      <c r="AB14" s="1049"/>
      <c r="AC14" s="1078"/>
      <c r="AD14" s="191" t="s">
        <v>145</v>
      </c>
      <c r="AE14" s="1069" t="s">
        <v>156</v>
      </c>
      <c r="AF14" s="137"/>
      <c r="AG14" s="164"/>
      <c r="AH14" s="137"/>
      <c r="AI14" s="1086"/>
      <c r="AJ14" s="826"/>
      <c r="AK14" s="1060"/>
      <c r="AL14" s="808"/>
      <c r="AM14" s="1049"/>
      <c r="AN14" s="1040"/>
      <c r="AO14" s="1072" t="s">
        <v>145</v>
      </c>
      <c r="AP14" s="1072" t="s">
        <v>143</v>
      </c>
      <c r="AQ14" s="137"/>
      <c r="AR14" s="197"/>
      <c r="AS14" s="72"/>
      <c r="AT14" s="88"/>
      <c r="AU14" s="1055"/>
      <c r="AV14" s="1056"/>
      <c r="AW14" s="1057"/>
      <c r="AX14" s="1058"/>
      <c r="AY14" s="960"/>
    </row>
    <row r="15" ht="15.0" customHeight="1">
      <c r="A15" s="35" t="s">
        <v>25</v>
      </c>
      <c r="B15" s="783" t="s">
        <v>158</v>
      </c>
      <c r="C15" s="1069" t="s">
        <v>159</v>
      </c>
      <c r="D15" s="137"/>
      <c r="E15" s="797"/>
      <c r="F15" s="35"/>
      <c r="G15" s="798"/>
      <c r="H15" s="798"/>
      <c r="I15" s="798"/>
      <c r="J15" s="798"/>
      <c r="K15" s="798"/>
      <c r="L15" s="798"/>
      <c r="M15" s="855"/>
      <c r="N15" s="840"/>
      <c r="O15" s="808"/>
      <c r="P15" s="841"/>
      <c r="Q15" s="842"/>
      <c r="R15" s="1087"/>
      <c r="S15" s="828" t="s">
        <v>158</v>
      </c>
      <c r="T15" s="833" t="s">
        <v>164</v>
      </c>
      <c r="U15" s="137"/>
      <c r="V15" s="839"/>
      <c r="W15" s="837"/>
      <c r="X15" s="835"/>
      <c r="Y15" s="840"/>
      <c r="Z15" s="808"/>
      <c r="AA15" s="808"/>
      <c r="AB15" s="1088"/>
      <c r="AC15" s="1040"/>
      <c r="AD15" s="1076" t="s">
        <v>158</v>
      </c>
      <c r="AE15" s="1069" t="s">
        <v>169</v>
      </c>
      <c r="AF15" s="137"/>
      <c r="AG15" s="164"/>
      <c r="AH15" s="137"/>
      <c r="AI15" s="1073"/>
      <c r="AJ15" s="1089"/>
      <c r="AK15" s="808"/>
      <c r="AL15" s="841"/>
      <c r="AM15" s="1088"/>
      <c r="AN15" s="1040"/>
      <c r="AO15" s="153" t="s">
        <v>158</v>
      </c>
      <c r="AP15" s="1090"/>
      <c r="AQ15" s="124"/>
      <c r="AR15" s="192"/>
      <c r="AS15" s="192"/>
      <c r="AT15" s="1091"/>
      <c r="AU15" s="1092"/>
      <c r="AV15" s="1093"/>
      <c r="AW15" s="1094"/>
      <c r="AX15" s="1095"/>
      <c r="AY15" s="1096"/>
    </row>
    <row r="16">
      <c r="A16" s="35" t="s">
        <v>47</v>
      </c>
      <c r="B16" s="783" t="s">
        <v>171</v>
      </c>
      <c r="C16" s="1069" t="s">
        <v>172</v>
      </c>
      <c r="D16" s="137"/>
      <c r="E16" s="797"/>
      <c r="F16" s="35"/>
      <c r="G16" s="798"/>
      <c r="H16" s="798"/>
      <c r="I16" s="798"/>
      <c r="J16" s="798"/>
      <c r="K16" s="798"/>
      <c r="L16" s="798"/>
      <c r="M16" s="798"/>
      <c r="N16" s="807"/>
      <c r="O16" s="808"/>
      <c r="P16" s="808"/>
      <c r="Q16" s="809"/>
      <c r="R16" s="1038"/>
      <c r="S16" s="828" t="s">
        <v>171</v>
      </c>
      <c r="T16" s="833" t="s">
        <v>177</v>
      </c>
      <c r="U16" s="137"/>
      <c r="V16" s="844"/>
      <c r="W16" s="797"/>
      <c r="X16" s="845"/>
      <c r="Y16" s="807"/>
      <c r="Z16" s="808"/>
      <c r="AA16" s="808"/>
      <c r="AB16" s="1049"/>
      <c r="AC16" s="1040"/>
      <c r="AD16" s="1076" t="s">
        <v>171</v>
      </c>
      <c r="AE16" s="192"/>
      <c r="AF16" s="487"/>
      <c r="AG16" s="1097"/>
      <c r="AH16" s="132"/>
      <c r="AI16" s="1091"/>
      <c r="AJ16" s="1055"/>
      <c r="AK16" s="1056"/>
      <c r="AL16" s="1057"/>
      <c r="AM16" s="1058"/>
      <c r="AN16" s="1040"/>
      <c r="AO16" s="153" t="s">
        <v>171</v>
      </c>
      <c r="AP16" s="192"/>
      <c r="AQ16" s="1098"/>
      <c r="AR16" s="192"/>
      <c r="AS16" s="1099"/>
      <c r="AT16" s="1100"/>
      <c r="AU16" s="1055"/>
      <c r="AV16" s="1056"/>
      <c r="AW16" s="1057"/>
      <c r="AX16" s="1058"/>
      <c r="AY16" s="960"/>
    </row>
    <row r="17">
      <c r="A17" s="35" t="s">
        <v>58</v>
      </c>
      <c r="B17" s="783" t="s">
        <v>182</v>
      </c>
      <c r="C17" s="1069" t="s">
        <v>183</v>
      </c>
      <c r="D17" s="137"/>
      <c r="E17" s="797"/>
      <c r="F17" s="35"/>
      <c r="G17" s="835"/>
      <c r="H17" s="835"/>
      <c r="I17" s="835"/>
      <c r="J17" s="835"/>
      <c r="K17" s="835"/>
      <c r="L17" s="835"/>
      <c r="M17" s="859"/>
      <c r="N17" s="807"/>
      <c r="O17" s="808"/>
      <c r="P17" s="808"/>
      <c r="Q17" s="809"/>
      <c r="R17" s="1038"/>
      <c r="S17" s="828" t="s">
        <v>182</v>
      </c>
      <c r="T17" s="829" t="s">
        <v>184</v>
      </c>
      <c r="U17" s="137"/>
      <c r="V17" s="844"/>
      <c r="W17" s="797"/>
      <c r="X17" s="835"/>
      <c r="Y17" s="807"/>
      <c r="Z17" s="808"/>
      <c r="AA17" s="808"/>
      <c r="AB17" s="1049"/>
      <c r="AC17" s="1040"/>
      <c r="AD17" s="1076" t="s">
        <v>182</v>
      </c>
      <c r="AE17" s="1069" t="s">
        <v>188</v>
      </c>
      <c r="AF17" s="137"/>
      <c r="AG17" s="797"/>
      <c r="AH17" s="137"/>
      <c r="AI17" s="1065"/>
      <c r="AJ17" s="826"/>
      <c r="AK17" s="808"/>
      <c r="AL17" s="808"/>
      <c r="AM17" s="1049"/>
      <c r="AN17" s="1040"/>
      <c r="AO17" s="153" t="s">
        <v>182</v>
      </c>
      <c r="AP17" s="1090"/>
      <c r="AQ17" s="124"/>
      <c r="AR17" s="192"/>
      <c r="AS17" s="192"/>
      <c r="AT17" s="1091"/>
      <c r="AU17" s="1055"/>
      <c r="AV17" s="1056"/>
      <c r="AW17" s="1057"/>
      <c r="AX17" s="1058"/>
      <c r="AY17" s="960"/>
    </row>
    <row r="18" ht="15.0" customHeight="1">
      <c r="A18" s="35" t="s">
        <v>97</v>
      </c>
      <c r="B18" s="783" t="s">
        <v>189</v>
      </c>
      <c r="C18" s="1069" t="s">
        <v>190</v>
      </c>
      <c r="D18" s="137"/>
      <c r="E18" s="1"/>
      <c r="F18" s="35"/>
      <c r="G18" s="798"/>
      <c r="H18" s="798"/>
      <c r="I18" s="798"/>
      <c r="J18" s="798"/>
      <c r="K18" s="798"/>
      <c r="L18" s="798"/>
      <c r="M18" s="798"/>
      <c r="N18" s="326"/>
      <c r="O18" s="808"/>
      <c r="P18" s="808"/>
      <c r="Q18" s="809"/>
      <c r="R18" s="1087"/>
      <c r="S18" s="828" t="s">
        <v>189</v>
      </c>
      <c r="T18" s="1101" t="s">
        <v>195</v>
      </c>
      <c r="U18" s="137"/>
      <c r="V18" s="48"/>
      <c r="W18" s="48"/>
      <c r="X18" s="136"/>
      <c r="Y18" s="840"/>
      <c r="Z18" s="841"/>
      <c r="AA18" s="841"/>
      <c r="AB18" s="1049"/>
      <c r="AC18" s="1040"/>
      <c r="AD18" s="1076" t="s">
        <v>189</v>
      </c>
      <c r="AE18" s="1102" t="s">
        <v>200</v>
      </c>
      <c r="AF18" s="137"/>
      <c r="AG18" s="1103"/>
      <c r="AH18" s="137"/>
      <c r="AI18" s="853"/>
      <c r="AJ18" s="1089"/>
      <c r="AK18" s="1104"/>
      <c r="AL18" s="841"/>
      <c r="AM18" s="1088"/>
      <c r="AN18" s="1105"/>
      <c r="AO18" s="153" t="s">
        <v>189</v>
      </c>
      <c r="AP18" s="1080" t="s">
        <v>170</v>
      </c>
      <c r="AQ18" s="1106"/>
      <c r="AR18" s="1107"/>
      <c r="AS18" s="35"/>
      <c r="AT18" s="853"/>
      <c r="AU18" s="1092"/>
      <c r="AV18" s="1093"/>
      <c r="AW18" s="1094"/>
      <c r="AX18" s="1095"/>
      <c r="AY18" s="1096"/>
    </row>
    <row r="19" ht="14.25" customHeight="1">
      <c r="A19" s="35" t="s">
        <v>202</v>
      </c>
      <c r="B19" s="783" t="s">
        <v>203</v>
      </c>
      <c r="C19" s="1069" t="s">
        <v>204</v>
      </c>
      <c r="D19" s="137"/>
      <c r="E19" s="844"/>
      <c r="F19" s="35"/>
      <c r="G19" s="798"/>
      <c r="H19" s="798"/>
      <c r="I19" s="798"/>
      <c r="J19" s="798"/>
      <c r="K19" s="798"/>
      <c r="L19" s="798"/>
      <c r="M19" s="798"/>
      <c r="N19" s="807"/>
      <c r="O19" s="808"/>
      <c r="P19" s="808"/>
      <c r="Q19" s="809"/>
      <c r="R19" s="1038"/>
      <c r="S19" s="828" t="s">
        <v>203</v>
      </c>
      <c r="T19" s="829" t="s">
        <v>209</v>
      </c>
      <c r="U19" s="137"/>
      <c r="V19" s="205"/>
      <c r="W19" s="852"/>
      <c r="X19" s="853"/>
      <c r="Y19" s="807"/>
      <c r="Z19" s="808"/>
      <c r="AA19" s="808"/>
      <c r="AB19" s="1049"/>
      <c r="AC19" s="1040"/>
      <c r="AD19" s="1076" t="s">
        <v>203</v>
      </c>
      <c r="AE19" s="1069" t="s">
        <v>214</v>
      </c>
      <c r="AF19" s="137"/>
      <c r="AG19" s="1108"/>
      <c r="AH19" s="137"/>
      <c r="AI19" s="1109"/>
      <c r="AJ19" s="826"/>
      <c r="AK19" s="808"/>
      <c r="AL19" s="808"/>
      <c r="AM19" s="1049"/>
      <c r="AN19" s="1040"/>
      <c r="AO19" s="153" t="s">
        <v>203</v>
      </c>
      <c r="AP19" s="1080" t="s">
        <v>201</v>
      </c>
      <c r="AQ19" s="1110"/>
      <c r="AR19" s="197"/>
      <c r="AS19" s="72"/>
      <c r="AT19" s="88"/>
      <c r="AU19" s="1055"/>
      <c r="AV19" s="1056"/>
      <c r="AW19" s="1057"/>
      <c r="AX19" s="1058"/>
      <c r="AY19" s="960"/>
    </row>
    <row r="20">
      <c r="A20" s="35" t="s">
        <v>103</v>
      </c>
      <c r="B20" s="783" t="s">
        <v>216</v>
      </c>
      <c r="C20" s="1069" t="s">
        <v>217</v>
      </c>
      <c r="D20" s="137"/>
      <c r="E20" s="797"/>
      <c r="F20" s="797"/>
      <c r="G20" s="1037"/>
      <c r="H20" s="1037"/>
      <c r="I20" s="1037"/>
      <c r="J20" s="1037"/>
      <c r="K20" s="1037"/>
      <c r="L20" s="1037"/>
      <c r="M20" s="798"/>
      <c r="N20" s="807"/>
      <c r="O20" s="808"/>
      <c r="P20" s="808"/>
      <c r="Q20" s="809"/>
      <c r="R20" s="1038"/>
      <c r="S20" s="831" t="s">
        <v>216</v>
      </c>
      <c r="T20" s="829" t="s">
        <v>221</v>
      </c>
      <c r="U20" s="137"/>
      <c r="V20" s="1"/>
      <c r="W20" s="35"/>
      <c r="X20" s="156"/>
      <c r="Y20" s="807"/>
      <c r="Z20" s="808"/>
      <c r="AA20" s="808"/>
      <c r="AB20" s="1049"/>
      <c r="AC20" s="1040"/>
      <c r="AD20" s="191" t="s">
        <v>216</v>
      </c>
      <c r="AE20" s="1076" t="s">
        <v>226</v>
      </c>
      <c r="AF20" s="1111"/>
      <c r="AG20" s="216"/>
      <c r="AH20" s="1111"/>
      <c r="AI20" s="156"/>
      <c r="AJ20" s="826"/>
      <c r="AK20" s="808"/>
      <c r="AL20" s="808"/>
      <c r="AM20" s="1049"/>
      <c r="AN20" s="1040"/>
      <c r="AO20" s="153" t="s">
        <v>216</v>
      </c>
      <c r="AP20" s="1080" t="s">
        <v>215</v>
      </c>
      <c r="AQ20" s="1110"/>
      <c r="AR20" s="1112"/>
      <c r="AS20" s="197"/>
      <c r="AT20" s="832"/>
      <c r="AU20" s="1055"/>
      <c r="AV20" s="1056"/>
      <c r="AW20" s="1057"/>
      <c r="AX20" s="1058"/>
      <c r="AY20" s="960"/>
    </row>
    <row r="21" ht="15.0" customHeight="1">
      <c r="A21" s="35" t="s">
        <v>111</v>
      </c>
      <c r="B21" s="783" t="s">
        <v>233</v>
      </c>
      <c r="C21" s="1069" t="s">
        <v>228</v>
      </c>
      <c r="D21" s="137"/>
      <c r="E21" s="797"/>
      <c r="F21" s="844"/>
      <c r="G21" s="1070"/>
      <c r="H21" s="1070"/>
      <c r="I21" s="1070"/>
      <c r="J21" s="1070"/>
      <c r="K21" s="1070"/>
      <c r="L21" s="1070"/>
      <c r="M21" s="855"/>
      <c r="N21" s="807"/>
      <c r="O21" s="808"/>
      <c r="P21" s="808"/>
      <c r="Q21" s="809"/>
      <c r="R21" s="1074"/>
      <c r="S21" s="828" t="s">
        <v>233</v>
      </c>
      <c r="T21" s="829" t="s">
        <v>234</v>
      </c>
      <c r="U21" s="137"/>
      <c r="V21" s="857"/>
      <c r="W21" s="1"/>
      <c r="X21" s="156"/>
      <c r="Y21" s="858"/>
      <c r="Z21" s="808"/>
      <c r="AA21" s="808"/>
      <c r="AB21" s="1049"/>
      <c r="AC21" s="1040"/>
      <c r="AD21" s="1069" t="s">
        <v>233</v>
      </c>
      <c r="AE21" s="1113" t="s">
        <v>239</v>
      </c>
      <c r="AF21" s="137"/>
      <c r="AG21" s="374"/>
      <c r="AH21" s="145"/>
      <c r="AI21" s="163"/>
      <c r="AJ21" s="826"/>
      <c r="AK21" s="1060"/>
      <c r="AL21" s="808"/>
      <c r="AM21" s="1049"/>
      <c r="AN21" s="1040"/>
      <c r="AO21" s="153" t="s">
        <v>233</v>
      </c>
      <c r="AP21" s="1080" t="s">
        <v>227</v>
      </c>
      <c r="AQ21" s="1110"/>
      <c r="AR21" s="197"/>
      <c r="AS21" s="1107"/>
      <c r="AT21" s="1114"/>
      <c r="AU21" s="826"/>
      <c r="AV21" s="1060"/>
      <c r="AW21" s="808"/>
      <c r="AX21" s="1049"/>
      <c r="AY21" s="838"/>
    </row>
    <row r="22" ht="15.75" customHeight="1">
      <c r="A22" s="35" t="s">
        <v>241</v>
      </c>
      <c r="B22" s="783" t="s">
        <v>242</v>
      </c>
      <c r="C22" s="1069" t="s">
        <v>243</v>
      </c>
      <c r="D22" s="137"/>
      <c r="E22" s="846"/>
      <c r="F22" s="839"/>
      <c r="G22" s="830"/>
      <c r="H22" s="830"/>
      <c r="I22" s="830"/>
      <c r="J22" s="830"/>
      <c r="K22" s="830"/>
      <c r="L22" s="830"/>
      <c r="M22" s="847"/>
      <c r="N22" s="807"/>
      <c r="O22" s="808"/>
      <c r="P22" s="808"/>
      <c r="Q22" s="809"/>
      <c r="R22" s="1038"/>
      <c r="S22" s="1115" t="s">
        <v>242</v>
      </c>
      <c r="T22" s="833" t="s">
        <v>247</v>
      </c>
      <c r="U22" s="137"/>
      <c r="V22" s="1"/>
      <c r="W22" s="797"/>
      <c r="X22" s="201"/>
      <c r="Y22" s="807"/>
      <c r="Z22" s="808"/>
      <c r="AA22" s="808"/>
      <c r="AB22" s="1049"/>
      <c r="AC22" s="1040"/>
      <c r="AD22" s="1116" t="s">
        <v>242</v>
      </c>
      <c r="AE22" s="1113" t="s">
        <v>252</v>
      </c>
      <c r="AF22" s="137"/>
      <c r="AG22" s="72"/>
      <c r="AH22" s="39"/>
      <c r="AI22" s="163"/>
      <c r="AJ22" s="826"/>
      <c r="AK22" s="1060"/>
      <c r="AL22" s="808"/>
      <c r="AM22" s="1049"/>
      <c r="AN22" s="1040"/>
      <c r="AO22" s="829" t="s">
        <v>242</v>
      </c>
      <c r="AP22" s="153" t="s">
        <v>240</v>
      </c>
      <c r="AQ22" s="1106"/>
      <c r="AR22" s="1107"/>
      <c r="AS22" s="1107"/>
      <c r="AT22" s="1114"/>
      <c r="AU22" s="1055"/>
      <c r="AV22" s="1056"/>
      <c r="AW22" s="1057"/>
      <c r="AX22" s="1058"/>
      <c r="AY22" s="960"/>
    </row>
    <row r="23" ht="15.75" customHeight="1">
      <c r="A23" s="35" t="s">
        <v>69</v>
      </c>
      <c r="B23" s="1117" t="s">
        <v>254</v>
      </c>
      <c r="C23" s="1069" t="s">
        <v>255</v>
      </c>
      <c r="D23" s="1118"/>
      <c r="E23" s="35"/>
      <c r="F23" s="35"/>
      <c r="G23" s="838"/>
      <c r="H23" s="838"/>
      <c r="I23" s="838"/>
      <c r="J23" s="838"/>
      <c r="K23" s="838"/>
      <c r="L23" s="838"/>
      <c r="M23" s="836"/>
      <c r="N23" s="807"/>
      <c r="O23" s="808"/>
      <c r="P23" s="808"/>
      <c r="Q23" s="862"/>
      <c r="R23" s="1119"/>
      <c r="S23" s="1115" t="s">
        <v>254</v>
      </c>
      <c r="T23" s="833" t="s">
        <v>260</v>
      </c>
      <c r="U23" s="137"/>
      <c r="V23" s="797"/>
      <c r="W23" s="797"/>
      <c r="X23" s="798"/>
      <c r="Y23" s="807"/>
      <c r="Z23" s="808"/>
      <c r="AA23" s="808"/>
      <c r="AB23" s="1049"/>
      <c r="AC23" s="1120"/>
      <c r="AD23" s="1116" t="s">
        <v>254</v>
      </c>
      <c r="AE23" s="1113" t="s">
        <v>261</v>
      </c>
      <c r="AF23" s="137"/>
      <c r="AG23" s="35"/>
      <c r="AH23" s="137"/>
      <c r="AI23" s="1121"/>
      <c r="AJ23" s="826"/>
      <c r="AK23" s="1060"/>
      <c r="AL23" s="808"/>
      <c r="AM23" s="1049"/>
      <c r="AN23" s="1122"/>
      <c r="AO23" s="829" t="s">
        <v>254</v>
      </c>
      <c r="AP23" s="153" t="s">
        <v>253</v>
      </c>
      <c r="AQ23" s="1106"/>
      <c r="AR23" s="1112"/>
      <c r="AS23" s="197"/>
      <c r="AT23" s="832"/>
      <c r="AU23" s="1055"/>
      <c r="AV23" s="1056"/>
      <c r="AW23" s="1057"/>
      <c r="AX23" s="1058"/>
      <c r="AY23" s="960"/>
    </row>
    <row r="24" ht="15.0" customHeight="1">
      <c r="A24" s="35" t="s">
        <v>263</v>
      </c>
      <c r="B24" s="783" t="s">
        <v>264</v>
      </c>
      <c r="C24" s="1069" t="s">
        <v>265</v>
      </c>
      <c r="D24" s="137"/>
      <c r="E24" s="839"/>
      <c r="F24" s="839"/>
      <c r="G24" s="835"/>
      <c r="H24" s="835"/>
      <c r="I24" s="835"/>
      <c r="J24" s="835"/>
      <c r="K24" s="835"/>
      <c r="L24" s="835"/>
      <c r="M24" s="855"/>
      <c r="N24" s="807"/>
      <c r="O24" s="808"/>
      <c r="P24" s="808"/>
      <c r="Q24" s="862"/>
      <c r="R24" s="1123"/>
      <c r="S24" s="1115" t="s">
        <v>264</v>
      </c>
      <c r="T24" s="833" t="s">
        <v>269</v>
      </c>
      <c r="U24" s="137"/>
      <c r="V24" s="812"/>
      <c r="W24" s="35"/>
      <c r="X24" s="853"/>
      <c r="Y24" s="807"/>
      <c r="Z24" s="808"/>
      <c r="AA24" s="808"/>
      <c r="AB24" s="1049"/>
      <c r="AC24" s="1040"/>
      <c r="AD24" s="1116" t="s">
        <v>264</v>
      </c>
      <c r="AE24" s="1113" t="s">
        <v>270</v>
      </c>
      <c r="AF24" s="137"/>
      <c r="AG24" s="1108"/>
      <c r="AH24" s="194"/>
      <c r="AI24" s="1109"/>
      <c r="AJ24" s="826"/>
      <c r="AK24" s="1060"/>
      <c r="AL24" s="808"/>
      <c r="AM24" s="1049"/>
      <c r="AN24" s="1040"/>
      <c r="AO24" s="829" t="s">
        <v>264</v>
      </c>
      <c r="AP24" s="153" t="s">
        <v>262</v>
      </c>
      <c r="AQ24" s="1124"/>
      <c r="AR24" s="1050"/>
      <c r="AS24" s="35"/>
      <c r="AT24" s="88"/>
      <c r="AU24" s="826"/>
      <c r="AV24" s="1060"/>
      <c r="AW24" s="808"/>
      <c r="AX24" s="1049"/>
      <c r="AY24" s="838"/>
    </row>
    <row r="25" ht="15.0" customHeight="1">
      <c r="A25" s="35" t="s">
        <v>272</v>
      </c>
      <c r="B25" s="783" t="s">
        <v>273</v>
      </c>
      <c r="C25" s="1102" t="s">
        <v>274</v>
      </c>
      <c r="D25" s="137"/>
      <c r="E25" s="844"/>
      <c r="F25" s="812"/>
      <c r="G25" s="830"/>
      <c r="H25" s="830"/>
      <c r="I25" s="830"/>
      <c r="J25" s="830"/>
      <c r="K25" s="830"/>
      <c r="L25" s="830"/>
      <c r="M25" s="830"/>
      <c r="N25" s="807"/>
      <c r="O25" s="808"/>
      <c r="P25" s="808"/>
      <c r="Q25" s="809"/>
      <c r="R25" s="1038"/>
      <c r="S25" s="1115" t="s">
        <v>273</v>
      </c>
      <c r="T25" s="833" t="s">
        <v>280</v>
      </c>
      <c r="U25" s="137"/>
      <c r="V25" s="844"/>
      <c r="W25" s="797"/>
      <c r="X25" s="864"/>
      <c r="Y25" s="826"/>
      <c r="Z25" s="808"/>
      <c r="AA25" s="808"/>
      <c r="AB25" s="1049"/>
      <c r="AC25" s="1040"/>
      <c r="AD25" s="1116" t="s">
        <v>273</v>
      </c>
      <c r="AE25" s="1113" t="s">
        <v>281</v>
      </c>
      <c r="AF25" s="137"/>
      <c r="AG25" s="40"/>
      <c r="AH25" s="137"/>
      <c r="AI25" s="1068"/>
      <c r="AJ25" s="826"/>
      <c r="AK25" s="1060"/>
      <c r="AL25" s="808"/>
      <c r="AM25" s="1049"/>
      <c r="AN25" s="1078" t="s">
        <v>282</v>
      </c>
      <c r="AO25" s="829" t="s">
        <v>273</v>
      </c>
      <c r="AP25" s="153" t="s">
        <v>271</v>
      </c>
      <c r="AQ25" s="1118"/>
      <c r="AR25" s="39"/>
      <c r="AS25" s="48"/>
      <c r="AT25" s="1125"/>
      <c r="AU25" s="1055"/>
      <c r="AV25" s="1056"/>
      <c r="AW25" s="1057"/>
      <c r="AX25" s="1058"/>
      <c r="AY25" s="960"/>
    </row>
    <row r="26" ht="13.5" customHeight="1">
      <c r="A26" s="35" t="s">
        <v>284</v>
      </c>
      <c r="B26" s="1117" t="s">
        <v>285</v>
      </c>
      <c r="C26" s="1069" t="s">
        <v>286</v>
      </c>
      <c r="D26" s="137"/>
      <c r="E26" s="170"/>
      <c r="F26" s="39"/>
      <c r="G26" s="41"/>
      <c r="H26" s="41"/>
      <c r="I26" s="41"/>
      <c r="J26" s="41"/>
      <c r="K26" s="41"/>
      <c r="L26" s="41"/>
      <c r="M26" s="88"/>
      <c r="N26" s="807"/>
      <c r="O26" s="808"/>
      <c r="P26" s="808"/>
      <c r="Q26" s="862"/>
      <c r="R26" s="1119"/>
      <c r="S26" s="1115" t="s">
        <v>285</v>
      </c>
      <c r="T26" s="833" t="s">
        <v>290</v>
      </c>
      <c r="U26" s="137"/>
      <c r="V26" s="865"/>
      <c r="W26" s="35"/>
      <c r="X26" s="798"/>
      <c r="Y26" s="326"/>
      <c r="Z26" s="808"/>
      <c r="AA26" s="808"/>
      <c r="AB26" s="809"/>
      <c r="AC26" s="1126"/>
      <c r="AD26" s="232" t="s">
        <v>285</v>
      </c>
      <c r="AE26" s="354" t="s">
        <v>304</v>
      </c>
      <c r="AF26" s="228"/>
      <c r="AG26" s="1127"/>
      <c r="AH26" s="228"/>
      <c r="AI26" s="1128"/>
      <c r="AJ26" s="826"/>
      <c r="AK26" s="1060"/>
      <c r="AL26" s="808"/>
      <c r="AM26" s="1049"/>
      <c r="AN26" s="1126"/>
      <c r="AO26" s="829" t="s">
        <v>285</v>
      </c>
      <c r="AP26" s="153" t="s">
        <v>283</v>
      </c>
      <c r="AQ26" s="1118"/>
      <c r="AR26" s="39"/>
      <c r="AS26" s="39"/>
      <c r="AT26" s="163"/>
      <c r="AU26" s="1055"/>
      <c r="AV26" s="1056"/>
      <c r="AW26" s="1057"/>
      <c r="AX26" s="1058"/>
      <c r="AY26" s="960"/>
    </row>
    <row r="27" ht="15.0" customHeight="1">
      <c r="A27" s="35" t="s">
        <v>79</v>
      </c>
      <c r="B27" s="866" t="s">
        <v>293</v>
      </c>
      <c r="C27" s="1129" t="s">
        <v>294</v>
      </c>
      <c r="D27" s="228"/>
      <c r="E27" s="1130"/>
      <c r="F27" s="1131"/>
      <c r="G27" s="1131"/>
      <c r="H27" s="1131"/>
      <c r="I27" s="1131"/>
      <c r="J27" s="1131"/>
      <c r="K27" s="1131"/>
      <c r="L27" s="1131"/>
      <c r="M27" s="1131"/>
      <c r="N27" s="807"/>
      <c r="O27" s="808"/>
      <c r="P27" s="808"/>
      <c r="Q27" s="862"/>
      <c r="R27" s="1119"/>
      <c r="S27" s="871" t="s">
        <v>293</v>
      </c>
      <c r="T27" s="867" t="s">
        <v>299</v>
      </c>
      <c r="U27" s="228"/>
      <c r="V27" s="868"/>
      <c r="W27" s="869"/>
      <c r="X27" s="870"/>
      <c r="Y27" s="807"/>
      <c r="Z27" s="808"/>
      <c r="AA27" s="808"/>
      <c r="AB27" s="1049"/>
      <c r="AC27" s="1132"/>
      <c r="AD27" s="867" t="s">
        <v>293</v>
      </c>
      <c r="AE27" s="354" t="s">
        <v>318</v>
      </c>
      <c r="AF27" s="228"/>
      <c r="AG27" s="1127"/>
      <c r="AH27" s="228"/>
      <c r="AI27" s="1133"/>
      <c r="AJ27" s="856"/>
      <c r="AK27" s="1060"/>
      <c r="AL27" s="808"/>
      <c r="AM27" s="1049"/>
      <c r="AN27" s="1132"/>
      <c r="AO27" s="833" t="s">
        <v>293</v>
      </c>
      <c r="AP27" s="166" t="s">
        <v>292</v>
      </c>
      <c r="AQ27" s="909"/>
      <c r="AR27" s="1111"/>
      <c r="AS27" s="1037"/>
      <c r="AT27" s="853"/>
      <c r="AU27" s="1055"/>
      <c r="AV27" s="1056"/>
      <c r="AW27" s="1057"/>
      <c r="AX27" s="1058"/>
      <c r="AY27" s="960"/>
    </row>
    <row r="28" ht="15.0" customHeight="1">
      <c r="A28" s="35" t="s">
        <v>306</v>
      </c>
      <c r="B28" s="872" t="s">
        <v>307</v>
      </c>
      <c r="C28" s="1134" t="s">
        <v>308</v>
      </c>
      <c r="D28" s="248"/>
      <c r="E28" s="1135"/>
      <c r="F28" s="1136"/>
      <c r="G28" s="877"/>
      <c r="H28" s="877"/>
      <c r="I28" s="877"/>
      <c r="J28" s="877"/>
      <c r="K28" s="877"/>
      <c r="L28" s="877"/>
      <c r="M28" s="1137"/>
      <c r="N28" s="878"/>
      <c r="O28" s="808"/>
      <c r="P28" s="808"/>
      <c r="Q28" s="862"/>
      <c r="R28" s="1138"/>
      <c r="S28" s="881" t="s">
        <v>307</v>
      </c>
      <c r="T28" s="873" t="s">
        <v>313</v>
      </c>
      <c r="U28" s="239"/>
      <c r="V28" s="875"/>
      <c r="W28" s="876"/>
      <c r="X28" s="877"/>
      <c r="Y28" s="807"/>
      <c r="Z28" s="808"/>
      <c r="AA28" s="808"/>
      <c r="AB28" s="1049"/>
      <c r="AC28" s="1139"/>
      <c r="AD28" s="1140" t="s">
        <v>307</v>
      </c>
      <c r="AE28" s="1141" t="s">
        <v>511</v>
      </c>
      <c r="AF28" s="1142"/>
      <c r="AG28" s="873"/>
      <c r="AH28" s="1143"/>
      <c r="AI28" s="1144"/>
      <c r="AJ28" s="1145"/>
      <c r="AK28" s="1146"/>
      <c r="AL28" s="879"/>
      <c r="AM28" s="1147"/>
      <c r="AN28" s="1139"/>
      <c r="AO28" s="1148" t="s">
        <v>307</v>
      </c>
      <c r="AP28" s="1148" t="s">
        <v>305</v>
      </c>
      <c r="AQ28" s="1149"/>
      <c r="AR28" s="1150"/>
      <c r="AS28" s="1151"/>
      <c r="AT28" s="1152"/>
      <c r="AU28" s="1153"/>
      <c r="AV28" s="1154"/>
      <c r="AW28" s="1155"/>
      <c r="AX28" s="1156"/>
      <c r="AY28" s="960"/>
    </row>
    <row r="29" ht="15.0" customHeight="1">
      <c r="A29" s="39"/>
      <c r="B29" s="1157"/>
      <c r="C29" s="1157"/>
      <c r="D29" s="1158"/>
      <c r="E29" s="1159"/>
      <c r="F29" s="1160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  <c r="AI29" s="838"/>
      <c r="AJ29" s="1161"/>
      <c r="AK29" s="1161"/>
      <c r="AL29" s="1161"/>
      <c r="AM29" s="1161"/>
      <c r="AN29" s="1162"/>
      <c r="AO29" s="1163"/>
      <c r="AP29" s="1163"/>
      <c r="AQ29" s="1164"/>
      <c r="AR29" s="1164"/>
      <c r="AS29" s="1164"/>
      <c r="AT29" s="1165" t="s">
        <v>320</v>
      </c>
      <c r="AU29" s="1166"/>
      <c r="AV29" s="1166"/>
      <c r="AW29" s="1166"/>
      <c r="AX29" s="1166"/>
      <c r="AY29" s="904"/>
    </row>
    <row r="30" ht="125.25" customHeight="1">
      <c r="A30" s="505"/>
      <c r="B30" s="897"/>
      <c r="C30" s="1167"/>
      <c r="D30" s="1168"/>
      <c r="E30" s="1169"/>
      <c r="F30" s="1170" t="s">
        <v>561</v>
      </c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5"/>
      <c r="AI30" s="1171"/>
      <c r="AJ30" s="1171"/>
      <c r="AK30" s="1171"/>
      <c r="AL30" s="1171"/>
      <c r="AM30" s="1171"/>
      <c r="AN30" s="1172"/>
      <c r="AO30" s="1173" t="s">
        <v>562</v>
      </c>
      <c r="AP30" s="3"/>
      <c r="AQ30" s="3"/>
      <c r="AR30" s="3"/>
      <c r="AS30" s="3"/>
      <c r="AT30" s="3"/>
      <c r="AU30" s="3"/>
      <c r="AV30" s="3"/>
      <c r="AW30" s="3"/>
      <c r="AX30" s="300"/>
      <c r="AY30" s="1174"/>
    </row>
    <row r="31" ht="42.0" customHeight="1">
      <c r="A31" s="1175"/>
      <c r="B31" s="1176" t="s">
        <v>323</v>
      </c>
      <c r="C31" s="304"/>
      <c r="D31" s="304"/>
      <c r="E31" s="305"/>
      <c r="F31" s="1177" t="s">
        <v>324</v>
      </c>
      <c r="G31" s="1178"/>
      <c r="H31" s="1178"/>
      <c r="I31" s="1178"/>
      <c r="J31" s="1178"/>
      <c r="K31" s="1178"/>
      <c r="L31" s="1178"/>
      <c r="M31" s="1179" t="s">
        <v>325</v>
      </c>
      <c r="N31" s="959"/>
      <c r="O31" s="959"/>
      <c r="P31" s="959"/>
      <c r="Q31" s="959"/>
      <c r="R31" s="959"/>
      <c r="S31" s="1180"/>
      <c r="T31" s="310"/>
      <c r="U31" s="1181" t="s">
        <v>326</v>
      </c>
      <c r="V31" s="1182"/>
      <c r="W31" s="1183" t="s">
        <v>324</v>
      </c>
      <c r="X31" s="1184" t="s">
        <v>325</v>
      </c>
      <c r="Y31" s="1185"/>
      <c r="Z31" s="1171"/>
      <c r="AA31" s="1185"/>
      <c r="AB31" s="1185"/>
      <c r="AC31" s="1185"/>
      <c r="AD31" s="1186"/>
      <c r="AE31" s="310"/>
      <c r="AF31" s="1187" t="s">
        <v>326</v>
      </c>
      <c r="AG31" s="1188"/>
      <c r="AH31" s="1189" t="s">
        <v>324</v>
      </c>
      <c r="AI31" s="1184" t="s">
        <v>325</v>
      </c>
      <c r="AJ31" s="1171"/>
      <c r="AK31" s="1171"/>
      <c r="AL31" s="1171"/>
      <c r="AM31" s="1171"/>
      <c r="AN31" s="1172"/>
      <c r="AO31" s="319"/>
      <c r="AP31" s="319"/>
      <c r="AQ31" s="319"/>
      <c r="AR31" s="319"/>
      <c r="AS31" s="319"/>
      <c r="AT31" s="319"/>
      <c r="AU31" s="319"/>
      <c r="AV31" s="319"/>
      <c r="AW31" s="319"/>
      <c r="AX31" s="320"/>
      <c r="AY31" s="1174"/>
    </row>
    <row r="32" ht="15.75" customHeight="1">
      <c r="A32" s="1190"/>
      <c r="B32" s="322">
        <v>1.0</v>
      </c>
      <c r="C32" s="323"/>
      <c r="D32" s="1191" t="s">
        <v>191</v>
      </c>
      <c r="E32" s="458">
        <v>3.0</v>
      </c>
      <c r="F32" s="1192"/>
      <c r="G32" s="1193"/>
      <c r="H32" s="1193"/>
      <c r="I32" s="1193"/>
      <c r="J32" s="1193"/>
      <c r="K32" s="1193"/>
      <c r="L32" s="1193"/>
      <c r="M32" s="1194">
        <v>3.0</v>
      </c>
      <c r="N32" s="1195"/>
      <c r="O32" s="1195"/>
      <c r="P32" s="1195"/>
      <c r="Q32" s="1195"/>
      <c r="R32" s="1195"/>
      <c r="S32" s="1196">
        <v>1.0</v>
      </c>
      <c r="T32" s="323"/>
      <c r="U32" s="1197" t="s">
        <v>464</v>
      </c>
      <c r="V32" s="331">
        <v>1.0</v>
      </c>
      <c r="W32" s="1198"/>
      <c r="X32" s="1059">
        <v>1.0</v>
      </c>
      <c r="Y32" s="1195"/>
      <c r="Z32" s="1195"/>
      <c r="AA32" s="1195"/>
      <c r="AB32" s="1195"/>
      <c r="AC32" s="1195"/>
      <c r="AD32" s="1196">
        <v>1.0</v>
      </c>
      <c r="AE32" s="323"/>
      <c r="AF32" s="334" t="s">
        <v>331</v>
      </c>
      <c r="AG32" s="335">
        <v>1.0</v>
      </c>
      <c r="AH32" s="1198"/>
      <c r="AI32" s="1059">
        <v>1.0</v>
      </c>
      <c r="AJ32" s="1199"/>
      <c r="AK32" s="1199"/>
      <c r="AL32" s="1199"/>
      <c r="AM32" s="1199"/>
      <c r="AN32" s="1200"/>
      <c r="AO32" s="191" t="s">
        <v>4</v>
      </c>
      <c r="AP32" s="191" t="s">
        <v>5</v>
      </c>
      <c r="AQ32" s="191" t="s">
        <v>6</v>
      </c>
      <c r="AR32" s="191" t="s">
        <v>7</v>
      </c>
      <c r="AS32" s="191" t="s">
        <v>8</v>
      </c>
      <c r="AT32" s="191" t="s">
        <v>14</v>
      </c>
      <c r="AU32" s="1201" t="s">
        <v>10</v>
      </c>
      <c r="AV32" s="1202" t="s">
        <v>11</v>
      </c>
      <c r="AW32" s="1203" t="s">
        <v>12</v>
      </c>
      <c r="AX32" s="1204" t="s">
        <v>13</v>
      </c>
      <c r="AY32" s="1036"/>
    </row>
    <row r="33" ht="15.75" customHeight="1">
      <c r="A33" s="1190"/>
      <c r="B33" s="1205">
        <v>2.0</v>
      </c>
      <c r="C33" s="346"/>
      <c r="D33" s="1206" t="s">
        <v>531</v>
      </c>
      <c r="E33" s="458">
        <v>3.0</v>
      </c>
      <c r="F33" s="1089"/>
      <c r="G33" s="1104"/>
      <c r="H33" s="1104"/>
      <c r="I33" s="1104"/>
      <c r="J33" s="1104"/>
      <c r="K33" s="1104"/>
      <c r="L33" s="1104"/>
      <c r="M33" s="1194">
        <v>3.0</v>
      </c>
      <c r="N33" s="1195"/>
      <c r="O33" s="1195"/>
      <c r="P33" s="1195"/>
      <c r="Q33" s="1195"/>
      <c r="R33" s="1195"/>
      <c r="S33" s="1207">
        <v>2.0</v>
      </c>
      <c r="T33" s="346"/>
      <c r="U33" s="1208" t="s">
        <v>336</v>
      </c>
      <c r="V33" s="331">
        <v>1.0</v>
      </c>
      <c r="W33" s="1198"/>
      <c r="X33" s="1059">
        <v>1.0</v>
      </c>
      <c r="Y33" s="1209"/>
      <c r="Z33" s="1209"/>
      <c r="AA33" s="1209"/>
      <c r="AB33" s="1209"/>
      <c r="AC33" s="1157"/>
      <c r="AD33" s="1196">
        <v>2.0</v>
      </c>
      <c r="AE33" s="323"/>
      <c r="AF33" s="334" t="s">
        <v>300</v>
      </c>
      <c r="AG33" s="335">
        <v>1.0</v>
      </c>
      <c r="AH33" s="1198"/>
      <c r="AI33" s="1059">
        <v>1.0</v>
      </c>
      <c r="AJ33" s="1199"/>
      <c r="AK33" s="1199"/>
      <c r="AL33" s="1199"/>
      <c r="AM33" s="1199"/>
      <c r="AN33" s="1200"/>
      <c r="AO33" s="231" t="s">
        <v>16</v>
      </c>
      <c r="AP33" s="234" t="s">
        <v>318</v>
      </c>
      <c r="AQ33" s="228"/>
      <c r="AR33" s="1210"/>
      <c r="AS33" s="1210"/>
      <c r="AT33" s="1211"/>
      <c r="AU33" s="1212"/>
      <c r="AV33" s="1213"/>
      <c r="AW33" s="1214"/>
      <c r="AX33" s="1215"/>
      <c r="AY33" s="838"/>
    </row>
    <row r="34" ht="15.75" customHeight="1">
      <c r="A34" s="1190"/>
      <c r="B34" s="1205">
        <v>3.0</v>
      </c>
      <c r="C34" s="346"/>
      <c r="D34" s="1206" t="s">
        <v>353</v>
      </c>
      <c r="E34" s="458">
        <v>3.0</v>
      </c>
      <c r="F34" s="1216"/>
      <c r="G34" s="1217"/>
      <c r="H34" s="1217"/>
      <c r="I34" s="1217"/>
      <c r="J34" s="1217"/>
      <c r="K34" s="1217"/>
      <c r="L34" s="1217"/>
      <c r="M34" s="1194">
        <v>3.0</v>
      </c>
      <c r="N34" s="1195"/>
      <c r="O34" s="1195"/>
      <c r="P34" s="1189"/>
      <c r="Q34" s="1195"/>
      <c r="R34" s="1195"/>
      <c r="S34" s="1207">
        <v>3.0</v>
      </c>
      <c r="T34" s="346"/>
      <c r="U34" s="1197" t="s">
        <v>37</v>
      </c>
      <c r="V34" s="1218">
        <v>1.0</v>
      </c>
      <c r="W34" s="1198"/>
      <c r="X34" s="1059">
        <v>1.0</v>
      </c>
      <c r="Y34" s="1209"/>
      <c r="Z34" s="1209"/>
      <c r="AA34" s="1209"/>
      <c r="AB34" s="1209"/>
      <c r="AC34" s="1157"/>
      <c r="AD34" s="1219">
        <v>3.0</v>
      </c>
      <c r="AE34" s="346"/>
      <c r="AF34" s="362" t="s">
        <v>295</v>
      </c>
      <c r="AG34" s="335">
        <v>1.0</v>
      </c>
      <c r="AH34" s="1220"/>
      <c r="AI34" s="1059">
        <v>1.0</v>
      </c>
      <c r="AJ34" s="1199"/>
      <c r="AK34" s="1199"/>
      <c r="AL34" s="1199"/>
      <c r="AM34" s="1199"/>
      <c r="AN34" s="1200"/>
      <c r="AO34" s="1221" t="s">
        <v>35</v>
      </c>
      <c r="AP34" s="364" t="s">
        <v>332</v>
      </c>
      <c r="AQ34" s="929"/>
      <c r="AR34" s="46"/>
      <c r="AS34" s="364"/>
      <c r="AT34" s="1222"/>
      <c r="AU34" s="826"/>
      <c r="AV34" s="1060"/>
      <c r="AW34" s="808"/>
      <c r="AX34" s="1049"/>
      <c r="AY34" s="838"/>
    </row>
    <row r="35" ht="15.75" customHeight="1">
      <c r="A35" s="1190"/>
      <c r="B35" s="369">
        <v>4.0</v>
      </c>
      <c r="C35" s="346"/>
      <c r="D35" s="1206" t="s">
        <v>366</v>
      </c>
      <c r="E35" s="458">
        <v>2.0</v>
      </c>
      <c r="F35" s="1216"/>
      <c r="G35" s="1217"/>
      <c r="H35" s="1217"/>
      <c r="I35" s="1217"/>
      <c r="J35" s="1217"/>
      <c r="K35" s="1217"/>
      <c r="L35" s="1217"/>
      <c r="M35" s="1194">
        <v>2.0</v>
      </c>
      <c r="N35" s="1195"/>
      <c r="O35" s="1195"/>
      <c r="P35" s="1195"/>
      <c r="Q35" s="1195"/>
      <c r="R35" s="1195"/>
      <c r="S35" s="1219">
        <v>4.0</v>
      </c>
      <c r="T35" s="346"/>
      <c r="U35" s="1223" t="s">
        <v>53</v>
      </c>
      <c r="V35" s="331">
        <v>1.0</v>
      </c>
      <c r="W35" s="1198"/>
      <c r="X35" s="1059">
        <v>1.0</v>
      </c>
      <c r="Y35" s="1224"/>
      <c r="Z35" s="1224"/>
      <c r="AA35" s="1224"/>
      <c r="AB35" s="1224"/>
      <c r="AC35" s="1225"/>
      <c r="AD35" s="1219">
        <v>4.0</v>
      </c>
      <c r="AE35" s="346"/>
      <c r="AF35" s="362" t="s">
        <v>397</v>
      </c>
      <c r="AG35" s="335">
        <v>1.0</v>
      </c>
      <c r="AH35" s="332"/>
      <c r="AI35" s="1059">
        <v>1.0</v>
      </c>
      <c r="AJ35" s="1059"/>
      <c r="AK35" s="1199"/>
      <c r="AL35" s="1199"/>
      <c r="AM35" s="1199"/>
      <c r="AN35" s="1200"/>
      <c r="AO35" s="1226" t="s">
        <v>51</v>
      </c>
      <c r="AP35" s="1227" t="s">
        <v>469</v>
      </c>
      <c r="AQ35" s="651"/>
      <c r="AR35" s="804"/>
      <c r="AS35" s="804"/>
      <c r="AT35" s="1228"/>
      <c r="AU35" s="807"/>
      <c r="AV35" s="1060"/>
      <c r="AW35" s="808"/>
      <c r="AX35" s="1049"/>
      <c r="AY35" s="838"/>
    </row>
    <row r="36" ht="15.75" customHeight="1">
      <c r="A36" s="1190"/>
      <c r="B36" s="1205">
        <v>5.0</v>
      </c>
      <c r="C36" s="346"/>
      <c r="D36" s="1206" t="s">
        <v>205</v>
      </c>
      <c r="E36" s="458">
        <v>3.0</v>
      </c>
      <c r="F36" s="1216"/>
      <c r="G36" s="1217"/>
      <c r="H36" s="1217"/>
      <c r="I36" s="1217"/>
      <c r="J36" s="1217"/>
      <c r="K36" s="1217"/>
      <c r="L36" s="1217"/>
      <c r="M36" s="1194">
        <v>2.0</v>
      </c>
      <c r="N36" s="1229"/>
      <c r="O36" s="1229"/>
      <c r="P36" s="1229"/>
      <c r="Q36" s="1229"/>
      <c r="R36" s="1229"/>
      <c r="S36" s="1219">
        <v>5.0</v>
      </c>
      <c r="T36" s="346"/>
      <c r="U36" s="1223" t="s">
        <v>327</v>
      </c>
      <c r="V36" s="331">
        <v>1.0</v>
      </c>
      <c r="W36" s="1198"/>
      <c r="X36" s="1059">
        <v>1.0</v>
      </c>
      <c r="Y36" s="1224"/>
      <c r="Z36" s="1224"/>
      <c r="AA36" s="1224"/>
      <c r="AB36" s="1224"/>
      <c r="AC36" s="1225"/>
      <c r="AD36" s="1230">
        <v>5.0</v>
      </c>
      <c r="AE36" s="346"/>
      <c r="AF36" s="1231" t="s">
        <v>309</v>
      </c>
      <c r="AG36" s="335"/>
      <c r="AH36" s="1198"/>
      <c r="AI36" s="1059">
        <v>1.0</v>
      </c>
      <c r="AJ36" s="1199"/>
      <c r="AK36" s="1199"/>
      <c r="AL36" s="1199"/>
      <c r="AM36" s="1199"/>
      <c r="AN36" s="1200"/>
      <c r="AO36" s="398" t="s">
        <v>62</v>
      </c>
      <c r="AP36" s="1113" t="s">
        <v>337</v>
      </c>
      <c r="AQ36" s="137"/>
      <c r="AR36" s="837"/>
      <c r="AS36" s="839"/>
      <c r="AT36" s="88"/>
      <c r="AU36" s="826"/>
      <c r="AV36" s="1060"/>
      <c r="AW36" s="808"/>
      <c r="AX36" s="1049"/>
      <c r="AY36" s="838"/>
    </row>
    <row r="37" ht="15.75" customHeight="1">
      <c r="A37" s="1190"/>
      <c r="B37" s="1232">
        <v>6.0</v>
      </c>
      <c r="C37" s="346"/>
      <c r="D37" s="1233" t="s">
        <v>377</v>
      </c>
      <c r="E37" s="458">
        <v>3.0</v>
      </c>
      <c r="F37" s="1216"/>
      <c r="G37" s="1217"/>
      <c r="H37" s="1217"/>
      <c r="I37" s="1217"/>
      <c r="J37" s="1217"/>
      <c r="K37" s="1217"/>
      <c r="L37" s="1217"/>
      <c r="M37" s="1194">
        <v>2.0</v>
      </c>
      <c r="N37" s="1224"/>
      <c r="O37" s="1224"/>
      <c r="P37" s="1224"/>
      <c r="Q37" s="1224"/>
      <c r="R37" s="1224"/>
      <c r="S37" s="1219">
        <v>6.0</v>
      </c>
      <c r="T37" s="346"/>
      <c r="U37" s="1223" t="s">
        <v>358</v>
      </c>
      <c r="V37" s="331">
        <v>1.0</v>
      </c>
      <c r="W37" s="1220"/>
      <c r="X37" s="1059">
        <v>1.0</v>
      </c>
      <c r="Y37" s="1224"/>
      <c r="Z37" s="1224"/>
      <c r="AA37" s="1224"/>
      <c r="AB37" s="1224"/>
      <c r="AC37" s="1225"/>
      <c r="AD37" s="1230">
        <v>6.0</v>
      </c>
      <c r="AE37" s="346"/>
      <c r="AF37" s="1231"/>
      <c r="AG37" s="335"/>
      <c r="AH37" s="1198"/>
      <c r="AI37" s="1059"/>
      <c r="AJ37" s="1224"/>
      <c r="AK37" s="1224"/>
      <c r="AL37" s="1224"/>
      <c r="AM37" s="1224"/>
      <c r="AN37" s="1234"/>
      <c r="AO37" s="398" t="s">
        <v>73</v>
      </c>
      <c r="AP37" s="1113" t="s">
        <v>342</v>
      </c>
      <c r="AQ37" s="137"/>
      <c r="AR37" s="844"/>
      <c r="AS37" s="48"/>
      <c r="AT37" s="88"/>
      <c r="AU37" s="826"/>
      <c r="AV37" s="1060"/>
      <c r="AW37" s="808"/>
      <c r="AX37" s="1049"/>
      <c r="AY37" s="838"/>
    </row>
    <row r="38" ht="15.75" customHeight="1">
      <c r="A38" s="1190"/>
      <c r="B38" s="391">
        <v>7.0</v>
      </c>
      <c r="C38" s="346"/>
      <c r="D38" s="1233" t="s">
        <v>333</v>
      </c>
      <c r="E38" s="458">
        <v>2.0</v>
      </c>
      <c r="F38" s="1216"/>
      <c r="G38" s="1217"/>
      <c r="H38" s="1217"/>
      <c r="I38" s="1217"/>
      <c r="J38" s="1217"/>
      <c r="K38" s="1217"/>
      <c r="L38" s="1217"/>
      <c r="M38" s="1194">
        <v>2.0</v>
      </c>
      <c r="N38" s="1224"/>
      <c r="O38" s="1224"/>
      <c r="P38" s="1224"/>
      <c r="Q38" s="1224"/>
      <c r="R38" s="1224"/>
      <c r="S38" s="1230">
        <v>7.0</v>
      </c>
      <c r="T38" s="346"/>
      <c r="U38" s="124" t="s">
        <v>466</v>
      </c>
      <c r="V38" s="331">
        <v>1.0</v>
      </c>
      <c r="W38" s="1198"/>
      <c r="X38" s="1059">
        <v>1.0</v>
      </c>
      <c r="Y38" s="1224"/>
      <c r="Z38" s="1224"/>
      <c r="AA38" s="1224"/>
      <c r="AB38" s="1224"/>
      <c r="AC38" s="1225"/>
      <c r="AD38" s="1235" t="s">
        <v>346</v>
      </c>
      <c r="AE38" s="395"/>
      <c r="AF38" s="1236"/>
      <c r="AG38" s="1237">
        <f>SUM(AG32:AG37)</f>
        <v>4</v>
      </c>
      <c r="AH38" s="1059"/>
      <c r="AI38" s="1059"/>
      <c r="AJ38" s="1224"/>
      <c r="AK38" s="1224"/>
      <c r="AL38" s="1224"/>
      <c r="AM38" s="1224"/>
      <c r="AN38" s="1234"/>
      <c r="AO38" s="398" t="s">
        <v>216</v>
      </c>
      <c r="AP38" s="1238" t="s">
        <v>347</v>
      </c>
      <c r="AQ38" s="137"/>
      <c r="AR38" s="48"/>
      <c r="AS38" s="35"/>
      <c r="AT38" s="156"/>
      <c r="AU38" s="826"/>
      <c r="AV38" s="1060"/>
      <c r="AW38" s="808"/>
      <c r="AX38" s="1049"/>
      <c r="AY38" s="838"/>
    </row>
    <row r="39" ht="15.0" customHeight="1">
      <c r="A39" s="1190"/>
      <c r="B39" s="391">
        <v>8.0</v>
      </c>
      <c r="C39" s="346"/>
      <c r="D39" s="1233" t="s">
        <v>210</v>
      </c>
      <c r="E39" s="458">
        <v>3.0</v>
      </c>
      <c r="F39" s="1216"/>
      <c r="G39" s="1217"/>
      <c r="H39" s="1217"/>
      <c r="I39" s="1217"/>
      <c r="J39" s="1217"/>
      <c r="K39" s="1217"/>
      <c r="L39" s="1217"/>
      <c r="M39" s="1194">
        <v>3.0</v>
      </c>
      <c r="N39" s="1224"/>
      <c r="O39" s="1224"/>
      <c r="P39" s="1224"/>
      <c r="Q39" s="1224"/>
      <c r="R39" s="1224"/>
      <c r="S39" s="1230">
        <v>8.0</v>
      </c>
      <c r="T39" s="346"/>
      <c r="U39" s="124" t="s">
        <v>463</v>
      </c>
      <c r="V39" s="331"/>
      <c r="W39" s="1198"/>
      <c r="X39" s="1059">
        <v>1.0</v>
      </c>
      <c r="Y39" s="1199"/>
      <c r="Z39" s="1199"/>
      <c r="AA39" s="1199"/>
      <c r="AB39" s="1199"/>
      <c r="AC39" s="1239"/>
      <c r="AD39" s="1059"/>
      <c r="AE39" s="1059"/>
      <c r="AF39" s="1059"/>
      <c r="AG39" s="1059"/>
      <c r="AH39" s="1189"/>
      <c r="AI39" s="1189"/>
      <c r="AJ39" s="1199"/>
      <c r="AK39" s="1199"/>
      <c r="AL39" s="1199"/>
      <c r="AM39" s="1199"/>
      <c r="AN39" s="1200"/>
      <c r="AO39" s="1240" t="s">
        <v>91</v>
      </c>
      <c r="AP39" s="1238" t="s">
        <v>352</v>
      </c>
      <c r="AQ39" s="137"/>
      <c r="AR39" s="35"/>
      <c r="AS39" s="35"/>
      <c r="AT39" s="88"/>
      <c r="AU39" s="826"/>
      <c r="AV39" s="1060"/>
      <c r="AW39" s="808"/>
      <c r="AX39" s="1049"/>
      <c r="AY39" s="838"/>
    </row>
    <row r="40" ht="15.75" customHeight="1">
      <c r="A40" s="1241"/>
      <c r="B40" s="391">
        <v>9.0</v>
      </c>
      <c r="C40" s="346"/>
      <c r="D40" s="1233" t="s">
        <v>121</v>
      </c>
      <c r="E40" s="458">
        <v>2.0</v>
      </c>
      <c r="F40" s="1216"/>
      <c r="G40" s="1217"/>
      <c r="H40" s="1217"/>
      <c r="I40" s="1217"/>
      <c r="J40" s="1217"/>
      <c r="K40" s="1217"/>
      <c r="L40" s="1217"/>
      <c r="M40" s="1194">
        <v>2.0</v>
      </c>
      <c r="N40" s="1224"/>
      <c r="O40" s="1224"/>
      <c r="P40" s="1224"/>
      <c r="Q40" s="1224"/>
      <c r="R40" s="1224"/>
      <c r="S40" s="1242"/>
      <c r="T40" s="346"/>
      <c r="U40" s="1243"/>
      <c r="V40" s="1244"/>
      <c r="W40" s="1059"/>
      <c r="X40" s="1059"/>
      <c r="Y40" s="1224"/>
      <c r="Z40" s="1224"/>
      <c r="AA40" s="1224"/>
      <c r="AB40" s="1224"/>
      <c r="AC40" s="1225"/>
      <c r="AD40" s="1059"/>
      <c r="AE40" s="1059"/>
      <c r="AF40" s="1059"/>
      <c r="AG40" s="1059"/>
      <c r="AH40" s="1189"/>
      <c r="AI40" s="1189"/>
      <c r="AJ40" s="1224"/>
      <c r="AK40" s="1059"/>
      <c r="AL40" s="1224"/>
      <c r="AM40" s="1224"/>
      <c r="AN40" s="1234"/>
      <c r="AO40" s="1240" t="s">
        <v>106</v>
      </c>
      <c r="AP40" s="1102" t="s">
        <v>359</v>
      </c>
      <c r="AQ40" s="137"/>
      <c r="AR40" s="35"/>
      <c r="AS40" s="35"/>
      <c r="AT40" s="88"/>
      <c r="AU40" s="826"/>
      <c r="AV40" s="1060"/>
      <c r="AW40" s="808"/>
      <c r="AX40" s="1049"/>
      <c r="AY40" s="838"/>
    </row>
    <row r="41" ht="15.75" customHeight="1">
      <c r="A41" s="1190"/>
      <c r="B41" s="391">
        <v>10.0</v>
      </c>
      <c r="C41" s="346"/>
      <c r="D41" s="1233" t="s">
        <v>248</v>
      </c>
      <c r="E41" s="458">
        <v>3.0</v>
      </c>
      <c r="F41" s="1216">
        <v>2.0</v>
      </c>
      <c r="G41" s="1217"/>
      <c r="H41" s="1217"/>
      <c r="I41" s="1217"/>
      <c r="J41" s="1217"/>
      <c r="K41" s="1217"/>
      <c r="L41" s="1217"/>
      <c r="M41" s="1194">
        <v>2.0</v>
      </c>
      <c r="N41" s="1224"/>
      <c r="O41" s="1224"/>
      <c r="P41" s="1224"/>
      <c r="Q41" s="1224"/>
      <c r="R41" s="1224"/>
      <c r="S41" s="1242"/>
      <c r="T41" s="346"/>
      <c r="U41" s="1243"/>
      <c r="V41" s="1245"/>
      <c r="W41" s="1059"/>
      <c r="X41" s="1246"/>
      <c r="Y41" s="1224"/>
      <c r="Z41" s="1224"/>
      <c r="AA41" s="1224"/>
      <c r="AB41" s="1224"/>
      <c r="AC41" s="1225"/>
      <c r="AD41" s="1247"/>
      <c r="AE41" s="1247"/>
      <c r="AF41" s="1247"/>
      <c r="AG41" s="1247"/>
      <c r="AH41" s="1189"/>
      <c r="AI41" s="1189"/>
      <c r="AJ41" s="1224"/>
      <c r="AK41" s="1224"/>
      <c r="AL41" s="1224"/>
      <c r="AM41" s="1224"/>
      <c r="AN41" s="1234"/>
      <c r="AO41" s="1240" t="s">
        <v>119</v>
      </c>
      <c r="AP41" s="1102" t="s">
        <v>361</v>
      </c>
      <c r="AQ41" s="164"/>
      <c r="AR41" s="216"/>
      <c r="AS41" s="170"/>
      <c r="AT41" s="864"/>
      <c r="AU41" s="826"/>
      <c r="AV41" s="1060"/>
      <c r="AW41" s="808"/>
      <c r="AX41" s="1049"/>
      <c r="AY41" s="838"/>
    </row>
    <row r="42" ht="15.75" customHeight="1">
      <c r="A42" s="1190"/>
      <c r="B42" s="391">
        <v>11.0</v>
      </c>
      <c r="C42" s="346"/>
      <c r="D42" s="1233" t="s">
        <v>532</v>
      </c>
      <c r="E42" s="458">
        <v>2.0</v>
      </c>
      <c r="F42" s="1216"/>
      <c r="G42" s="1217"/>
      <c r="H42" s="1217"/>
      <c r="I42" s="1217"/>
      <c r="J42" s="1217"/>
      <c r="K42" s="1217"/>
      <c r="L42" s="1217"/>
      <c r="M42" s="1194">
        <v>2.0</v>
      </c>
      <c r="N42" s="1224"/>
      <c r="O42" s="1224"/>
      <c r="P42" s="1224"/>
      <c r="Q42" s="1224"/>
      <c r="R42" s="1224"/>
      <c r="S42" s="1248"/>
      <c r="T42" s="346"/>
      <c r="V42" s="327"/>
      <c r="W42" s="1171"/>
      <c r="X42" s="1246"/>
      <c r="Y42" s="1224"/>
      <c r="Z42" s="1224"/>
      <c r="AA42" s="1224"/>
      <c r="AB42" s="1224"/>
      <c r="AC42" s="1225"/>
      <c r="AD42" s="1249" t="s">
        <v>363</v>
      </c>
      <c r="AG42" s="429"/>
      <c r="AH42" s="1189" t="s">
        <v>324</v>
      </c>
      <c r="AI42" s="1250" t="s">
        <v>325</v>
      </c>
      <c r="AJ42" s="1224"/>
      <c r="AK42" s="1224"/>
      <c r="AL42" s="1224"/>
      <c r="AM42" s="1224"/>
      <c r="AN42" s="1234"/>
      <c r="AO42" s="1240" t="s">
        <v>133</v>
      </c>
      <c r="AP42" s="1102" t="s">
        <v>364</v>
      </c>
      <c r="AQ42" s="137"/>
      <c r="AR42" s="839"/>
      <c r="AS42" s="839"/>
      <c r="AT42" s="88"/>
      <c r="AU42" s="826"/>
      <c r="AV42" s="1060"/>
      <c r="AW42" s="808"/>
      <c r="AX42" s="1049"/>
      <c r="AY42" s="838"/>
    </row>
    <row r="43">
      <c r="A43" s="1190"/>
      <c r="B43" s="391">
        <v>12.0</v>
      </c>
      <c r="C43" s="346"/>
      <c r="D43" s="1233" t="s">
        <v>380</v>
      </c>
      <c r="E43" s="458">
        <v>1.0</v>
      </c>
      <c r="F43" s="1089"/>
      <c r="G43" s="1104"/>
      <c r="H43" s="1104"/>
      <c r="I43" s="1104"/>
      <c r="J43" s="1104"/>
      <c r="K43" s="1104"/>
      <c r="L43" s="1104"/>
      <c r="M43" s="1194">
        <v>1.0</v>
      </c>
      <c r="N43" s="1224"/>
      <c r="O43" s="1224"/>
      <c r="P43" s="1224"/>
      <c r="Q43" s="1224"/>
      <c r="R43" s="1224"/>
      <c r="S43" s="1248"/>
      <c r="T43" s="346"/>
      <c r="U43" s="1243"/>
      <c r="V43" s="327"/>
      <c r="W43" s="1251"/>
      <c r="X43" s="1251"/>
      <c r="Y43" s="1224"/>
      <c r="Z43" s="1224"/>
      <c r="AA43" s="1224"/>
      <c r="AB43" s="1224"/>
      <c r="AC43" s="1225"/>
      <c r="AD43" s="433"/>
      <c r="AG43" s="429"/>
      <c r="AI43" s="434"/>
      <c r="AJ43" s="1224"/>
      <c r="AK43" s="1224"/>
      <c r="AL43" s="1224"/>
      <c r="AM43" s="1224"/>
      <c r="AN43" s="1234"/>
      <c r="AO43" s="1240" t="s">
        <v>145</v>
      </c>
      <c r="AP43" s="1238" t="s">
        <v>365</v>
      </c>
      <c r="AQ43" s="1106"/>
      <c r="AR43" s="137"/>
      <c r="AS43" s="137"/>
      <c r="AT43" s="864"/>
      <c r="AU43" s="826"/>
      <c r="AV43" s="1060"/>
      <c r="AW43" s="808"/>
      <c r="AX43" s="1049"/>
      <c r="AY43" s="838"/>
    </row>
    <row r="44" ht="15.75" customHeight="1">
      <c r="A44" s="1190"/>
      <c r="B44" s="391">
        <v>13.0</v>
      </c>
      <c r="C44" s="346"/>
      <c r="D44" s="1233" t="s">
        <v>529</v>
      </c>
      <c r="E44" s="458">
        <v>2.0</v>
      </c>
      <c r="F44" s="1216"/>
      <c r="G44" s="1217"/>
      <c r="H44" s="1217"/>
      <c r="I44" s="1217"/>
      <c r="J44" s="1217"/>
      <c r="K44" s="1217"/>
      <c r="L44" s="1217"/>
      <c r="M44" s="1194">
        <v>2.0</v>
      </c>
      <c r="N44" s="1224"/>
      <c r="O44" s="1224"/>
      <c r="P44" s="1224"/>
      <c r="Q44" s="1224"/>
      <c r="R44" s="1224"/>
      <c r="S44" s="1248"/>
      <c r="T44" s="346"/>
      <c r="U44" s="1243"/>
      <c r="V44" s="327"/>
      <c r="W44" s="1059"/>
      <c r="X44" s="1246"/>
      <c r="Y44" s="1224"/>
      <c r="Z44" s="1224"/>
      <c r="AA44" s="1224"/>
      <c r="AB44" s="1224"/>
      <c r="AC44" s="1225"/>
      <c r="AD44" s="438"/>
      <c r="AE44" s="439"/>
      <c r="AF44" s="439"/>
      <c r="AG44" s="440"/>
      <c r="AH44" s="1189"/>
      <c r="AI44" s="1189"/>
      <c r="AJ44" s="1224"/>
      <c r="AK44" s="1224"/>
      <c r="AL44" s="1059" t="s">
        <v>367</v>
      </c>
      <c r="AM44" s="1224"/>
      <c r="AN44" s="1234"/>
      <c r="AO44" s="1252" t="s">
        <v>158</v>
      </c>
      <c r="AP44" s="1102" t="s">
        <v>368</v>
      </c>
      <c r="AQ44" s="1106"/>
      <c r="AR44" s="137"/>
      <c r="AS44" s="137"/>
      <c r="AT44" s="864"/>
      <c r="AU44" s="1092"/>
      <c r="AV44" s="1093"/>
      <c r="AW44" s="1094"/>
      <c r="AX44" s="1095"/>
      <c r="AY44" s="1096"/>
    </row>
    <row r="45" ht="15.75" customHeight="1">
      <c r="A45" s="1190"/>
      <c r="B45" s="391">
        <v>14.0</v>
      </c>
      <c r="C45" s="346"/>
      <c r="D45" s="1233" t="s">
        <v>222</v>
      </c>
      <c r="E45" s="458">
        <v>2.0</v>
      </c>
      <c r="F45" s="1216"/>
      <c r="G45" s="1217"/>
      <c r="H45" s="1217"/>
      <c r="I45" s="1217"/>
      <c r="J45" s="1217"/>
      <c r="K45" s="1217"/>
      <c r="L45" s="1217"/>
      <c r="M45" s="1194">
        <v>2.0</v>
      </c>
      <c r="N45" s="1059"/>
      <c r="O45" s="1059"/>
      <c r="P45" s="1059"/>
      <c r="Q45" s="1059"/>
      <c r="R45" s="1059"/>
      <c r="S45" s="1235" t="s">
        <v>346</v>
      </c>
      <c r="T45" s="395"/>
      <c r="U45" s="1253"/>
      <c r="V45" s="1237">
        <f>SUM(V32:V39)</f>
        <v>7</v>
      </c>
      <c r="W45" s="1059"/>
      <c r="X45" s="1246"/>
      <c r="Y45" s="1224"/>
      <c r="Z45" s="1224"/>
      <c r="AA45" s="1224"/>
      <c r="AB45" s="1224"/>
      <c r="AC45" s="1225"/>
      <c r="AD45" s="1254">
        <v>1.0</v>
      </c>
      <c r="AE45" s="1255"/>
      <c r="AF45" s="1256" t="s">
        <v>64</v>
      </c>
      <c r="AG45" s="448">
        <v>1.0</v>
      </c>
      <c r="AH45" s="1257"/>
      <c r="AI45" s="1059">
        <v>1.0</v>
      </c>
      <c r="AJ45" s="1224"/>
      <c r="AK45" s="1224"/>
      <c r="AL45" s="1224"/>
      <c r="AM45" s="1224"/>
      <c r="AN45" s="1234"/>
      <c r="AO45" s="1258" t="s">
        <v>182</v>
      </c>
      <c r="AP45" s="1069" t="s">
        <v>369</v>
      </c>
      <c r="AQ45" s="1106"/>
      <c r="AR45" s="1106"/>
      <c r="AS45" s="1106"/>
      <c r="AT45" s="864"/>
      <c r="AU45" s="1055"/>
      <c r="AV45" s="1056"/>
      <c r="AW45" s="1057"/>
      <c r="AX45" s="1058"/>
      <c r="AY45" s="960"/>
    </row>
    <row r="46" ht="15.75" customHeight="1">
      <c r="A46" s="1190"/>
      <c r="B46" s="1232">
        <v>15.0</v>
      </c>
      <c r="C46" s="346"/>
      <c r="D46" s="1233" t="s">
        <v>147</v>
      </c>
      <c r="E46" s="458">
        <v>2.0</v>
      </c>
      <c r="F46" s="1259"/>
      <c r="G46" s="1217"/>
      <c r="H46" s="1217"/>
      <c r="I46" s="1217"/>
      <c r="J46" s="1217"/>
      <c r="K46" s="1217"/>
      <c r="L46" s="1217"/>
      <c r="M46" s="1194">
        <v>2.0</v>
      </c>
      <c r="N46" s="1224"/>
      <c r="O46" s="1224"/>
      <c r="P46" s="1224"/>
      <c r="Q46" s="1224"/>
      <c r="R46" s="1224"/>
      <c r="S46" s="1260"/>
      <c r="T46" s="1261"/>
      <c r="U46" s="1262"/>
      <c r="V46" s="1225"/>
      <c r="W46" s="1171"/>
      <c r="X46" s="1246"/>
      <c r="Y46" s="1224"/>
      <c r="Z46" s="1224"/>
      <c r="AA46" s="1224"/>
      <c r="AB46" s="1224"/>
      <c r="AC46" s="1225"/>
      <c r="AD46" s="1263">
        <v>2.0</v>
      </c>
      <c r="AE46" s="346"/>
      <c r="AF46" s="824" t="s">
        <v>375</v>
      </c>
      <c r="AG46" s="1264">
        <v>1.0</v>
      </c>
      <c r="AH46" s="1265"/>
      <c r="AI46" s="1059">
        <v>1.0</v>
      </c>
      <c r="AJ46" s="1224"/>
      <c r="AK46" s="1224"/>
      <c r="AL46" s="1224"/>
      <c r="AM46" s="1224"/>
      <c r="AN46" s="1234"/>
      <c r="AO46" s="1258" t="s">
        <v>189</v>
      </c>
      <c r="AP46" s="1102" t="s">
        <v>371</v>
      </c>
      <c r="AQ46" s="1106"/>
      <c r="AR46" s="1106"/>
      <c r="AS46" s="1106"/>
      <c r="AT46" s="864"/>
      <c r="AU46" s="1055"/>
      <c r="AV46" s="1056"/>
      <c r="AW46" s="1057"/>
      <c r="AX46" s="1058"/>
      <c r="AY46" s="960"/>
    </row>
    <row r="47" ht="15.75" customHeight="1">
      <c r="A47" s="1190"/>
      <c r="B47" s="391">
        <v>16.0</v>
      </c>
      <c r="C47" s="346"/>
      <c r="D47" s="1233" t="s">
        <v>126</v>
      </c>
      <c r="E47" s="458">
        <v>3.0</v>
      </c>
      <c r="F47" s="1216"/>
      <c r="G47" s="1217"/>
      <c r="H47" s="1217"/>
      <c r="I47" s="1217"/>
      <c r="J47" s="1217"/>
      <c r="K47" s="1217"/>
      <c r="L47" s="1217"/>
      <c r="M47" s="1194">
        <v>3.0</v>
      </c>
      <c r="N47" s="1224"/>
      <c r="O47" s="1224"/>
      <c r="P47" s="1224"/>
      <c r="Q47" s="1224"/>
      <c r="R47" s="1224"/>
      <c r="S47" s="1266"/>
      <c r="T47" s="1229"/>
      <c r="U47" s="1262"/>
      <c r="V47" s="897"/>
      <c r="W47" s="1059"/>
      <c r="X47" s="1246"/>
      <c r="Y47" s="1224"/>
      <c r="Z47" s="1224"/>
      <c r="AA47" s="1224"/>
      <c r="AB47" s="1224"/>
      <c r="AC47" s="1225"/>
      <c r="AD47" s="1263">
        <v>3.0</v>
      </c>
      <c r="AE47" s="346"/>
      <c r="AF47" s="824" t="s">
        <v>372</v>
      </c>
      <c r="AG47" s="1264">
        <v>2.0</v>
      </c>
      <c r="AH47" s="1257"/>
      <c r="AI47" s="1059">
        <v>1.0</v>
      </c>
      <c r="AJ47" s="1224"/>
      <c r="AK47" s="1224"/>
      <c r="AL47" s="1224"/>
      <c r="AM47" s="1224"/>
      <c r="AN47" s="1234"/>
      <c r="AO47" s="1258" t="s">
        <v>203</v>
      </c>
      <c r="AP47" s="1069" t="s">
        <v>373</v>
      </c>
      <c r="AQ47" s="1106"/>
      <c r="AR47" s="1106"/>
      <c r="AS47" s="1106"/>
      <c r="AT47" s="864"/>
      <c r="AU47" s="1092"/>
      <c r="AV47" s="1093"/>
      <c r="AW47" s="1094"/>
      <c r="AX47" s="1095"/>
      <c r="AY47" s="1096"/>
    </row>
    <row r="48" ht="15.75" customHeight="1">
      <c r="A48" s="1267"/>
      <c r="B48" s="391">
        <v>17.0</v>
      </c>
      <c r="C48" s="346"/>
      <c r="D48" s="1233" t="s">
        <v>235</v>
      </c>
      <c r="E48" s="458">
        <v>2.0</v>
      </c>
      <c r="F48" s="1216"/>
      <c r="G48" s="1217"/>
      <c r="H48" s="1217"/>
      <c r="I48" s="1217"/>
      <c r="J48" s="1217"/>
      <c r="K48" s="1217"/>
      <c r="L48" s="1217"/>
      <c r="M48" s="1194">
        <v>2.0</v>
      </c>
      <c r="N48" s="1224"/>
      <c r="O48" s="1224"/>
      <c r="P48" s="1224"/>
      <c r="Q48" s="1224"/>
      <c r="R48" s="1224"/>
      <c r="S48" s="1108"/>
      <c r="T48" s="1229"/>
      <c r="U48" s="1268" t="s">
        <v>374</v>
      </c>
      <c r="V48" s="1225"/>
      <c r="W48" s="1059"/>
      <c r="X48" s="1246"/>
      <c r="Y48" s="1224"/>
      <c r="Z48" s="1224"/>
      <c r="AA48" s="1224"/>
      <c r="AB48" s="1224"/>
      <c r="AC48" s="1225"/>
      <c r="AD48" s="1263">
        <v>4.0</v>
      </c>
      <c r="AE48" s="346"/>
      <c r="AF48" s="1269" t="s">
        <v>381</v>
      </c>
      <c r="AG48" s="1264">
        <v>1.0</v>
      </c>
      <c r="AH48" s="1270"/>
      <c r="AI48" s="1059">
        <v>1.0</v>
      </c>
      <c r="AJ48" s="1224"/>
      <c r="AK48" s="1224"/>
      <c r="AL48" s="1224"/>
      <c r="AM48" s="1224"/>
      <c r="AN48" s="1234"/>
      <c r="AO48" s="1252" t="s">
        <v>216</v>
      </c>
      <c r="AP48" s="1271" t="s">
        <v>376</v>
      </c>
      <c r="AR48" s="1106"/>
      <c r="AS48" s="1106"/>
      <c r="AT48" s="1272"/>
      <c r="AU48" s="1055"/>
      <c r="AV48" s="1056"/>
      <c r="AW48" s="1057"/>
      <c r="AX48" s="1058"/>
      <c r="AY48" s="960"/>
    </row>
    <row r="49" ht="15.75" customHeight="1">
      <c r="A49" s="1267"/>
      <c r="B49" s="391">
        <v>18.0</v>
      </c>
      <c r="C49" s="346"/>
      <c r="D49" s="1233" t="s">
        <v>384</v>
      </c>
      <c r="E49" s="458">
        <v>3.0</v>
      </c>
      <c r="F49" s="1216"/>
      <c r="G49" s="1217"/>
      <c r="H49" s="1217"/>
      <c r="I49" s="1217"/>
      <c r="J49" s="1217"/>
      <c r="K49" s="1217"/>
      <c r="L49" s="1217"/>
      <c r="M49" s="1194">
        <v>2.0</v>
      </c>
      <c r="N49" s="1224"/>
      <c r="O49" s="1224"/>
      <c r="P49" s="1059"/>
      <c r="Q49" s="1059"/>
      <c r="R49" s="1224"/>
      <c r="S49" s="1260"/>
      <c r="T49" s="1229"/>
      <c r="U49" s="1262"/>
      <c r="V49" s="1239"/>
      <c r="W49" s="1059"/>
      <c r="X49" s="1246"/>
      <c r="Y49" s="1224"/>
      <c r="Z49" s="1224"/>
      <c r="AA49" s="1224"/>
      <c r="AB49" s="1224"/>
      <c r="AC49" s="1225"/>
      <c r="AD49" s="1263">
        <v>5.0</v>
      </c>
      <c r="AE49" s="346"/>
      <c r="AF49" s="822" t="s">
        <v>75</v>
      </c>
      <c r="AG49" s="448">
        <v>1.0</v>
      </c>
      <c r="AH49" s="1270"/>
      <c r="AI49" s="1059">
        <v>1.0</v>
      </c>
      <c r="AJ49" s="1224"/>
      <c r="AK49" s="1224"/>
      <c r="AL49" s="1224"/>
      <c r="AM49" s="1224"/>
      <c r="AN49" s="1234"/>
      <c r="AO49" s="1240" t="s">
        <v>233</v>
      </c>
      <c r="AP49" s="1113" t="s">
        <v>379</v>
      </c>
      <c r="AQ49" s="1106"/>
      <c r="AR49" s="1106"/>
      <c r="AS49" s="1106"/>
      <c r="AT49" s="1272"/>
      <c r="AU49" s="1055"/>
      <c r="AV49" s="1056"/>
      <c r="AW49" s="1057"/>
      <c r="AX49" s="1058"/>
      <c r="AY49" s="960"/>
    </row>
    <row r="50" ht="15.75" customHeight="1">
      <c r="A50" s="1190"/>
      <c r="B50" s="391">
        <v>19.0</v>
      </c>
      <c r="C50" s="346"/>
      <c r="D50" s="1233" t="s">
        <v>229</v>
      </c>
      <c r="E50" s="458">
        <v>2.0</v>
      </c>
      <c r="F50" s="1216"/>
      <c r="G50" s="1217"/>
      <c r="H50" s="1217"/>
      <c r="I50" s="1217"/>
      <c r="J50" s="1217"/>
      <c r="K50" s="1217"/>
      <c r="L50" s="1217"/>
      <c r="M50" s="1194">
        <v>2.0</v>
      </c>
      <c r="N50" s="1224"/>
      <c r="O50" s="1224"/>
      <c r="P50" s="1224"/>
      <c r="Q50" s="1224"/>
      <c r="R50" s="1224"/>
      <c r="S50" s="1260"/>
      <c r="T50" s="1261"/>
      <c r="U50" s="1273"/>
      <c r="V50" s="1239"/>
      <c r="W50" s="1239"/>
      <c r="X50" s="1246"/>
      <c r="Y50" s="1224"/>
      <c r="Z50" s="1224"/>
      <c r="AA50" s="1224"/>
      <c r="AB50" s="1224"/>
      <c r="AC50" s="1225"/>
      <c r="AD50" s="1274">
        <v>6.0</v>
      </c>
      <c r="AE50" s="346"/>
      <c r="AF50" s="1269" t="s">
        <v>468</v>
      </c>
      <c r="AG50" s="448"/>
      <c r="AH50" s="1257"/>
      <c r="AJ50" s="1224"/>
      <c r="AK50" s="1224"/>
      <c r="AL50" s="1224"/>
      <c r="AM50" s="1224"/>
      <c r="AN50" s="1234"/>
      <c r="AO50" s="1275" t="s">
        <v>242</v>
      </c>
      <c r="AP50" s="1276" t="s">
        <v>382</v>
      </c>
      <c r="AQ50" s="1277"/>
      <c r="AR50" s="1277"/>
      <c r="AS50" s="1277"/>
      <c r="AT50" s="1278"/>
      <c r="AU50" s="1279"/>
      <c r="AV50" s="1280"/>
      <c r="AW50" s="1281"/>
      <c r="AX50" s="1282"/>
      <c r="AY50" s="838"/>
    </row>
    <row r="51">
      <c r="A51" s="1190"/>
      <c r="B51" s="1232">
        <v>20.0</v>
      </c>
      <c r="C51" s="346"/>
      <c r="D51" s="1233" t="s">
        <v>160</v>
      </c>
      <c r="E51" s="350"/>
      <c r="F51" s="1216"/>
      <c r="G51" s="1217"/>
      <c r="H51" s="1217"/>
      <c r="I51" s="1217"/>
      <c r="J51" s="1217"/>
      <c r="K51" s="1217"/>
      <c r="L51" s="1217"/>
      <c r="M51" s="1194">
        <v>2.0</v>
      </c>
      <c r="N51" s="1224"/>
      <c r="O51" s="1224"/>
      <c r="P51" s="1224"/>
      <c r="Q51" s="1224"/>
      <c r="R51" s="1224"/>
      <c r="S51" s="1283" t="s">
        <v>383</v>
      </c>
      <c r="T51" s="3"/>
      <c r="U51" s="300"/>
      <c r="V51" s="1284">
        <f>(E66+V45+AG38+AG52)</f>
        <v>75</v>
      </c>
      <c r="W51" s="1239"/>
      <c r="X51" s="1246"/>
      <c r="Y51" s="1224"/>
      <c r="Z51" s="1224"/>
      <c r="AA51" s="1224"/>
      <c r="AB51" s="1224"/>
      <c r="AC51" s="1225"/>
      <c r="AD51" s="1274"/>
      <c r="AE51" s="346"/>
      <c r="AF51" s="1269"/>
      <c r="AG51" s="1285"/>
      <c r="AH51" s="1257"/>
      <c r="AI51" s="1225"/>
      <c r="AJ51" s="1224"/>
      <c r="AK51" s="1224"/>
      <c r="AL51" s="1224"/>
      <c r="AM51" s="1224"/>
      <c r="AN51" s="1225"/>
      <c r="AO51" s="386"/>
      <c r="AP51" s="201"/>
      <c r="AQ51" s="1059"/>
      <c r="AR51" s="897"/>
      <c r="AS51" s="897"/>
      <c r="AT51" s="897"/>
      <c r="AU51" s="960"/>
      <c r="AV51" s="960"/>
      <c r="AW51" s="960"/>
      <c r="AX51" s="960"/>
      <c r="AY51" s="960"/>
    </row>
    <row r="52" ht="15.75" customHeight="1">
      <c r="A52" s="1190"/>
      <c r="B52" s="391">
        <v>21.0</v>
      </c>
      <c r="C52" s="346"/>
      <c r="D52" s="1233" t="s">
        <v>178</v>
      </c>
      <c r="E52" s="350"/>
      <c r="F52" s="1216"/>
      <c r="G52" s="1217"/>
      <c r="H52" s="1217"/>
      <c r="I52" s="1217"/>
      <c r="J52" s="1217"/>
      <c r="K52" s="1217"/>
      <c r="L52" s="1217"/>
      <c r="M52" s="1194">
        <v>2.0</v>
      </c>
      <c r="N52" s="1224"/>
      <c r="O52" s="1224"/>
      <c r="P52" s="1224"/>
      <c r="Q52" s="1224"/>
      <c r="R52" s="1224"/>
      <c r="S52" s="438"/>
      <c r="T52" s="439"/>
      <c r="U52" s="440"/>
      <c r="V52" s="481"/>
      <c r="W52" s="1239"/>
      <c r="X52" s="1246"/>
      <c r="Y52" s="1224"/>
      <c r="Z52" s="1224"/>
      <c r="AA52" s="1224"/>
      <c r="AB52" s="1224"/>
      <c r="AC52" s="1225"/>
      <c r="AD52" s="1235" t="s">
        <v>346</v>
      </c>
      <c r="AE52" s="395"/>
      <c r="AF52" s="1236"/>
      <c r="AG52" s="1237">
        <f>SUM(AG45:AG51)</f>
        <v>6</v>
      </c>
      <c r="AH52" s="1225"/>
      <c r="AI52" s="1225"/>
      <c r="AJ52" s="1224"/>
      <c r="AK52" s="1224"/>
      <c r="AL52" s="1224"/>
      <c r="AM52" s="1224"/>
      <c r="AN52" s="1225"/>
      <c r="AO52" s="386"/>
      <c r="AP52" s="201"/>
      <c r="AQ52" s="897"/>
      <c r="AR52" s="897"/>
      <c r="AS52" s="897"/>
      <c r="AT52" s="897"/>
      <c r="AU52" s="960"/>
      <c r="AV52" s="960"/>
      <c r="AW52" s="838"/>
      <c r="AX52" s="838"/>
      <c r="AY52" s="838"/>
    </row>
    <row r="53" ht="15.0" customHeight="1">
      <c r="A53" s="1190"/>
      <c r="B53" s="1232">
        <v>22.0</v>
      </c>
      <c r="C53" s="346"/>
      <c r="D53" s="1233" t="s">
        <v>360</v>
      </c>
      <c r="E53" s="458">
        <v>2.0</v>
      </c>
      <c r="F53" s="1286"/>
      <c r="G53" s="1287"/>
      <c r="H53" s="1287"/>
      <c r="I53" s="1287"/>
      <c r="J53" s="1287"/>
      <c r="K53" s="1287"/>
      <c r="L53" s="1287"/>
      <c r="M53" s="1194">
        <v>2.0</v>
      </c>
      <c r="N53" s="1224"/>
      <c r="O53" s="1224"/>
      <c r="P53" s="1224"/>
      <c r="Q53" s="1224"/>
      <c r="R53" s="1224"/>
      <c r="S53" s="1260"/>
      <c r="T53" s="1229"/>
      <c r="V53" s="897"/>
      <c r="W53" s="1288"/>
      <c r="X53" s="1246"/>
      <c r="Y53" s="1224"/>
      <c r="Z53" s="1224"/>
      <c r="AA53" s="1224"/>
      <c r="AB53" s="1224"/>
      <c r="AC53" s="1225"/>
      <c r="AD53" s="1225"/>
      <c r="AE53" s="1225"/>
      <c r="AF53" s="1225"/>
      <c r="AG53" s="1225"/>
      <c r="AH53" s="1289"/>
      <c r="AI53" s="1289"/>
      <c r="AJ53" s="1224"/>
      <c r="AK53" s="1224"/>
      <c r="AL53" s="1224"/>
      <c r="AM53" s="1224"/>
      <c r="AN53" s="1225"/>
      <c r="AO53" s="386"/>
      <c r="AP53" s="201"/>
      <c r="AQ53" s="897"/>
      <c r="AR53" s="897"/>
      <c r="AS53" s="897"/>
      <c r="AT53" s="897"/>
      <c r="AU53" s="838"/>
      <c r="AV53" s="838"/>
      <c r="AW53" s="838"/>
      <c r="AX53" s="838"/>
      <c r="AY53" s="838"/>
    </row>
    <row r="54" ht="15.75" customHeight="1">
      <c r="A54" s="1190"/>
      <c r="B54" s="1232">
        <v>23.0</v>
      </c>
      <c r="C54" s="346"/>
      <c r="D54" s="1233" t="s">
        <v>370</v>
      </c>
      <c r="E54" s="458">
        <v>2.0</v>
      </c>
      <c r="F54" s="1216"/>
      <c r="G54" s="1217"/>
      <c r="H54" s="1217"/>
      <c r="I54" s="1217"/>
      <c r="J54" s="1217"/>
      <c r="K54" s="1217"/>
      <c r="L54" s="1217"/>
      <c r="M54" s="1194">
        <v>2.0</v>
      </c>
      <c r="N54" s="1224"/>
      <c r="O54" s="1224"/>
      <c r="P54" s="1224"/>
      <c r="Q54" s="1224"/>
      <c r="R54" s="1225"/>
      <c r="S54" s="1266"/>
      <c r="T54" s="1224"/>
      <c r="U54" s="1290"/>
      <c r="V54" s="1291"/>
      <c r="W54" s="1291"/>
      <c r="X54" s="1246"/>
      <c r="Y54" s="1224"/>
      <c r="Z54" s="1224"/>
      <c r="AA54" s="1224"/>
      <c r="AB54" s="1224"/>
      <c r="AC54" s="1225"/>
      <c r="AD54" s="1225"/>
      <c r="AE54" s="1225"/>
      <c r="AF54" s="1292"/>
      <c r="AG54" s="1225"/>
      <c r="AH54" s="1225"/>
      <c r="AI54" s="1225"/>
      <c r="AJ54" s="1224"/>
      <c r="AK54" s="1224"/>
      <c r="AL54" s="1224"/>
      <c r="AM54" s="1224"/>
      <c r="AN54" s="1225"/>
      <c r="AO54" s="386"/>
      <c r="AP54" s="201"/>
      <c r="AQ54" s="897"/>
      <c r="AR54" s="897"/>
      <c r="AS54" s="897"/>
      <c r="AT54" s="897"/>
      <c r="AU54" s="960"/>
      <c r="AV54" s="960"/>
      <c r="AW54" s="960"/>
      <c r="AX54" s="960"/>
      <c r="AY54" s="960"/>
    </row>
    <row r="55" ht="15.75" customHeight="1">
      <c r="A55" s="1190"/>
      <c r="B55" s="1232">
        <v>24.0</v>
      </c>
      <c r="C55" s="346"/>
      <c r="D55" s="1233" t="s">
        <v>385</v>
      </c>
      <c r="E55" s="458">
        <v>3.0</v>
      </c>
      <c r="F55" s="1216"/>
      <c r="G55" s="1217"/>
      <c r="H55" s="1217"/>
      <c r="I55" s="1217"/>
      <c r="J55" s="1217"/>
      <c r="K55" s="1217"/>
      <c r="L55" s="1217"/>
      <c r="M55" s="1194">
        <v>2.0</v>
      </c>
      <c r="N55" s="1224"/>
      <c r="O55" s="1224"/>
      <c r="P55" s="1224"/>
      <c r="Q55" s="1224"/>
      <c r="R55" s="1225"/>
      <c r="S55" s="1266"/>
      <c r="T55" s="1224"/>
      <c r="U55" s="1290"/>
      <c r="V55" s="1288"/>
      <c r="W55" s="1291"/>
      <c r="X55" s="1246"/>
      <c r="Y55" s="1224"/>
      <c r="Z55" s="1224"/>
      <c r="AA55" s="1224"/>
      <c r="AB55" s="1224"/>
      <c r="AC55" s="1225"/>
      <c r="AD55" s="1225"/>
      <c r="AE55" s="1225"/>
      <c r="AF55" s="1225"/>
      <c r="AG55" s="1225"/>
      <c r="AH55" s="1225"/>
      <c r="AI55" s="1225"/>
      <c r="AJ55" s="1224"/>
      <c r="AK55" s="1195"/>
      <c r="AL55" s="1224"/>
      <c r="AM55" s="1224"/>
      <c r="AN55" s="1225"/>
      <c r="AO55" s="386"/>
      <c r="AP55" s="201"/>
      <c r="AQ55" s="897"/>
      <c r="AR55" s="897"/>
      <c r="AS55" s="897"/>
      <c r="AT55" s="897"/>
      <c r="AU55" s="960"/>
      <c r="AV55" s="960"/>
      <c r="AW55" s="960"/>
      <c r="AX55" s="960"/>
      <c r="AY55" s="960"/>
    </row>
    <row r="56" ht="15.75" customHeight="1">
      <c r="A56" s="1190"/>
      <c r="B56" s="1293">
        <v>25.0</v>
      </c>
      <c r="C56" s="346"/>
      <c r="D56" s="132" t="s">
        <v>528</v>
      </c>
      <c r="E56" s="458">
        <v>2.0</v>
      </c>
      <c r="F56" s="1216"/>
      <c r="G56" s="1217"/>
      <c r="H56" s="1217"/>
      <c r="I56" s="1217"/>
      <c r="J56" s="1217"/>
      <c r="K56" s="1217"/>
      <c r="L56" s="1217"/>
      <c r="M56" s="1194">
        <v>2.0</v>
      </c>
      <c r="N56" s="1224"/>
      <c r="O56" s="1224"/>
      <c r="P56" s="1224"/>
      <c r="Q56" s="1224"/>
      <c r="R56" s="1225"/>
      <c r="S56" s="1266"/>
      <c r="T56" s="1224"/>
      <c r="U56" s="1290"/>
      <c r="V56" s="1224"/>
      <c r="W56" s="1224"/>
      <c r="X56" s="1246"/>
      <c r="Y56" s="1224"/>
      <c r="Z56" s="1224"/>
      <c r="AA56" s="1224"/>
      <c r="AB56" s="1224"/>
      <c r="AC56" s="1224"/>
      <c r="AD56" s="1224"/>
      <c r="AE56" s="1224"/>
      <c r="AF56" s="1224"/>
      <c r="AG56" s="1225"/>
      <c r="AH56" s="1225"/>
      <c r="AI56" s="1225"/>
      <c r="AJ56" s="1224"/>
      <c r="AK56" s="1224"/>
      <c r="AL56" s="1224"/>
      <c r="AM56" s="1224"/>
      <c r="AN56" s="1225"/>
      <c r="AO56" s="386"/>
      <c r="AP56" s="201"/>
      <c r="AQ56" s="897"/>
      <c r="AR56" s="897"/>
      <c r="AS56" s="897"/>
      <c r="AT56" s="897"/>
      <c r="AU56" s="960"/>
      <c r="AV56" s="960"/>
      <c r="AW56" s="960"/>
      <c r="AX56" s="960"/>
      <c r="AY56" s="960"/>
    </row>
    <row r="57" ht="15.75" customHeight="1">
      <c r="A57" s="1190"/>
      <c r="B57" s="1293">
        <v>26.0</v>
      </c>
      <c r="C57" s="346"/>
      <c r="D57" s="132" t="s">
        <v>535</v>
      </c>
      <c r="E57" s="458">
        <v>2.0</v>
      </c>
      <c r="F57" s="1216"/>
      <c r="G57" s="1217"/>
      <c r="H57" s="1217"/>
      <c r="I57" s="1217"/>
      <c r="J57" s="1217"/>
      <c r="K57" s="1217"/>
      <c r="L57" s="1217"/>
      <c r="M57" s="1194">
        <v>2.0</v>
      </c>
      <c r="N57" s="1224"/>
      <c r="O57" s="1224"/>
      <c r="P57" s="1224"/>
      <c r="Q57" s="1224"/>
      <c r="R57" s="1225"/>
      <c r="S57" s="1229"/>
      <c r="T57" s="1224"/>
      <c r="U57" s="1290"/>
      <c r="V57" s="1291"/>
      <c r="W57" s="1291"/>
      <c r="X57" s="1294"/>
      <c r="Y57" s="1224"/>
      <c r="Z57" s="1224"/>
      <c r="AA57" s="1224"/>
      <c r="AB57" s="1224"/>
      <c r="AC57" s="1225"/>
      <c r="AD57" s="1225"/>
      <c r="AE57" s="1225"/>
      <c r="AF57" s="1225"/>
      <c r="AG57" s="1225"/>
      <c r="AH57" s="1225"/>
      <c r="AI57" s="1295"/>
      <c r="AJ57" s="1224"/>
      <c r="AK57" s="1224"/>
      <c r="AL57" s="1224"/>
      <c r="AM57" s="1224"/>
      <c r="AN57" s="1225"/>
      <c r="AO57" s="386"/>
      <c r="AP57" s="201"/>
      <c r="AQ57" s="897"/>
      <c r="AR57" s="897"/>
      <c r="AS57" s="1169"/>
      <c r="AT57" s="897"/>
      <c r="AU57" s="960"/>
      <c r="AV57" s="960"/>
      <c r="AW57" s="960"/>
      <c r="AX57" s="960"/>
      <c r="AY57" s="960"/>
    </row>
    <row r="58" ht="15.75" customHeight="1">
      <c r="A58" s="1296"/>
      <c r="B58" s="1293">
        <v>27.0</v>
      </c>
      <c r="C58" s="346"/>
      <c r="D58" s="132" t="s">
        <v>536</v>
      </c>
      <c r="E58" s="458">
        <v>1.0</v>
      </c>
      <c r="F58" s="1216"/>
      <c r="G58" s="1217"/>
      <c r="H58" s="1217"/>
      <c r="I58" s="1217"/>
      <c r="J58" s="1217"/>
      <c r="K58" s="1217"/>
      <c r="L58" s="1217"/>
      <c r="M58" s="1194">
        <v>2.0</v>
      </c>
      <c r="N58" s="1224"/>
      <c r="O58" s="1224"/>
      <c r="P58" s="1224"/>
      <c r="Q58" s="1224"/>
      <c r="R58" s="1225"/>
      <c r="S58" s="1229"/>
      <c r="T58" s="1059" t="s">
        <v>367</v>
      </c>
      <c r="U58" s="1290"/>
      <c r="V58" s="1291"/>
      <c r="W58" s="1291"/>
      <c r="X58" s="1291"/>
      <c r="Y58" s="1224"/>
      <c r="Z58" s="1224"/>
      <c r="AA58" s="1224"/>
      <c r="AB58" s="1224"/>
      <c r="AC58" s="1225"/>
      <c r="AD58" s="1225"/>
      <c r="AE58" s="1225"/>
      <c r="AF58" s="1225"/>
      <c r="AG58" s="1225"/>
      <c r="AH58" s="1225"/>
      <c r="AI58" s="1225"/>
      <c r="AJ58" s="1224"/>
      <c r="AK58" s="1224"/>
      <c r="AL58" s="1224"/>
      <c r="AM58" s="1224"/>
      <c r="AN58" s="1225"/>
      <c r="AO58" s="386"/>
      <c r="AP58" s="201"/>
      <c r="AQ58" s="897"/>
      <c r="AR58" s="897"/>
      <c r="AS58" s="897"/>
      <c r="AT58" s="897"/>
      <c r="AU58" s="1297"/>
      <c r="AV58" s="1297"/>
      <c r="AW58" s="1297"/>
      <c r="AX58" s="1297"/>
      <c r="AY58" s="1297"/>
    </row>
    <row r="59" ht="15.75" customHeight="1">
      <c r="A59" s="47"/>
      <c r="B59" s="1293">
        <v>28.0</v>
      </c>
      <c r="C59" s="346"/>
      <c r="D59" s="487"/>
      <c r="E59" s="458"/>
      <c r="F59" s="1089"/>
      <c r="G59" s="1104"/>
      <c r="H59" s="1104"/>
      <c r="I59" s="1104"/>
      <c r="J59" s="1104"/>
      <c r="K59" s="1104"/>
      <c r="L59" s="1104"/>
      <c r="M59" s="1298"/>
      <c r="N59" s="1224"/>
      <c r="O59" s="1224"/>
      <c r="P59" s="1224"/>
      <c r="Q59" s="1224"/>
      <c r="R59" s="1225"/>
      <c r="S59" s="1299"/>
      <c r="T59" s="1300"/>
      <c r="U59" s="1251"/>
      <c r="V59" s="1288" t="s">
        <v>367</v>
      </c>
      <c r="W59" s="1301"/>
      <c r="X59" s="1291"/>
      <c r="Y59" s="1224"/>
      <c r="Z59" s="1224"/>
      <c r="AA59" s="1224"/>
      <c r="AB59" s="1224"/>
      <c r="AC59" s="1225"/>
      <c r="AD59" s="1225"/>
      <c r="AE59" s="1225"/>
      <c r="AF59" s="1225"/>
      <c r="AG59" s="1225"/>
      <c r="AH59" s="1225"/>
      <c r="AI59" s="1225"/>
      <c r="AJ59" s="1224"/>
      <c r="AK59" s="1224"/>
      <c r="AL59" s="1224"/>
      <c r="AM59" s="1224"/>
      <c r="AN59" s="1225"/>
      <c r="AO59" s="386"/>
      <c r="AP59" s="201"/>
      <c r="AQ59" s="897"/>
      <c r="AR59" s="897"/>
      <c r="AS59" s="897"/>
      <c r="AT59" s="1297"/>
      <c r="AU59" s="1297"/>
      <c r="AV59" s="1297"/>
      <c r="AW59" s="1297"/>
      <c r="AX59" s="1297"/>
      <c r="AY59" s="1297"/>
    </row>
    <row r="60" ht="15.75" customHeight="1">
      <c r="A60" s="47"/>
      <c r="B60" s="1293"/>
      <c r="C60" s="346"/>
      <c r="D60" s="487"/>
      <c r="E60" s="458"/>
      <c r="F60" s="1216"/>
      <c r="G60" s="1217"/>
      <c r="H60" s="1217"/>
      <c r="I60" s="1217"/>
      <c r="J60" s="1217"/>
      <c r="K60" s="1217"/>
      <c r="L60" s="1217"/>
      <c r="M60" s="1298"/>
      <c r="N60" s="1224"/>
      <c r="O60" s="1224"/>
      <c r="P60" s="1224"/>
      <c r="Q60" s="1224"/>
      <c r="R60" s="1225"/>
      <c r="S60" s="1302"/>
      <c r="T60" s="1303"/>
      <c r="U60" s="1290"/>
      <c r="V60" s="1288" t="s">
        <v>367</v>
      </c>
      <c r="W60" s="1291"/>
      <c r="X60" s="1291"/>
      <c r="Y60" s="1224"/>
      <c r="Z60" s="1224"/>
      <c r="AA60" s="1224"/>
      <c r="AB60" s="1224"/>
      <c r="AC60" s="1225"/>
      <c r="AD60" s="1225"/>
      <c r="AE60" s="1225"/>
      <c r="AF60" s="1225"/>
      <c r="AG60" s="1225"/>
      <c r="AH60" s="1225"/>
      <c r="AI60" s="1292"/>
      <c r="AJ60" s="1224"/>
      <c r="AK60" s="1224"/>
      <c r="AL60" s="1224"/>
      <c r="AM60" s="1224"/>
      <c r="AN60" s="1225"/>
      <c r="AO60" s="386"/>
      <c r="AP60" s="201"/>
      <c r="AQ60" s="897"/>
      <c r="AR60" s="897"/>
      <c r="AS60" s="897"/>
      <c r="AT60" s="1297"/>
      <c r="AU60" s="1297"/>
      <c r="AV60" s="1297"/>
      <c r="AW60" s="1297"/>
      <c r="AX60" s="1297"/>
      <c r="AY60" s="1297"/>
    </row>
    <row r="61" ht="15.75" customHeight="1">
      <c r="A61" s="1"/>
      <c r="B61" s="193"/>
      <c r="C61" s="346"/>
      <c r="D61" s="137"/>
      <c r="E61" s="1304"/>
      <c r="F61" s="1216"/>
      <c r="G61" s="1217"/>
      <c r="H61" s="1217"/>
      <c r="I61" s="1217"/>
      <c r="J61" s="1217"/>
      <c r="K61" s="1217"/>
      <c r="L61" s="1217"/>
      <c r="M61" s="1298"/>
      <c r="N61" s="1224"/>
      <c r="O61" s="1224"/>
      <c r="P61" s="1224"/>
      <c r="Q61" s="1224"/>
      <c r="R61" s="1225"/>
      <c r="S61" s="1302"/>
      <c r="T61" s="1300"/>
      <c r="U61" s="1290"/>
      <c r="V61" s="1291"/>
      <c r="W61" s="1291"/>
      <c r="X61" s="1291"/>
      <c r="Y61" s="1224"/>
      <c r="Z61" s="1224"/>
      <c r="AA61" s="1224"/>
      <c r="AB61" s="1224"/>
      <c r="AC61" s="1225"/>
      <c r="AD61" s="1225"/>
      <c r="AE61" s="1225"/>
      <c r="AF61" s="897"/>
      <c r="AG61" s="1225"/>
      <c r="AH61" s="1225"/>
      <c r="AI61" s="1225"/>
      <c r="AJ61" s="1224"/>
      <c r="AK61" s="1224"/>
      <c r="AL61" s="1224"/>
      <c r="AM61" s="1224"/>
      <c r="AN61" s="1225"/>
      <c r="AO61" s="386"/>
      <c r="AP61" s="201"/>
      <c r="AQ61" s="897"/>
      <c r="AR61" s="897"/>
      <c r="AS61" s="897"/>
      <c r="AT61" s="1297"/>
      <c r="AU61" s="1297"/>
      <c r="AV61" s="1297"/>
      <c r="AW61" s="1297"/>
      <c r="AX61" s="1297"/>
      <c r="AY61" s="1297"/>
    </row>
    <row r="62" ht="15.75" customHeight="1">
      <c r="A62" s="1"/>
      <c r="B62" s="193"/>
      <c r="C62" s="346"/>
      <c r="D62" s="1106"/>
      <c r="E62" s="1304"/>
      <c r="F62" s="1216"/>
      <c r="G62" s="1217"/>
      <c r="H62" s="1217"/>
      <c r="I62" s="1217"/>
      <c r="J62" s="1217"/>
      <c r="K62" s="1217"/>
      <c r="L62" s="1217"/>
      <c r="M62" s="1298"/>
      <c r="N62" s="1224"/>
      <c r="O62" s="1224"/>
      <c r="P62" s="1224"/>
      <c r="Q62" s="1224"/>
      <c r="R62" s="1225"/>
      <c r="S62" s="1266"/>
      <c r="T62" s="1224"/>
      <c r="U62" s="1290"/>
      <c r="V62" s="1291"/>
      <c r="W62" s="1291"/>
      <c r="X62" s="1305"/>
      <c r="Y62" s="1224"/>
      <c r="Z62" s="1224"/>
      <c r="AA62" s="1224"/>
      <c r="AB62" s="1224"/>
      <c r="AC62" s="1225"/>
      <c r="AD62" s="1225"/>
      <c r="AE62" s="1225"/>
      <c r="AF62" s="1225"/>
      <c r="AG62" s="1225"/>
      <c r="AH62" s="1225"/>
      <c r="AI62" s="1225"/>
      <c r="AJ62" s="1224"/>
      <c r="AK62" s="1224"/>
      <c r="AL62" s="1224"/>
      <c r="AM62" s="1224"/>
      <c r="AN62" s="1225"/>
      <c r="AO62" s="386"/>
      <c r="AP62" s="201"/>
      <c r="AQ62" s="897"/>
      <c r="AR62" s="897"/>
      <c r="AS62" s="897"/>
      <c r="AT62" s="1297"/>
      <c r="AU62" s="1297"/>
      <c r="AV62" s="1297"/>
      <c r="AW62" s="1297"/>
      <c r="AX62" s="1297"/>
      <c r="AY62" s="1297"/>
    </row>
    <row r="63" ht="15.75" customHeight="1">
      <c r="A63" s="1"/>
      <c r="B63" s="193"/>
      <c r="C63" s="346"/>
      <c r="D63" s="1106"/>
      <c r="E63" s="1304"/>
      <c r="F63" s="1216"/>
      <c r="G63" s="1217"/>
      <c r="H63" s="1217"/>
      <c r="I63" s="1217"/>
      <c r="J63" s="1217"/>
      <c r="K63" s="1217"/>
      <c r="L63" s="1217"/>
      <c r="M63" s="1298"/>
      <c r="N63" s="1224"/>
      <c r="O63" s="1224"/>
      <c r="P63" s="1224"/>
      <c r="Q63" s="1224"/>
      <c r="R63" s="1225"/>
      <c r="S63" s="1266"/>
      <c r="T63" s="1224"/>
      <c r="U63" s="1290"/>
      <c r="V63" s="1291"/>
      <c r="W63" s="1291"/>
      <c r="X63" s="1288"/>
      <c r="Y63" s="1224"/>
      <c r="Z63" s="1224"/>
      <c r="AA63" s="1224"/>
      <c r="AB63" s="1224"/>
      <c r="AC63" s="1225"/>
      <c r="AD63" s="1225"/>
      <c r="AE63" s="1225"/>
      <c r="AF63" s="1225"/>
      <c r="AG63" s="1225"/>
      <c r="AH63" s="1059"/>
      <c r="AI63" s="1225"/>
      <c r="AJ63" s="1224"/>
      <c r="AK63" s="1224"/>
      <c r="AL63" s="1224"/>
      <c r="AM63" s="1224"/>
      <c r="AN63" s="1225"/>
      <c r="AO63" s="386"/>
      <c r="AP63" s="201"/>
      <c r="AQ63" s="897"/>
      <c r="AR63" s="897"/>
      <c r="AS63" s="897"/>
      <c r="AT63" s="1297"/>
      <c r="AU63" s="1297"/>
      <c r="AV63" s="1297"/>
      <c r="AW63" s="1297"/>
      <c r="AX63" s="1297"/>
      <c r="AY63" s="1297"/>
    </row>
    <row r="64" ht="15.75" customHeight="1">
      <c r="A64" s="1"/>
      <c r="B64" s="193"/>
      <c r="C64" s="346"/>
      <c r="D64" s="1306"/>
      <c r="E64" s="1304"/>
      <c r="F64" s="1216"/>
      <c r="G64" s="1217"/>
      <c r="H64" s="1217"/>
      <c r="I64" s="1217"/>
      <c r="J64" s="1217"/>
      <c r="K64" s="1217"/>
      <c r="L64" s="1217"/>
      <c r="M64" s="1298"/>
      <c r="N64" s="1224"/>
      <c r="O64" s="1224"/>
      <c r="P64" s="1224"/>
      <c r="Q64" s="1224"/>
      <c r="R64" s="1225"/>
      <c r="S64" s="1266"/>
      <c r="T64" s="1224"/>
      <c r="U64" s="1290"/>
      <c r="V64" s="1291"/>
      <c r="W64" s="1291"/>
      <c r="X64" s="1288"/>
      <c r="Y64" s="1224"/>
      <c r="Z64" s="1224"/>
      <c r="AA64" s="1224"/>
      <c r="AB64" s="1224"/>
      <c r="AC64" s="1225"/>
      <c r="AD64" s="1225"/>
      <c r="AE64" s="1225"/>
      <c r="AF64" s="1225"/>
      <c r="AG64" s="1225"/>
      <c r="AH64" s="1059"/>
      <c r="AI64" s="1225"/>
      <c r="AJ64" s="1224"/>
      <c r="AK64" s="1224"/>
      <c r="AL64" s="1224"/>
      <c r="AM64" s="1224"/>
      <c r="AN64" s="1225"/>
      <c r="AO64" s="386"/>
      <c r="AP64" s="201"/>
      <c r="AQ64" s="897"/>
      <c r="AR64" s="897"/>
      <c r="AS64" s="897"/>
      <c r="AT64" s="1297"/>
      <c r="AU64" s="1297"/>
      <c r="AV64" s="1297"/>
      <c r="AW64" s="1297"/>
      <c r="AX64" s="1297"/>
      <c r="AY64" s="1297"/>
    </row>
    <row r="65" ht="15.75" customHeight="1">
      <c r="A65" s="1"/>
      <c r="B65" s="193"/>
      <c r="C65" s="346"/>
      <c r="D65" s="1307"/>
      <c r="E65" s="1304"/>
      <c r="F65" s="1216"/>
      <c r="G65" s="1217"/>
      <c r="H65" s="1217"/>
      <c r="I65" s="1217"/>
      <c r="J65" s="1217"/>
      <c r="K65" s="1217"/>
      <c r="L65" s="1217"/>
      <c r="M65" s="1298"/>
      <c r="N65" s="1224"/>
      <c r="O65" s="1224"/>
      <c r="P65" s="1224"/>
      <c r="Q65" s="1224"/>
      <c r="R65" s="1225"/>
      <c r="S65" s="1266"/>
      <c r="T65" s="1224"/>
      <c r="U65" s="1251"/>
      <c r="V65" s="1291"/>
      <c r="W65" s="1291"/>
      <c r="X65" s="1288"/>
      <c r="Y65" s="1224"/>
      <c r="Z65" s="1224"/>
      <c r="AA65" s="1224"/>
      <c r="AB65" s="1224"/>
      <c r="AC65" s="1225"/>
      <c r="AD65" s="1225"/>
      <c r="AE65" s="1225"/>
      <c r="AF65" s="1225"/>
      <c r="AG65" s="1225"/>
      <c r="AH65" s="1059"/>
      <c r="AI65" s="1225"/>
      <c r="AJ65" s="1224"/>
      <c r="AK65" s="1224"/>
      <c r="AL65" s="1224"/>
      <c r="AM65" s="1224"/>
      <c r="AN65" s="1225"/>
      <c r="AO65" s="386"/>
      <c r="AP65" s="201"/>
      <c r="AQ65" s="897"/>
      <c r="AR65" s="897"/>
      <c r="AS65" s="897"/>
      <c r="AT65" s="1297"/>
      <c r="AU65" s="1297"/>
      <c r="AV65" s="1297"/>
      <c r="AW65" s="1297"/>
      <c r="AX65" s="1297"/>
      <c r="AY65" s="1297"/>
    </row>
    <row r="66" ht="15.75" customHeight="1">
      <c r="A66" s="505"/>
      <c r="B66" s="1308" t="s">
        <v>346</v>
      </c>
      <c r="C66" s="395"/>
      <c r="D66" s="1309"/>
      <c r="E66" s="1310">
        <f>SUM(E32:E65)</f>
        <v>58</v>
      </c>
      <c r="F66" s="1311"/>
      <c r="G66" s="1311"/>
      <c r="H66" s="1311"/>
      <c r="I66" s="1311"/>
      <c r="J66" s="1311"/>
      <c r="K66" s="1311"/>
      <c r="L66" s="1311"/>
      <c r="M66" s="1312"/>
      <c r="N66" s="946"/>
      <c r="O66" s="946"/>
      <c r="P66" s="946"/>
      <c r="Q66" s="946"/>
      <c r="R66" s="946"/>
      <c r="S66" s="1313"/>
      <c r="T66" s="946"/>
      <c r="U66" s="1314"/>
      <c r="V66" s="947"/>
      <c r="W66" s="947"/>
      <c r="X66" s="1315"/>
      <c r="Y66" s="947"/>
      <c r="Z66" s="947"/>
      <c r="AA66" s="947"/>
      <c r="AB66" s="947"/>
      <c r="AC66" s="947"/>
      <c r="AD66" s="947"/>
      <c r="AE66" s="947"/>
      <c r="AF66" s="1316"/>
      <c r="AG66" s="947"/>
      <c r="AH66" s="947"/>
      <c r="AI66" s="947"/>
      <c r="AJ66" s="947"/>
      <c r="AK66" s="947"/>
      <c r="AL66" s="947"/>
      <c r="AM66" s="947"/>
      <c r="AN66" s="947"/>
      <c r="AO66" s="509"/>
      <c r="AP66" s="509"/>
      <c r="AQ66" s="509"/>
      <c r="AR66" s="509"/>
      <c r="AS66" s="509"/>
      <c r="AT66" s="509"/>
      <c r="AU66" s="509"/>
      <c r="AV66" s="509"/>
      <c r="AW66" s="509"/>
      <c r="AX66" s="509"/>
      <c r="AY66" s="328"/>
    </row>
    <row r="67" ht="15.75" customHeight="1">
      <c r="A67" s="1261"/>
      <c r="B67" s="1317"/>
      <c r="C67" s="1317"/>
      <c r="D67" s="1318"/>
      <c r="E67" s="1319"/>
      <c r="F67" s="1320"/>
      <c r="G67" s="1320"/>
      <c r="H67" s="1320"/>
      <c r="I67" s="1320"/>
      <c r="J67" s="1320"/>
      <c r="K67" s="1320"/>
      <c r="L67" s="1320"/>
      <c r="M67" s="895"/>
      <c r="N67" s="1321"/>
      <c r="O67" s="1321"/>
      <c r="P67" s="1321"/>
      <c r="Q67" s="1321"/>
      <c r="R67" s="1321"/>
      <c r="S67" s="1322"/>
      <c r="T67" s="1321"/>
      <c r="U67" s="1323"/>
      <c r="V67" s="1320"/>
      <c r="W67" s="1320"/>
      <c r="X67" s="1324"/>
      <c r="Y67" s="1320"/>
      <c r="Z67" s="1320"/>
      <c r="AA67" s="1320"/>
      <c r="AB67" s="1320"/>
      <c r="AC67" s="1320"/>
      <c r="AD67" s="1320"/>
      <c r="AE67" s="1320"/>
      <c r="AF67" s="1325"/>
      <c r="AG67" s="1320"/>
      <c r="AH67" s="1320"/>
      <c r="AI67" s="1320"/>
      <c r="AJ67" s="1320"/>
      <c r="AK67" s="1320"/>
      <c r="AL67" s="1320"/>
      <c r="AM67" s="1320"/>
      <c r="AN67" s="1320"/>
      <c r="AO67" s="328"/>
      <c r="AP67" s="328"/>
      <c r="AQ67" s="328"/>
      <c r="AR67" s="328"/>
      <c r="AS67" s="328"/>
      <c r="AT67" s="328"/>
      <c r="AU67" s="328"/>
      <c r="AV67" s="328"/>
      <c r="AW67" s="328"/>
      <c r="AX67" s="328"/>
      <c r="AY67" s="328"/>
    </row>
    <row r="68" ht="15.75" customHeight="1">
      <c r="A68" s="1261"/>
      <c r="B68" s="1317"/>
      <c r="C68" s="1317"/>
      <c r="D68" s="1318"/>
      <c r="E68" s="1319"/>
      <c r="F68" s="1320"/>
      <c r="G68" s="1320"/>
      <c r="H68" s="1320"/>
      <c r="I68" s="1320"/>
      <c r="J68" s="1320"/>
      <c r="K68" s="1320"/>
      <c r="L68" s="1320"/>
      <c r="M68" s="895"/>
      <c r="N68" s="1321"/>
      <c r="O68" s="1321"/>
      <c r="P68" s="1321"/>
      <c r="Q68" s="1321"/>
      <c r="R68" s="1321"/>
      <c r="S68" s="1322"/>
      <c r="T68" s="1321"/>
      <c r="U68" s="1323"/>
      <c r="V68" s="1320"/>
      <c r="W68" s="1320"/>
      <c r="X68" s="1324"/>
      <c r="Y68" s="1320"/>
      <c r="Z68" s="1320"/>
      <c r="AA68" s="1320"/>
      <c r="AB68" s="1320"/>
      <c r="AC68" s="1320"/>
      <c r="AD68" s="1320"/>
      <c r="AE68" s="1320"/>
      <c r="AF68" s="1325"/>
      <c r="AG68" s="1320"/>
      <c r="AH68" s="1320"/>
      <c r="AI68" s="1320"/>
      <c r="AJ68" s="1320"/>
      <c r="AK68" s="1320"/>
      <c r="AL68" s="1320"/>
      <c r="AM68" s="1320"/>
      <c r="AN68" s="1320"/>
      <c r="AO68" s="328"/>
      <c r="AP68" s="328"/>
      <c r="AQ68" s="328"/>
      <c r="AR68" s="328"/>
      <c r="AS68" s="328"/>
      <c r="AT68" s="328"/>
      <c r="AU68" s="328"/>
      <c r="AV68" s="328"/>
      <c r="AW68" s="328"/>
      <c r="AX68" s="328"/>
      <c r="AY68" s="328"/>
    </row>
    <row r="69" ht="15.75" customHeight="1">
      <c r="A69" s="1261"/>
      <c r="B69" s="1317"/>
      <c r="C69" s="1317"/>
      <c r="D69" s="1318"/>
      <c r="E69" s="1319"/>
      <c r="F69" s="1320"/>
      <c r="G69" s="1320"/>
      <c r="H69" s="1320"/>
      <c r="I69" s="1320"/>
      <c r="J69" s="1320"/>
      <c r="K69" s="1320"/>
      <c r="L69" s="1320"/>
      <c r="M69" s="895"/>
      <c r="N69" s="1321"/>
      <c r="O69" s="1321"/>
      <c r="P69" s="1321"/>
      <c r="Q69" s="1321"/>
      <c r="R69" s="1321"/>
      <c r="S69" s="1322"/>
      <c r="T69" s="1321"/>
      <c r="U69" s="1323"/>
      <c r="V69" s="1320"/>
      <c r="W69" s="1320"/>
      <c r="X69" s="1324"/>
      <c r="Y69" s="1320"/>
      <c r="Z69" s="1320"/>
      <c r="AA69" s="1320"/>
      <c r="AB69" s="1320"/>
      <c r="AC69" s="1320"/>
      <c r="AD69" s="1320"/>
      <c r="AE69" s="1320"/>
      <c r="AF69" s="1325"/>
      <c r="AG69" s="1320"/>
      <c r="AH69" s="1320"/>
      <c r="AI69" s="1320"/>
      <c r="AJ69" s="1320"/>
      <c r="AK69" s="1320"/>
      <c r="AL69" s="1320"/>
      <c r="AM69" s="1320"/>
      <c r="AN69" s="1320"/>
      <c r="AO69" s="328"/>
      <c r="AP69" s="328"/>
      <c r="AQ69" s="328"/>
      <c r="AR69" s="328"/>
      <c r="AS69" s="328"/>
      <c r="AT69" s="328"/>
      <c r="AU69" s="328"/>
      <c r="AV69" s="328"/>
      <c r="AW69" s="328"/>
      <c r="AX69" s="328"/>
      <c r="AY69" s="328"/>
    </row>
    <row r="70" ht="15.75" customHeight="1">
      <c r="A70" s="1261"/>
      <c r="B70" s="1317"/>
      <c r="C70" s="1317"/>
      <c r="D70" s="1318"/>
      <c r="E70" s="1319"/>
      <c r="F70" s="1320"/>
      <c r="G70" s="1320"/>
      <c r="H70" s="1320"/>
      <c r="I70" s="1320"/>
      <c r="J70" s="1320"/>
      <c r="K70" s="1320"/>
      <c r="L70" s="1320"/>
      <c r="M70" s="895"/>
      <c r="N70" s="1321"/>
      <c r="O70" s="1321"/>
      <c r="P70" s="1321"/>
      <c r="Q70" s="1321"/>
      <c r="R70" s="1321"/>
      <c r="S70" s="1322"/>
      <c r="T70" s="1321"/>
      <c r="U70" s="1323"/>
      <c r="V70" s="1320"/>
      <c r="W70" s="1320"/>
      <c r="X70" s="1324"/>
      <c r="Y70" s="1320"/>
      <c r="Z70" s="1320"/>
      <c r="AA70" s="1320"/>
      <c r="AB70" s="1320"/>
      <c r="AC70" s="1320"/>
      <c r="AD70" s="1320"/>
      <c r="AE70" s="1320"/>
      <c r="AF70" s="1325"/>
      <c r="AG70" s="1320"/>
      <c r="AH70" s="1320"/>
      <c r="AI70" s="1320"/>
      <c r="AJ70" s="1320"/>
      <c r="AK70" s="1320"/>
      <c r="AL70" s="1320"/>
      <c r="AM70" s="1320"/>
      <c r="AN70" s="1320"/>
      <c r="AO70" s="328"/>
      <c r="AP70" s="328"/>
      <c r="AQ70" s="328"/>
      <c r="AR70" s="328"/>
      <c r="AS70" s="328"/>
      <c r="AT70" s="328"/>
      <c r="AU70" s="328"/>
      <c r="AV70" s="328"/>
      <c r="AW70" s="328"/>
      <c r="AX70" s="328"/>
      <c r="AY70" s="328"/>
    </row>
    <row r="71" ht="15.75" customHeight="1">
      <c r="A71" s="1261"/>
      <c r="B71" s="1317"/>
      <c r="C71" s="1317"/>
      <c r="D71" s="1318"/>
      <c r="E71" s="1319"/>
      <c r="F71" s="1320"/>
      <c r="G71" s="1320"/>
      <c r="H71" s="1320"/>
      <c r="I71" s="1320"/>
      <c r="J71" s="1320"/>
      <c r="K71" s="1320"/>
      <c r="L71" s="1320"/>
      <c r="M71" s="895"/>
      <c r="N71" s="1321"/>
      <c r="O71" s="1321"/>
      <c r="P71" s="1321"/>
      <c r="Q71" s="1321"/>
      <c r="R71" s="1321"/>
      <c r="S71" s="1322"/>
      <c r="T71" s="1321"/>
      <c r="U71" s="1323"/>
      <c r="V71" s="1320"/>
      <c r="W71" s="1320"/>
      <c r="X71" s="1324"/>
      <c r="Y71" s="1320"/>
      <c r="Z71" s="1320"/>
      <c r="AA71" s="1320"/>
      <c r="AB71" s="1320"/>
      <c r="AC71" s="1320"/>
      <c r="AD71" s="1320"/>
      <c r="AE71" s="1320"/>
      <c r="AF71" s="1325"/>
      <c r="AG71" s="1320"/>
      <c r="AH71" s="1320"/>
      <c r="AI71" s="1320"/>
      <c r="AJ71" s="1320"/>
      <c r="AK71" s="1320"/>
      <c r="AL71" s="1320"/>
      <c r="AM71" s="1320"/>
      <c r="AN71" s="1320"/>
      <c r="AO71" s="328"/>
      <c r="AP71" s="328"/>
      <c r="AQ71" s="328"/>
      <c r="AR71" s="328"/>
      <c r="AS71" s="328"/>
      <c r="AT71" s="328"/>
      <c r="AU71" s="328"/>
      <c r="AV71" s="328"/>
      <c r="AW71" s="328"/>
      <c r="AX71" s="328"/>
      <c r="AY71" s="328"/>
    </row>
    <row r="72" ht="15.75" customHeight="1">
      <c r="A72" s="1261"/>
      <c r="B72" s="1317"/>
      <c r="C72" s="1317"/>
      <c r="D72" s="1318"/>
      <c r="E72" s="1319"/>
      <c r="F72" s="1320"/>
      <c r="G72" s="1320"/>
      <c r="H72" s="1320"/>
      <c r="I72" s="1320"/>
      <c r="J72" s="1320"/>
      <c r="K72" s="1320"/>
      <c r="L72" s="1320"/>
      <c r="M72" s="895"/>
      <c r="N72" s="1321"/>
      <c r="O72" s="1321"/>
      <c r="P72" s="1321"/>
      <c r="Q72" s="1321"/>
      <c r="R72" s="1321"/>
      <c r="S72" s="1322"/>
      <c r="T72" s="1321"/>
      <c r="U72" s="1323"/>
      <c r="V72" s="1320"/>
      <c r="W72" s="1320"/>
      <c r="X72" s="1324"/>
      <c r="Y72" s="1320"/>
      <c r="Z72" s="1320"/>
      <c r="AA72" s="1320"/>
      <c r="AB72" s="1320"/>
      <c r="AC72" s="1320"/>
      <c r="AD72" s="1320"/>
      <c r="AE72" s="1320"/>
      <c r="AF72" s="1325"/>
      <c r="AG72" s="1320"/>
      <c r="AH72" s="1320"/>
      <c r="AI72" s="1320"/>
      <c r="AJ72" s="1320"/>
      <c r="AK72" s="1320"/>
      <c r="AL72" s="1320"/>
      <c r="AM72" s="1320"/>
      <c r="AN72" s="1320"/>
      <c r="AO72" s="328"/>
      <c r="AP72" s="328"/>
      <c r="AQ72" s="328"/>
      <c r="AR72" s="328"/>
      <c r="AS72" s="328"/>
      <c r="AT72" s="328"/>
      <c r="AU72" s="328"/>
      <c r="AV72" s="328"/>
      <c r="AW72" s="328"/>
      <c r="AX72" s="328"/>
      <c r="AY72" s="328"/>
    </row>
  </sheetData>
  <mergeCells count="80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61:C61"/>
    <mergeCell ref="AD51:AE51"/>
    <mergeCell ref="AD52:AE52"/>
    <mergeCell ref="AD42:AG44"/>
    <mergeCell ref="AD45:AE45"/>
    <mergeCell ref="AD46:AE46"/>
    <mergeCell ref="AD47:AE47"/>
    <mergeCell ref="AD48:AE48"/>
    <mergeCell ref="AD49:AE49"/>
    <mergeCell ref="AD50:AE50"/>
    <mergeCell ref="B1:AC1"/>
    <mergeCell ref="B2:Q2"/>
    <mergeCell ref="S2:AB2"/>
    <mergeCell ref="AD2:AM2"/>
    <mergeCell ref="AO2:AX2"/>
    <mergeCell ref="F29:AH29"/>
    <mergeCell ref="AO30:AX31"/>
    <mergeCell ref="F30:AH30"/>
    <mergeCell ref="B31:E31"/>
    <mergeCell ref="S31:T31"/>
    <mergeCell ref="AD31:AE31"/>
    <mergeCell ref="B32:C32"/>
    <mergeCell ref="AD32:AE32"/>
    <mergeCell ref="AD33:AE33"/>
    <mergeCell ref="S32:T32"/>
    <mergeCell ref="S33:T33"/>
    <mergeCell ref="S34:T34"/>
    <mergeCell ref="S35:T35"/>
    <mergeCell ref="S36:T36"/>
    <mergeCell ref="S37:T37"/>
    <mergeCell ref="S38:T38"/>
    <mergeCell ref="B33:C33"/>
    <mergeCell ref="B34:C34"/>
    <mergeCell ref="B35:C35"/>
    <mergeCell ref="B36:C36"/>
    <mergeCell ref="B37:C37"/>
    <mergeCell ref="B38:C38"/>
    <mergeCell ref="B39:C39"/>
    <mergeCell ref="B52:C52"/>
    <mergeCell ref="AD34:AE34"/>
    <mergeCell ref="AD35:AE35"/>
    <mergeCell ref="AD36:AE36"/>
    <mergeCell ref="AD37:AE37"/>
    <mergeCell ref="AD38:AE38"/>
    <mergeCell ref="AH42:AH43"/>
    <mergeCell ref="AI42:AI43"/>
    <mergeCell ref="S51:U52"/>
    <mergeCell ref="V51:V52"/>
    <mergeCell ref="S39:T39"/>
    <mergeCell ref="S40:T40"/>
    <mergeCell ref="S41:T41"/>
    <mergeCell ref="S42:T42"/>
    <mergeCell ref="S43:T43"/>
    <mergeCell ref="S44:T44"/>
    <mergeCell ref="S45:T45"/>
  </mergeCells>
  <conditionalFormatting sqref="N32 O32:O34 P32:R32 Y32:AC32 N34 P34:R34 T46:T50 T53">
    <cfRule type="notContainsBlanks" dxfId="0" priority="1">
      <formula>LEN(TRIM(N32))&gt;0</formula>
    </cfRule>
  </conditionalFormatting>
  <hyperlinks>
    <hyperlink r:id="rId1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2"/>
</worksheet>
</file>