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mise à quai Alfortville" sheetId="1" r:id="rId5"/>
    <sheet state="visible" name="POINT NPS F166" sheetId="2" r:id="rId6"/>
    <sheet state="visible" name=" Jours Fériés Dimanche" sheetId="3" r:id="rId7"/>
    <sheet state="visible" name="Copie de Jour de repos Prestata" sheetId="4" r:id="rId8"/>
    <sheet state="visible" name="Feuille 1343" sheetId="5" r:id="rId9"/>
    <sheet state="visible" name="Tableau suspension" sheetId="6" r:id="rId10"/>
    <sheet state="hidden" name="Jour de repos Prestataires" sheetId="7" r:id="rId11"/>
    <sheet state="hidden" name="Formule NPS" sheetId="8" r:id="rId12"/>
    <sheet state="hidden" name="Classement GV" sheetId="9" r:id="rId13"/>
    <sheet state="hidden" name="Copie de Classement GV" sheetId="10" r:id="rId14"/>
    <sheet state="hidden" name="Classement Mono" sheetId="11" r:id="rId15"/>
    <sheet state="hidden" name="Classement Instal" sheetId="12" r:id="rId16"/>
    <sheet state="hidden" name="Calcul_mensuel" sheetId="13" r:id="rId17"/>
    <sheet state="hidden" name="Classement standard" sheetId="14" r:id="rId18"/>
    <sheet state="visible" name="test" sheetId="15" r:id="rId19"/>
  </sheets>
  <definedNames>
    <definedName localSheetId="14" name="PlageNommée1">test!$30:$66</definedName>
    <definedName name="PlageNommée1">#REF!</definedName>
    <definedName localSheetId="0" name="PlageNommée1">'Plan de mise à quai Alfortville'!$30:$69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tc={0cb13f72-7c49-48bd-8194-8989e0df1fbe}</author>
    <author>tc={191f9b27-e8ea-4a52-8393-24664bd7eba1}</author>
    <author>tc={1ac921db-3bc7-40c1-95dc-b6d6bb19e5be}</author>
    <author>tc={1c734e2f-d877-4350-90b9-c35bbdaa8f6e}</author>
    <author>tc={1d77e77c-1e98-46b3-aa13-d54c4a8a486c}</author>
    <author>tc={27cbb8d3-abd6-484d-b127-a03184c4a046}</author>
    <author>tc={2943c5bf-e8ba-4713-8ba4-bc6dccc205b2}</author>
    <author>tc={2e13ae34-960d-46d5-ae68-bda835f3efde}</author>
    <author>tc={378f91e1-ab2f-47ac-b699-cd4ffcced293}</author>
    <author>tc={45b903a0-05ca-4916-8703-c816474fd0ef}</author>
    <author>tc={4c2d4219-3511-4ee9-890f-55fe1f5bbedb}</author>
    <author>tc={4d8d4b21-7170-4ea2-b59e-4ad7adacc282}</author>
    <author>tc={57e640f5-7930-4c83-b587-6e180e8ba18e}</author>
    <author>tc={58df6d4c-1a94-4f5e-8cce-89a945049a20}</author>
    <author>tc={5ec01f17-1304-483e-82a5-64e3ace998b1}</author>
    <author>tc={5fd8fb0f-b78f-4d6a-be45-11cff6701db8}</author>
    <author>tc={6472b00a-6a5d-485d-8516-6b84747cfc49}</author>
    <author>tc={652ac2f7-cc61-4378-88be-d0463a7fdeb5}</author>
    <author>tc={69d0b1b2-0262-46c9-ab71-9ec93fc2ee71}</author>
    <author>tc={6a78b8cb-7995-49ba-85c3-0c3a66963831}</author>
    <author>tc={6bf3f9f7-6a92-4661-9351-9afd4b58cf64}</author>
    <author>tc={7f637f32-75d8-41a1-b138-096397c49d95}</author>
    <author>tc={80bb0af2-5b86-426e-8b0c-ba8a8ae0a9b7}</author>
    <author>tc={86c3b3fe-8852-4019-9216-5ac7abb3d941}</author>
    <author>tc={880a0aa4-9337-49eb-b5c8-a4a2ae093ad0}</author>
    <author>tc={8ffceac9-52d5-40c5-a2fd-cb354afdd153}</author>
    <author>tc={9ba9eeb8-9705-4d9c-be78-53c5c3fee5d3}</author>
    <author>tc={a36d4bb1-6d8b-49cb-b2db-1bb1edecb384}</author>
    <author>tc={a94f85fb-47eb-4964-bd7b-04c870bc4cc7}</author>
    <author>tc={c502e8a8-2652-44f7-90ee-f55724e87fda}</author>
    <author>tc={ce69a62e-79fe-4309-8b45-62d7264b49da}</author>
    <author>tc={d0ea33ab-c0a3-40e6-8caa-40b416f22228}</author>
    <author>tc={d195fc9e-70fe-49c8-a759-53fdaa23a20a}</author>
    <author>tc={da951400-e8f6-4e49-805a-c43bfa956414}</author>
    <author>tc={ec49948a-0ec1-42da-bd37-fc4ba133a4de}</author>
    <author>tc={ee83ca4b-5ae1-44e5-b7fd-5f1d93590639}</author>
    <author>tc={f1216831-e30b-4368-b9d7-2b65bfc1bf41}</author>
    <author>tc={f62f7fe1-2198-4caa-92d2-6d81ed97ec54}</author>
    <author>tc={f653ccac-4e6b-439c-9ad0-1a129f68cbce}</author>
    <author>tc={f96206d1-1f22-4a79-bad3-38b0b97481bc}</author>
  </authors>
  <commentList>
    <comment authorId="0" xr:uid="{0cb13f72-7c49-48bd-8194-8989e0df1fbe}" ref="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1" xr:uid="{191f9b27-e8ea-4a52-8393-24664bd7eb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Reply:
	Marquée comme fermée
Reply:
	Rouverte
</t>
      </text>
    </comment>
    <comment authorId="2" xr:uid="{1ac921db-3bc7-40c1-95dc-b6d6bb19e5be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3" xr:uid="{1c734e2f-d877-4350-90b9-c35bbdaa8f6e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de tournée vu Nelson
</t>
      </text>
    </comment>
    <comment authorId="4" xr:uid="{1d77e77c-1e98-46b3-aa13-d54c4a8a48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" xr:uid="{27cbb8d3-abd6-484d-b127-a03184c4a046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
</t>
      </text>
    </comment>
    <comment authorId="6" xr:uid="{2943c5bf-e8ba-4713-8ba4-bc6dccc205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7" xr:uid="{2e13ae34-960d-46d5-ae68-bda835f3ef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possibilité de mettre 1GV en normale si pas besoin de 2
</t>
      </text>
    </comment>
    <comment authorId="8" xr:uid="{378f91e1-ab2f-47ac-b699-cd4ffcced293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carton  le 16/04/26
</t>
      </text>
    </comment>
    <comment authorId="9" xr:uid="{45b903a0-05ca-4916-8703-c816474fd0ef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10" xr:uid="{4c2d4219-3511-4ee9-890f-55fe1f5bbedb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manquante erreur F166
</t>
      </text>
    </comment>
    <comment authorId="11" xr:uid="{4d8d4b21-7170-4ea2-b59e-4ad7adacc282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12" xr:uid="{57e640f5-7930-4c83-b587-6e180e8ba1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Ff774rx
</t>
      </text>
    </comment>
    <comment authorId="13" xr:uid="{58df6d4c-1a94-4f5e-8cce-89a945049a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Départ 08h35 suite erreur de chargement autre tournée ref SMEG
</t>
      </text>
    </comment>
    <comment authorId="14" xr:uid="{5ec01f17-1304-483e-82a5-64e3ace998b1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
</t>
      </text>
    </comment>
    <comment authorId="15" xr:uid="{5fd8fb0f-b78f-4d6a-be45-11cff6701db8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
</t>
      </text>
    </comment>
    <comment authorId="16" xr:uid="{6472b00a-6a5d-485d-8516-6b84747cfc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Amar s'est planté - pensais 11h30 - arrivée équipe 10:30
Reply:
	Marquée comme fermée
Reply:
	Rouverte
</t>
      </text>
    </comment>
    <comment authorId="17" xr:uid="{652ac2f7-cc61-4378-88be-d0463a7fde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camion sur les 4 jours car RH le mercredi
</t>
      </text>
    </comment>
    <comment authorId="18" xr:uid="{69d0b1b2-0262-46c9-ab71-9ec93fc2ee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Reply:
	Marquée comme fermée
Reply:
	Rouverte
</t>
      </text>
    </comment>
    <comment authorId="19" xr:uid="{6a78b8cb-7995-49ba-85c3-0c3a669638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9h00
</t>
      </text>
    </comment>
    <comment authorId="20" xr:uid="{6bf3f9f7-6a92-4661-9351-9afd4b58cf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1" xr:uid="{7f637f32-75d8-41a1-b138-096397c49d95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Suspendu jusqu'au Lundi 27/10 vol trottinette
</t>
      </text>
    </comment>
    <comment authorId="22" xr:uid="{80bb0af2-5b86-426e-8b0c-ba8a8ae0a9b7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seul camion vu Nelson
</t>
      </text>
    </comment>
    <comment authorId="23" xr:uid="{86c3b3fe-8852-4019-9216-5ac7abb3d9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. In good en.......d cf fed ex cffrff de tr fwd tr fwd 'tn' de soucis je
</t>
      </text>
    </comment>
    <comment authorId="24" xr:uid="{880a0aa4-9337-49eb-b5c8-a4a2ae093ad0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25" xr:uid="{8ffceac9-52d5-40c5-a2fd-cb354afdd1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TDS devient B9 Transport à partir du 01 mars 2024
</t>
      </text>
    </comment>
    <comment authorId="26" xr:uid="{9ba9eeb8-9705-4d9c-be78-53c5c3fee5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27" xr:uid="{a36d4bb1-6d8b-49cb-b2db-1bb1edecb384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retard
</t>
      </text>
    </comment>
    <comment authorId="28" xr:uid="{a94f85fb-47eb-4964-bd7b-04c870bc4c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29" xr:uid="{c502e8a8-2652-44f7-90ee-f55724e87f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ABDEL
</t>
      </text>
    </comment>
    <comment authorId="30" xr:uid="{ce69a62e-79fe-4309-8b45-62d7264b49da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31" xr:uid="{d0ea33ab-c0a3-40e6-8caa-40b416f22228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 car problème pas de sms
</t>
      </text>
    </comment>
    <comment authorId="32" xr:uid="{d195fc9e-70fe-49c8-a759-53fdaa23a2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33" xr:uid="{da951400-e8f6-4e49-805a-c43bfa9564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tournée pour non respect des règles au retour le 10/02/2025
</t>
      </text>
    </comment>
    <comment authorId="34" xr:uid="{ec49948a-0ec1-42da-bd37-fc4ba133a4de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35" xr:uid="{ee83ca4b-5ae1-44e5-b7fd-5f1d93590639}" ref="V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casquette
</t>
      </text>
    </comment>
    <comment authorId="36" xr:uid="{f1216831-e30b-4368-b9d7-2b65bfc1bf41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37" xr:uid="{f62f7fe1-2198-4caa-92d2-6d81ed97ec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retard validé par Charles cause F159 2015418
Reply:
	Marquée comme fermée
Reply:
	Rouverte
Reply:
	Marquée comme fermée
Reply:
	Rouverte
</t>
      </text>
    </comment>
    <comment authorId="38" xr:uid="{f653ccac-4e6b-439c-9ad0-1a129f68cbce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39" xr:uid="{f96206d1-1f22-4a79-bad3-38b0b97481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Tenue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9">
      <text>
        <t xml:space="preserve">Aurélie    06.59.64.50.82 
Hind        06.61.28.54.90 
Jordy       07 64 25 04 97 
Karim       07.64.26.44.78
Nelson    06.99.38.69.39 </t>
      </text>
    </comment>
    <comment authorId="0" ref="M29">
      <text>
        <t xml:space="preserve">Aurélie    06.59.64.50.82 
Hind        06.61.28.54.90 
Jordy       07 64 25 04 97 
Karim       07.64.26.44.78
Nelson    06.99.38.69.39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tc={09b920a0-245a-4f48-977d-033f3415a4b0}</author>
    <author>tc={67add2f8-42ee-4f56-b9d6-60d03112434d}</author>
    <author>tc={76e8a6ba-1dac-4e7e-9296-453595a226fa}</author>
    <author>tc={7db5dbd6-5fe6-4c81-a188-702b087ec200}</author>
    <author>tc={8672ac3a-a313-49a8-8146-613a979c821b}</author>
    <author>tc={8c112247-1a09-448f-981e-2b2b67e2c3ae}</author>
    <author>tc={8f6d786b-e5b5-4e25-954c-3e131d213d24}</author>
    <author>tc={953b03ce-8d2f-4c36-bc8a-e5cc1f32c972}</author>
    <author>tc={a0e315c5-32b1-44fb-b7ba-2393ed93ad36}</author>
    <author>tc={a68c73a4-9860-4249-8bad-cd96402907dd}</author>
    <author>tc={a8602f56-74e2-41ec-9298-ddbb5a01c890}</author>
    <author>tc={c3f7ff3d-5cc9-433f-905d-900d301cd67a}</author>
    <author>tc={c6a342a5-7e34-4f82-8487-78dec0794bcb}</author>
    <author>tc={cf186a9f-2e77-4be7-ada8-050db70e4f62}</author>
    <author>tc={dcacd658-4cf1-4a1c-894f-142195474ae9}</author>
    <author>tc={e2cd5f0e-a7ff-4e64-a568-1e4f0d08a489}</author>
    <author>tc={ff4d5100-1c49-41c0-ac33-32739ab7c846}</author>
  </authors>
  <commentList>
    <comment authorId="0" xr:uid="{09b920a0-245a-4f48-977d-033f3415a4b0}" ref="G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843 / MNS -&gt; dépôts sauvage DEEE
1 tournée de moins le Jeudi 06/03/2025
</t>
      </text>
    </comment>
    <comment authorId="1" xr:uid="{67add2f8-42ee-4f56-b9d6-60d03112434d}" ref="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AGS Tournée du 14/01/2025 -&gt; Une équipe ne tournera pas le VENDREDI 24/01/2025
</t>
      </text>
    </comment>
    <comment authorId="2" xr:uid="{76e8a6ba-1dac-4e7e-9296-453595a226fa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3" xr:uid="{7db5dbd6-5fe6-4c81-a188-702b087ec200}" ref="Y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4" xr:uid="{8672ac3a-a313-49a8-8146-613a979c821b}" ref="W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FC Tournées 835 du 17/01/2025 -&gt; Une équipe ne tournera pas le MERCREDI 22/01/2025
</t>
      </text>
    </comment>
    <comment authorId="5" xr:uid="{8c112247-1a09-448f-981e-2b2b67e2c3ae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tournée // suspension non port des chaussures DREAMTEAM
</t>
      </text>
    </comment>
    <comment authorId="6" xr:uid="{8f6d786b-e5b5-4e25-954c-3e131d213d24}" ref="G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502 / CLS -&gt; pas de chaussures ni au départ de tournée, ni au retour de tournée et pas de gants au retour.
1 tournée de moins le Jeudi 06/03/2025
</t>
      </text>
    </comment>
    <comment authorId="7" xr:uid="{953b03ce-8d2f-4c36-bc8a-e5cc1f32c972}" ref="X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HK Tournée 827 du 17/01/2025 -&gt; Une équipe ne tournera pas le JEUDI 23/01/2025
</t>
      </text>
    </comment>
    <comment authorId="8" xr:uid="{a0e315c5-32b1-44fb-b7ba-2393ed93ad36}" ref="A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camion suite tournées non rendues 201 du 25/01 et 205 du 27/01
</t>
      </text>
    </comment>
    <comment authorId="9" xr:uid="{a68c73a4-9860-4249-8bad-cd96402907dd}" ref="A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suspension tournée 840 du 26/04/2025 Omar
</t>
      </text>
    </comment>
    <comment authorId="10" xr:uid="{a8602f56-74e2-41ec-9298-ddbb5a01c890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tournée mono
</t>
      </text>
    </comment>
    <comment authorId="11" xr:uid="{c3f7ff3d-5cc9-433f-905d-900d301cd67a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Kim SAMY DEEE non jeter dans la benne
</t>
      </text>
    </comment>
    <comment authorId="12" xr:uid="{c6a342a5-7e34-4f82-8487-78dec0794bcb}" ref="M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Une tournée en moins le 12/03/2025 Dépôt sauvage des emballages
</t>
      </text>
    </comment>
    <comment authorId="13" xr:uid="{cf186a9f-2e77-4be7-ada8-050db70e4f62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823 / TRIGGER -&gt; dépôts sauvage DEEE
1 tournée de moins le Jeudi 06/03/2025
</t>
      </text>
    </comment>
    <comment authorId="14" xr:uid="{dcacd658-4cf1-4a1c-894f-142195474ae9}" ref="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DOUBS (2 équipes) Tournées 806 et 807 du 17/01/2025 -&gt; Pas de tournée le Mercredi 22/01/2025
</t>
      </text>
    </comment>
    <comment authorId="15" xr:uid="{e2cd5f0e-a7ff-4e64-a568-1e4f0d08a489}" ref="F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818 / ELIT -&gt; dépôts sauvage DEEE
1 tournée de moins le MERCREDI 05/03/2025
</t>
      </text>
    </comment>
    <comment authorId="16" xr:uid="{ff4d5100-1c49-41c0-ac33-32739ab7c846}" ref="F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Express Polytrans du 03/03/2025 -&gt; dépôts sauvage DEEE
1 tournée de moins le MERCREDI 05/03/2025
</t>
      </text>
    </comment>
  </commentList>
</comments>
</file>

<file path=xl/sharedStrings.xml><?xml version="1.0" encoding="utf-8"?>
<sst xmlns="http://schemas.openxmlformats.org/spreadsheetml/2006/main" count="1937" uniqueCount="508">
  <si>
    <t>7H00</t>
  </si>
  <si>
    <t>7H30</t>
  </si>
  <si>
    <t>8H00</t>
  </si>
  <si>
    <t>08h30</t>
  </si>
  <si>
    <t>Quai</t>
  </si>
  <si>
    <t>TRN</t>
  </si>
  <si>
    <t>Société</t>
  </si>
  <si>
    <t>Immat</t>
  </si>
  <si>
    <t>Contact Equipage</t>
  </si>
  <si>
    <t xml:space="preserve">Tél Équipe </t>
  </si>
  <si>
    <t>DEEE</t>
  </si>
  <si>
    <t>ID</t>
  </si>
  <si>
    <t>EPI</t>
  </si>
  <si>
    <t>qté</t>
  </si>
  <si>
    <t>Tél Équipage</t>
  </si>
  <si>
    <t>Tél Equipage</t>
  </si>
  <si>
    <t>1</t>
  </si>
  <si>
    <t>46</t>
  </si>
  <si>
    <t>701</t>
  </si>
  <si>
    <t>BCT-GV</t>
  </si>
  <si>
    <t xml:space="preserve">GF 356 CS </t>
  </si>
  <si>
    <t xml:space="preserve">TAREK </t>
  </si>
  <si>
    <t>0615862837</t>
  </si>
  <si>
    <t>704</t>
  </si>
  <si>
    <t>AGS-GV</t>
  </si>
  <si>
    <t>707</t>
  </si>
  <si>
    <t>609</t>
  </si>
  <si>
    <t>2</t>
  </si>
  <si>
    <t>47</t>
  </si>
  <si>
    <t>702</t>
  </si>
  <si>
    <t>STP-GV</t>
  </si>
  <si>
    <t>EF-021-TG</t>
  </si>
  <si>
    <t>yassine</t>
  </si>
  <si>
    <t>0753764432</t>
  </si>
  <si>
    <t>705</t>
  </si>
  <si>
    <t>708</t>
  </si>
  <si>
    <t>608</t>
  </si>
  <si>
    <t>3</t>
  </si>
  <si>
    <t>48</t>
  </si>
  <si>
    <t>703</t>
  </si>
  <si>
    <t>GHM-GV</t>
  </si>
  <si>
    <t>706</t>
  </si>
  <si>
    <t>709</t>
  </si>
  <si>
    <t>607</t>
  </si>
  <si>
    <t>4</t>
  </si>
  <si>
    <t>49</t>
  </si>
  <si>
    <t>601</t>
  </si>
  <si>
    <t>NAGA-MONO</t>
  </si>
  <si>
    <t>603</t>
  </si>
  <si>
    <t>605</t>
  </si>
  <si>
    <t>854</t>
  </si>
  <si>
    <t>5</t>
  </si>
  <si>
    <t>50</t>
  </si>
  <si>
    <t>602</t>
  </si>
  <si>
    <t>MNS-MONO</t>
  </si>
  <si>
    <t>604</t>
  </si>
  <si>
    <t>606</t>
  </si>
  <si>
    <t>855</t>
  </si>
  <si>
    <t>6</t>
  </si>
  <si>
    <t>51</t>
  </si>
  <si>
    <t>801</t>
  </si>
  <si>
    <t>819</t>
  </si>
  <si>
    <t>837</t>
  </si>
  <si>
    <t>856</t>
  </si>
  <si>
    <t>7</t>
  </si>
  <si>
    <t>52</t>
  </si>
  <si>
    <t>802</t>
  </si>
  <si>
    <t>TMS</t>
  </si>
  <si>
    <t>cv-378-dr</t>
  </si>
  <si>
    <t xml:space="preserve">massi </t>
  </si>
  <si>
    <t>0773276391</t>
  </si>
  <si>
    <t>820</t>
  </si>
  <si>
    <t>SID</t>
  </si>
  <si>
    <t>Ey507GQ</t>
  </si>
  <si>
    <t xml:space="preserve">Mourad </t>
  </si>
  <si>
    <t>0751836680</t>
  </si>
  <si>
    <t>838</t>
  </si>
  <si>
    <t>857</t>
  </si>
  <si>
    <t>8</t>
  </si>
  <si>
    <t>53</t>
  </si>
  <si>
    <t>803</t>
  </si>
  <si>
    <t>ft-270-bl</t>
  </si>
  <si>
    <t xml:space="preserve">achour </t>
  </si>
  <si>
    <t>0744258931</t>
  </si>
  <si>
    <t>821</t>
  </si>
  <si>
    <t>Bd678NG</t>
  </si>
  <si>
    <t xml:space="preserve">Bessem </t>
  </si>
  <si>
    <t>0636108647</t>
  </si>
  <si>
    <t>839</t>
  </si>
  <si>
    <t>858</t>
  </si>
  <si>
    <t>9</t>
  </si>
  <si>
    <t>54</t>
  </si>
  <si>
    <t>804</t>
  </si>
  <si>
    <t>STP</t>
  </si>
  <si>
    <t>BP-130-YL</t>
  </si>
  <si>
    <t>khaled</t>
  </si>
  <si>
    <t>0766890594</t>
  </si>
  <si>
    <t>822</t>
  </si>
  <si>
    <t>PROCOM</t>
  </si>
  <si>
    <t>dt707dj</t>
  </si>
  <si>
    <t>ayemen</t>
  </si>
  <si>
    <t>0656726103</t>
  </si>
  <si>
    <t>840</t>
  </si>
  <si>
    <t>859</t>
  </si>
  <si>
    <t>10</t>
  </si>
  <si>
    <t>55</t>
  </si>
  <si>
    <t>805</t>
  </si>
  <si>
    <t>DG-398-MR</t>
  </si>
  <si>
    <t>adem</t>
  </si>
  <si>
    <t>0744575095</t>
  </si>
  <si>
    <t>823</t>
  </si>
  <si>
    <t>dr211hb</t>
  </si>
  <si>
    <t>farid</t>
  </si>
  <si>
    <t>0666073348</t>
  </si>
  <si>
    <t>841</t>
  </si>
  <si>
    <t>860</t>
  </si>
  <si>
    <t>11</t>
  </si>
  <si>
    <t>56</t>
  </si>
  <si>
    <t>806</t>
  </si>
  <si>
    <t>ABL</t>
  </si>
  <si>
    <t>FG-740-GE</t>
  </si>
  <si>
    <t xml:space="preserve">HOUSSINE </t>
  </si>
  <si>
    <t>0635568236</t>
  </si>
  <si>
    <t>824</t>
  </si>
  <si>
    <t>TRANS75</t>
  </si>
  <si>
    <t>842</t>
  </si>
  <si>
    <t>861</t>
  </si>
  <si>
    <t>12</t>
  </si>
  <si>
    <t>57</t>
  </si>
  <si>
    <t>807</t>
  </si>
  <si>
    <t>FN-100-GE</t>
  </si>
  <si>
    <t xml:space="preserve">OUISSEM </t>
  </si>
  <si>
    <t>0671060977</t>
  </si>
  <si>
    <t>825</t>
  </si>
  <si>
    <t>843</t>
  </si>
  <si>
    <t>862</t>
  </si>
  <si>
    <t>13</t>
  </si>
  <si>
    <t>63</t>
  </si>
  <si>
    <t>808</t>
  </si>
  <si>
    <t>POLYTRANS</t>
  </si>
  <si>
    <t>GD-422-XR</t>
  </si>
  <si>
    <t>TOUFIK</t>
  </si>
  <si>
    <t>0641495333</t>
  </si>
  <si>
    <t>826</t>
  </si>
  <si>
    <t>TRIGGER</t>
  </si>
  <si>
    <t>14</t>
  </si>
  <si>
    <t>64</t>
  </si>
  <si>
    <t>809</t>
  </si>
  <si>
    <t>DJ-031-WJ</t>
  </si>
  <si>
    <t>YAZID</t>
  </si>
  <si>
    <t>0656717047</t>
  </si>
  <si>
    <t>827</t>
  </si>
  <si>
    <t>844</t>
  </si>
  <si>
    <t>15</t>
  </si>
  <si>
    <t>65</t>
  </si>
  <si>
    <t>810</t>
  </si>
  <si>
    <t>LTDGP</t>
  </si>
  <si>
    <t>Em-542-fw</t>
  </si>
  <si>
    <t>Riad</t>
  </si>
  <si>
    <t>0753317028</t>
  </si>
  <si>
    <t>828</t>
  </si>
  <si>
    <t>845</t>
  </si>
  <si>
    <t>863</t>
  </si>
  <si>
    <t>16</t>
  </si>
  <si>
    <t>66</t>
  </si>
  <si>
    <t>811</t>
  </si>
  <si>
    <t>De-777-gg</t>
  </si>
  <si>
    <t xml:space="preserve">Benjamin </t>
  </si>
  <si>
    <t>0751303393</t>
  </si>
  <si>
    <t>829</t>
  </si>
  <si>
    <t>846</t>
  </si>
  <si>
    <t>864</t>
  </si>
  <si>
    <t>17</t>
  </si>
  <si>
    <t>67</t>
  </si>
  <si>
    <t>812</t>
  </si>
  <si>
    <t>YAS</t>
  </si>
  <si>
    <t>DE-827-HY</t>
  </si>
  <si>
    <t>Malik</t>
  </si>
  <si>
    <t>0751235069</t>
  </si>
  <si>
    <t>830</t>
  </si>
  <si>
    <t>847</t>
  </si>
  <si>
    <t>865</t>
  </si>
  <si>
    <t>18</t>
  </si>
  <si>
    <t>813</t>
  </si>
  <si>
    <t>GT-992-HY</t>
  </si>
  <si>
    <t xml:space="preserve">Sofiane </t>
  </si>
  <si>
    <t>0753716722</t>
  </si>
  <si>
    <t>68</t>
  </si>
  <si>
    <t>831</t>
  </si>
  <si>
    <t>848</t>
  </si>
  <si>
    <t>866</t>
  </si>
  <si>
    <t>19</t>
  </si>
  <si>
    <t>69</t>
  </si>
  <si>
    <t>814</t>
  </si>
  <si>
    <t>BSSD</t>
  </si>
  <si>
    <t>Dy 283 bn</t>
  </si>
  <si>
    <t>Nidhal</t>
  </si>
  <si>
    <t>0605534026</t>
  </si>
  <si>
    <t>832</t>
  </si>
  <si>
    <t>849</t>
  </si>
  <si>
    <t>867</t>
  </si>
  <si>
    <t>20</t>
  </si>
  <si>
    <t>70</t>
  </si>
  <si>
    <t>815</t>
  </si>
  <si>
    <t>Cs 625 tw</t>
  </si>
  <si>
    <t>Karim</t>
  </si>
  <si>
    <t>0651011467</t>
  </si>
  <si>
    <t>833</t>
  </si>
  <si>
    <t>850</t>
  </si>
  <si>
    <t>868</t>
  </si>
  <si>
    <t>21</t>
  </si>
  <si>
    <t>71</t>
  </si>
  <si>
    <t>816</t>
  </si>
  <si>
    <t>BCT</t>
  </si>
  <si>
    <t>DN 838 QV</t>
  </si>
  <si>
    <t xml:space="preserve">SALIM </t>
  </si>
  <si>
    <t>0753006323</t>
  </si>
  <si>
    <t>834</t>
  </si>
  <si>
    <t>851</t>
  </si>
  <si>
    <t>869</t>
  </si>
  <si>
    <t>22</t>
  </si>
  <si>
    <t>72</t>
  </si>
  <si>
    <t>817</t>
  </si>
  <si>
    <t>CLS</t>
  </si>
  <si>
    <t>FW-175-TC</t>
  </si>
  <si>
    <t>Ali</t>
  </si>
  <si>
    <t>0612827550</t>
  </si>
  <si>
    <t>835</t>
  </si>
  <si>
    <t>852</t>
  </si>
  <si>
    <t>²</t>
  </si>
  <si>
    <t>870</t>
  </si>
  <si>
    <t>23</t>
  </si>
  <si>
    <t>73</t>
  </si>
  <si>
    <t>818</t>
  </si>
  <si>
    <t>GHM</t>
  </si>
  <si>
    <t>836</t>
  </si>
  <si>
    <t>853</t>
  </si>
  <si>
    <t>871</t>
  </si>
  <si>
    <t>24</t>
  </si>
  <si>
    <t>74</t>
  </si>
  <si>
    <t>501</t>
  </si>
  <si>
    <t>GHM-INSTALL</t>
  </si>
  <si>
    <t>503</t>
  </si>
  <si>
    <t>MNS-INSTALL</t>
  </si>
  <si>
    <t>505</t>
  </si>
  <si>
    <t>872</t>
  </si>
  <si>
    <t>25</t>
  </si>
  <si>
    <t>75</t>
  </si>
  <si>
    <t>502</t>
  </si>
  <si>
    <t>STP-INSTALL</t>
  </si>
  <si>
    <t>FG-483-XA</t>
  </si>
  <si>
    <t>karim</t>
  </si>
  <si>
    <t>0749563351</t>
  </si>
  <si>
    <t>504</t>
  </si>
  <si>
    <t>PROCOM-INSTALL</t>
  </si>
  <si>
    <t>el707ev</t>
  </si>
  <si>
    <t>sami</t>
  </si>
  <si>
    <t>0626408791</t>
  </si>
  <si>
    <t>506</t>
  </si>
  <si>
    <t>873</t>
  </si>
  <si>
    <t xml:space="preserve">             </t>
  </si>
  <si>
    <r>
      <rPr>
        <rFont val="Comic Sans MS"/>
        <b/>
        <color theme="1"/>
        <sz val="24.0"/>
      </rPr>
      <t xml:space="preserve">Mise à quai du 28/05/2026
</t>
    </r>
    <r>
      <rPr>
        <rFont val="Comic Sans MS"/>
        <b/>
        <color rgb="FF0000FF"/>
        <sz val="24.0"/>
      </rPr>
      <t>Mise à jour à 15h00 par HIND</t>
    </r>
    <r>
      <rPr>
        <rFont val="Comic Sans MS"/>
        <b/>
        <color rgb="FFFF0000"/>
        <sz val="24.0"/>
      </rPr>
      <t xml:space="preserve">
 MERCI DE REMPLIR LES NUMEROS AVANT 18h00 
05 MAI 2026 NPS F166</t>
    </r>
    <r>
      <rPr>
        <rFont val="Comic Sans MS"/>
        <b/>
        <color theme="1"/>
        <sz val="24.0"/>
      </rPr>
      <t xml:space="preserve"> ( Mise à jour le 15/05/26.)</t>
    </r>
  </si>
  <si>
    <t>11h20</t>
  </si>
  <si>
    <t>Réservation CAMIONS STANDARD</t>
  </si>
  <si>
    <t>à remplir tous les jours à 14h</t>
  </si>
  <si>
    <t>Capacité régulière</t>
  </si>
  <si>
    <t>SOCIETES</t>
  </si>
  <si>
    <t>DREAMTEAM-GV</t>
  </si>
  <si>
    <t>ELITT-INSTALL</t>
  </si>
  <si>
    <t>711</t>
  </si>
  <si>
    <t>ELITT</t>
  </si>
  <si>
    <t>712</t>
  </si>
  <si>
    <t>PRISMA2.0-GV</t>
  </si>
  <si>
    <t>201</t>
  </si>
  <si>
    <t>NAGA</t>
  </si>
  <si>
    <t>202</t>
  </si>
  <si>
    <t>SERVICE2.0</t>
  </si>
  <si>
    <t>Dr567rt</t>
  </si>
  <si>
    <t xml:space="preserve">Heithem </t>
  </si>
  <si>
    <t>0783858536</t>
  </si>
  <si>
    <t>PROCOM-GV</t>
  </si>
  <si>
    <t>TOTAL</t>
  </si>
  <si>
    <t>203</t>
  </si>
  <si>
    <t>HK</t>
  </si>
  <si>
    <t>TRANS75-GV</t>
  </si>
  <si>
    <t>204</t>
  </si>
  <si>
    <t>AGS</t>
  </si>
  <si>
    <t>EE805EL</t>
  </si>
  <si>
    <t>RAMZI</t>
  </si>
  <si>
    <t>0749123505</t>
  </si>
  <si>
    <t>MNS-GV</t>
  </si>
  <si>
    <t>205</t>
  </si>
  <si>
    <t>MNS</t>
  </si>
  <si>
    <t>AK</t>
  </si>
  <si>
    <t>206</t>
  </si>
  <si>
    <t>RESERVATION MONO EQUIPAGE</t>
  </si>
  <si>
    <t>207</t>
  </si>
  <si>
    <t>208</t>
  </si>
  <si>
    <t>PRISMA2.0</t>
  </si>
  <si>
    <t xml:space="preserve"> </t>
  </si>
  <si>
    <t>209</t>
  </si>
  <si>
    <t>210</t>
  </si>
  <si>
    <t>ANAA</t>
  </si>
  <si>
    <t>211</t>
  </si>
  <si>
    <t>GHM-MONO</t>
  </si>
  <si>
    <t>212</t>
  </si>
  <si>
    <t xml:space="preserve">  </t>
  </si>
  <si>
    <t>STP-MONO</t>
  </si>
  <si>
    <t>213</t>
  </si>
  <si>
    <t>KIM</t>
  </si>
  <si>
    <t>AGS-MONO</t>
  </si>
  <si>
    <t>214</t>
  </si>
  <si>
    <t>TRANSMAY</t>
  </si>
  <si>
    <t>DREAMTEAM-MONO</t>
  </si>
  <si>
    <t>215</t>
  </si>
  <si>
    <t>TOTAL Tournées F166</t>
  </si>
  <si>
    <t>TRANSTAM</t>
  </si>
  <si>
    <t>DREAMTEAM</t>
  </si>
  <si>
    <t>Classement livraison F166</t>
  </si>
  <si>
    <t>05 MAI 2026 NPS F166 ( MAJ le 15/05/26.)</t>
  </si>
  <si>
    <t>Classement tournées classique</t>
  </si>
  <si>
    <t>Classement tournées gros volumes</t>
  </si>
  <si>
    <t>Prestataires</t>
  </si>
  <si>
    <t>Note NPS</t>
  </si>
  <si>
    <t>%détracteurs</t>
  </si>
  <si>
    <t>%Neutres</t>
  </si>
  <si>
    <t>%Promoteurs</t>
  </si>
  <si>
    <t>Classement</t>
  </si>
  <si>
    <t>Classement tournées installation</t>
  </si>
  <si>
    <t>TRANSTAM-INSTALL</t>
  </si>
  <si>
    <t>Classement tournées mono équipage</t>
  </si>
  <si>
    <t>NPS ALFORTVILLE MAI 2026</t>
  </si>
  <si>
    <t>NPS ALFORTVILLE AVRIL 2026</t>
  </si>
  <si>
    <t>Nombre de réponses</t>
  </si>
  <si>
    <t>NPS</t>
  </si>
  <si>
    <t>Prog</t>
  </si>
  <si>
    <t>Plateforme Nice</t>
  </si>
  <si>
    <t>Plateforme Lyon</t>
  </si>
  <si>
    <t>+2,8</t>
  </si>
  <si>
    <t>Plateforme Lille</t>
  </si>
  <si>
    <t>+5,2</t>
  </si>
  <si>
    <t>Plateforme Toulouse</t>
  </si>
  <si>
    <t>+0,1</t>
  </si>
  <si>
    <t>Plateforme Garonor</t>
  </si>
  <si>
    <t>+3,7</t>
  </si>
  <si>
    <t>Plateforme Bordeaux</t>
  </si>
  <si>
    <t>Plateforme Nantes</t>
  </si>
  <si>
    <t>+3,9</t>
  </si>
  <si>
    <t>Plateforme Toulon</t>
  </si>
  <si>
    <t>+7,3</t>
  </si>
  <si>
    <t>Plateforme Marseille</t>
  </si>
  <si>
    <t>+8,2</t>
  </si>
  <si>
    <t>+0,4</t>
  </si>
  <si>
    <t>Magasin Boulanger</t>
  </si>
  <si>
    <t>Plateforme Alfortville</t>
  </si>
  <si>
    <t>+1,3</t>
  </si>
  <si>
    <t>Warning</t>
  </si>
  <si>
    <t>3*</t>
  </si>
  <si>
    <t>6*</t>
  </si>
  <si>
    <t>Plateforme ROCCA Bastia</t>
  </si>
  <si>
    <t>1*</t>
  </si>
  <si>
    <t>Point de contact</t>
  </si>
  <si>
    <t>Livraison domicile avec RDV</t>
  </si>
  <si>
    <t>+1</t>
  </si>
  <si>
    <t>NPS ALFORTVILLE ANNUEL 2025 en cours du 01/01/26 au 30/04/2026</t>
  </si>
  <si>
    <t>NPS ALFORTVILLE ANNUEL 2025 en cours du 01/01/25 au 31/12/2025</t>
  </si>
  <si>
    <t>Plateforme ROCCA Porto Vecchio</t>
  </si>
  <si>
    <t>+3,4</t>
  </si>
  <si>
    <t>+2,2</t>
  </si>
  <si>
    <t>+7,2</t>
  </si>
  <si>
    <t>+2</t>
  </si>
  <si>
    <t>+4,8</t>
  </si>
  <si>
    <t>+0,8</t>
  </si>
  <si>
    <t>+5,5</t>
  </si>
  <si>
    <t>+3,1</t>
  </si>
  <si>
    <t>12*</t>
  </si>
  <si>
    <t>+41,7</t>
  </si>
  <si>
    <t>5*</t>
  </si>
  <si>
    <t>+14,1</t>
  </si>
  <si>
    <t>+1,8</t>
  </si>
  <si>
    <t>+2,3</t>
  </si>
  <si>
    <t>-</t>
  </si>
  <si>
    <t>710</t>
  </si>
  <si>
    <t>FH-839-FB</t>
  </si>
  <si>
    <t>ob</t>
  </si>
  <si>
    <t>ok</t>
  </si>
  <si>
    <t>wissem</t>
  </si>
  <si>
    <t>0689022265</t>
  </si>
  <si>
    <t>BA</t>
  </si>
  <si>
    <t>251</t>
  </si>
  <si>
    <t>aymen</t>
  </si>
  <si>
    <t>269</t>
  </si>
  <si>
    <t>252</t>
  </si>
  <si>
    <t>270</t>
  </si>
  <si>
    <t>253</t>
  </si>
  <si>
    <t>Yazid</t>
  </si>
  <si>
    <t>271</t>
  </si>
  <si>
    <t>254</t>
  </si>
  <si>
    <t>EL-198-LR</t>
  </si>
  <si>
    <t>SAMI</t>
  </si>
  <si>
    <t>0782697863</t>
  </si>
  <si>
    <t>lds</t>
  </si>
  <si>
    <t>272</t>
  </si>
  <si>
    <t>255</t>
  </si>
  <si>
    <t xml:space="preserve">DZ315PJ </t>
  </si>
  <si>
    <t xml:space="preserve">amine </t>
  </si>
  <si>
    <t>0667455188</t>
  </si>
  <si>
    <t>273</t>
  </si>
  <si>
    <t>256</t>
  </si>
  <si>
    <t>274</t>
  </si>
  <si>
    <t>257</t>
  </si>
  <si>
    <t>275</t>
  </si>
  <si>
    <t>258</t>
  </si>
  <si>
    <t>276</t>
  </si>
  <si>
    <t>259</t>
  </si>
  <si>
    <t xml:space="preserve">Chérif </t>
  </si>
  <si>
    <t>0758077282</t>
  </si>
  <si>
    <t>260</t>
  </si>
  <si>
    <t>dt707gh</t>
  </si>
  <si>
    <t>261</t>
  </si>
  <si>
    <t>GB503XQ</t>
  </si>
  <si>
    <t xml:space="preserve">Yacine </t>
  </si>
  <si>
    <t>0611177252</t>
  </si>
  <si>
    <t>262</t>
  </si>
  <si>
    <t xml:space="preserve">Ey514gq </t>
  </si>
  <si>
    <t>Kais</t>
  </si>
  <si>
    <t>0652050293</t>
  </si>
  <si>
    <t>zk</t>
  </si>
  <si>
    <t>263</t>
  </si>
  <si>
    <t>cv-527-hi</t>
  </si>
  <si>
    <t>264</t>
  </si>
  <si>
    <t>265</t>
  </si>
  <si>
    <t>266</t>
  </si>
  <si>
    <t>267</t>
  </si>
  <si>
    <t>268</t>
  </si>
  <si>
    <t>507</t>
  </si>
  <si>
    <t xml:space="preserve">FA811EX </t>
  </si>
  <si>
    <t>Aymen</t>
  </si>
  <si>
    <t>0745996814</t>
  </si>
  <si>
    <t>ASTREINTE du Dimanche 24 Mai
Aurelie de 9h à 18h</t>
  </si>
  <si>
    <t>ASTREINTE du LUNDI 25 Mai
Jordy de 8h à 14h et Karim de 14h à19h</t>
  </si>
  <si>
    <t>reservation</t>
  </si>
  <si>
    <t>Capacité
à remplir</t>
  </si>
  <si>
    <t>Tournées Dimanche GROS VOLUMES</t>
  </si>
  <si>
    <t>Tournées Dimanche INSTALLATIONS</t>
  </si>
  <si>
    <t>Tournées Dimanche MONO</t>
  </si>
  <si>
    <t>´</t>
  </si>
  <si>
    <t>Tournées Standard</t>
  </si>
  <si>
    <t>PRESTA</t>
  </si>
  <si>
    <t>LUNDI</t>
  </si>
  <si>
    <t>MARDI</t>
  </si>
  <si>
    <t>MERCREDI</t>
  </si>
  <si>
    <t>JEUDI</t>
  </si>
  <si>
    <t>VENDREDI</t>
  </si>
  <si>
    <t>SAMEDI</t>
  </si>
  <si>
    <t>PRISMA</t>
  </si>
  <si>
    <t>ELIT</t>
  </si>
  <si>
    <t>Tournées installations</t>
  </si>
  <si>
    <t>DOUBS-INSTALL</t>
  </si>
  <si>
    <t>Tournées GROS VOLUMES</t>
  </si>
  <si>
    <t>VIVA-GV</t>
  </si>
  <si>
    <t>BEST-GV</t>
  </si>
  <si>
    <t>PRISMA-GV</t>
  </si>
  <si>
    <t>DOUBS-GV</t>
  </si>
  <si>
    <t>Tournées MONO</t>
  </si>
  <si>
    <t>PRISMA-MONO</t>
  </si>
  <si>
    <t>ME</t>
  </si>
  <si>
    <t>JE</t>
  </si>
  <si>
    <t>VE</t>
  </si>
  <si>
    <t>SA</t>
  </si>
  <si>
    <t>DI</t>
  </si>
  <si>
    <t>LU</t>
  </si>
  <si>
    <t>MA</t>
  </si>
  <si>
    <t>DOUBS</t>
  </si>
  <si>
    <t>BEST</t>
  </si>
  <si>
    <t>ALPHA</t>
  </si>
  <si>
    <t>DELTA</t>
  </si>
  <si>
    <t>FC</t>
  </si>
  <si>
    <t>TPE</t>
  </si>
  <si>
    <t>MOOVAM</t>
  </si>
  <si>
    <t>TMSDEM</t>
  </si>
  <si>
    <t>VIVA</t>
  </si>
  <si>
    <t>YST</t>
  </si>
  <si>
    <t>B9</t>
  </si>
  <si>
    <t>TRUSK</t>
  </si>
  <si>
    <t>DREAMTEAM-INSTALL</t>
  </si>
  <si>
    <t>CLS-INSTALL</t>
  </si>
  <si>
    <t>CITY</t>
  </si>
  <si>
    <t>H2B</t>
  </si>
  <si>
    <t>TDS</t>
  </si>
  <si>
    <t>TOURNEE GV</t>
  </si>
  <si>
    <t>TOURNEE STANDARD</t>
  </si>
  <si>
    <t>TOURNEE INSTALL</t>
  </si>
  <si>
    <t>TOURNEE MONO</t>
  </si>
  <si>
    <t>Bringg</t>
  </si>
  <si>
    <t>Satisfaction</t>
  </si>
  <si>
    <t>Moyenne</t>
  </si>
  <si>
    <t>Nbre réponses</t>
  </si>
  <si>
    <t>%Détracteurs</t>
  </si>
  <si>
    <t>RANG Bring</t>
  </si>
  <si>
    <t>RANG NPS</t>
  </si>
  <si>
    <t>RANG Moyenne</t>
  </si>
  <si>
    <t>Bringg%</t>
  </si>
  <si>
    <t>Moyenne satis/ bringg</t>
  </si>
  <si>
    <t>8h00</t>
  </si>
  <si>
    <t>08h15</t>
  </si>
  <si>
    <t xml:space="preserve">Mise à quai du 21/11/2025
Fin des rajouts 19h Nelson
11 NOVEMBRE 2025 NPS F166 ( MAJ le 19/11.) </t>
  </si>
  <si>
    <t>11h30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</si>
</sst>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#,##0.00\ [$€-1]"/>
    <numFmt numFmtId="167" formatCode="dd/mm/yyyy"/>
    <numFmt numFmtId="168" formatCode="dddd dd/mm"/>
    <numFmt numFmtId="169" formatCode="mmmm yyyy"/>
  </numFmts>
  <fonts count="75">
    <font>
      <sz val="10.0"/>
      <color rgb="FF000000"/>
      <name val="Calibri"/>
      <scheme val="minor"/>
    </font>
    <font>
      <b/>
      <sz val="11.0"/>
      <color theme="1"/>
      <name val="Comic Sans MS"/>
    </font>
    <font>
      <b/>
      <sz val="32.0"/>
      <color theme="1"/>
      <name val="Comic Sans MS"/>
    </font>
    <font/>
    <font>
      <b/>
      <color theme="1"/>
      <name val="Calibri"/>
    </font>
    <font>
      <b/>
      <sz val="24.0"/>
      <color theme="1"/>
      <name val="Comic Sans MS"/>
    </font>
    <font>
      <b/>
      <color theme="1"/>
      <name val="Comic Sans MS"/>
    </font>
    <font>
      <b/>
      <sz val="9.0"/>
      <color theme="1"/>
      <name val="Comic Sans MS"/>
    </font>
    <font>
      <b/>
      <sz val="11.0"/>
      <color rgb="FF1D1C1D"/>
      <name val="Comic Sans MS"/>
    </font>
    <font>
      <sz val="11.0"/>
      <color theme="1"/>
      <name val="Comic Sans MS"/>
    </font>
    <font>
      <b/>
      <u/>
      <sz val="24.0"/>
      <color theme="1"/>
      <name val="Comic Sans MS"/>
    </font>
    <font>
      <b/>
      <sz val="28.0"/>
      <color theme="1"/>
      <name val="Comic Sans MS"/>
    </font>
    <font>
      <b/>
      <color rgb="FFFFFFFF"/>
      <name val="Calibri"/>
    </font>
    <font>
      <b/>
      <sz val="11.0"/>
      <color rgb="FF000000"/>
      <name val="Comic Sans MS"/>
    </font>
    <font>
      <b/>
      <color rgb="FFFF9900"/>
      <name val="Calibri"/>
    </font>
    <font>
      <b/>
      <sz val="14.0"/>
      <color theme="1"/>
      <name val="Comic Sans MS"/>
    </font>
    <font>
      <b/>
      <color rgb="FF000000"/>
      <name val="Calibri"/>
    </font>
    <font>
      <b/>
      <strike/>
      <color theme="1"/>
      <name val="Calibri"/>
    </font>
    <font>
      <b/>
      <color theme="1"/>
      <name val="Comic sans ms"/>
    </font>
    <font>
      <color theme="1"/>
      <name val="Calibri"/>
    </font>
    <font>
      <sz val="18.0"/>
      <color theme="1"/>
      <name val="Arial"/>
    </font>
    <font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rgb="FF37415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color theme="1"/>
      <name val="Calibri"/>
      <scheme val="minor"/>
    </font>
    <font>
      <b/>
      <sz val="36.0"/>
      <color rgb="FF000000"/>
      <name val="Comic Sans MS"/>
    </font>
    <font>
      <b/>
      <sz val="10.0"/>
      <color theme="1"/>
      <name val="Comic Sans MS"/>
    </font>
    <font>
      <b/>
      <sz val="10.0"/>
      <color rgb="FF000000"/>
      <name val="Comic Sans MS"/>
    </font>
    <font>
      <b/>
      <u/>
      <sz val="21.0"/>
      <color theme="1"/>
      <name val="Comic Sans MS"/>
    </font>
    <font>
      <b/>
      <sz val="42.0"/>
      <color theme="1"/>
      <name val="Calibri"/>
      <scheme val="minor"/>
    </font>
    <font>
      <b/>
      <sz val="18.0"/>
      <color theme="1"/>
      <name val="Comic Sans MS"/>
    </font>
    <font>
      <b/>
      <sz val="24.0"/>
      <color rgb="FF000000"/>
      <name val="Roboto"/>
    </font>
    <font>
      <b/>
      <sz val="36.0"/>
      <color theme="1"/>
      <name val="Arial"/>
    </font>
    <font>
      <b/>
      <sz val="18.0"/>
      <color rgb="FF000000"/>
      <name val="Roboto"/>
    </font>
    <font>
      <b/>
      <sz val="11.0"/>
      <color theme="1"/>
      <name val="&quot;comic sans ms&quot;"/>
    </font>
    <font>
      <b/>
      <color theme="1"/>
      <name val="Calibri"/>
      <scheme val="minor"/>
    </font>
    <font>
      <sz val="14.0"/>
      <color theme="1"/>
      <name val="Comic Sans MS"/>
    </font>
    <font>
      <b/>
      <sz val="10.0"/>
      <color theme="1"/>
      <name val="Arial"/>
    </font>
    <font>
      <sz val="10.0"/>
      <color theme="1"/>
      <name val="Arial"/>
    </font>
    <font>
      <b/>
      <strike/>
      <sz val="36.0"/>
      <color theme="1"/>
      <name val="Arial"/>
    </font>
    <font>
      <sz val="10.0"/>
      <color theme="1"/>
      <name val="Comic Sans MS"/>
    </font>
    <font>
      <b/>
      <color theme="1"/>
      <name val="&quot;comic sans ms&quot;"/>
    </font>
    <font>
      <b/>
      <sz val="11.0"/>
      <color rgb="FF000000"/>
      <name val="&quot;comic sans ms&quot;"/>
    </font>
    <font>
      <sz val="8.0"/>
      <color theme="1"/>
      <name val="&quot;Trebuchet MS&quot;"/>
    </font>
    <font>
      <b/>
      <sz val="12.0"/>
      <color rgb="FF000000"/>
      <name val="&quot;Trebuchet MS&quot;"/>
    </font>
    <font>
      <b/>
      <sz val="8.0"/>
      <color rgb="FF000000"/>
      <name val="&quot;Trebuchet MS&quot;"/>
    </font>
    <font>
      <b/>
      <sz val="12.0"/>
      <color theme="1"/>
      <name val="&quot;Trebuchet MS&quot;"/>
    </font>
    <font>
      <sz val="12.0"/>
      <color theme="1"/>
      <name val="Calibri"/>
      <scheme val="minor"/>
    </font>
    <font>
      <b/>
      <sz val="20.0"/>
      <color theme="1"/>
      <name val="Calibri"/>
      <scheme val="minor"/>
    </font>
    <font>
      <sz val="20.0"/>
      <color theme="1"/>
      <name val="Arial"/>
    </font>
    <font>
      <sz val="9.0"/>
      <color rgb="FF000000"/>
      <name val="&quot;Google Sans Mono&quot;"/>
    </font>
    <font>
      <b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sz val="32.0"/>
      <color rgb="FF000000"/>
      <name val="Comic Sans MS"/>
    </font>
    <font>
      <b/>
      <sz val="24.0"/>
      <color rgb="FF000000"/>
      <name val="Comic Sans MS"/>
    </font>
    <font>
      <b/>
      <sz val="18.0"/>
      <color rgb="FF000000"/>
      <name val="Comic Sans MS"/>
    </font>
    <font>
      <b/>
      <sz val="11.0"/>
      <color rgb="FF2F3941"/>
      <name val="Comic Sans MS"/>
    </font>
    <font>
      <b/>
      <i/>
      <sz val="11.0"/>
      <color theme="1"/>
      <name val="Comic Sans MS"/>
    </font>
    <font>
      <b/>
      <sz val="11.0"/>
      <color rgb="FF000000"/>
      <name val="&quot;Comic Sans MS&quot;"/>
    </font>
    <font>
      <b/>
      <sz val="11.0"/>
      <color rgb="FF222222"/>
      <name val="Comic Sans MS"/>
    </font>
    <font>
      <b/>
      <u/>
      <sz val="24.0"/>
      <color theme="1"/>
      <name val="Comic Sans MS"/>
    </font>
    <font>
      <color rgb="FFFFFFFF"/>
      <name val="Calibri"/>
    </font>
    <font>
      <sz val="11.0"/>
      <color rgb="FF000000"/>
      <name val="Comic Sans MS"/>
    </font>
    <font>
      <color rgb="FFFF9900"/>
      <name val="Calibri"/>
    </font>
    <font>
      <color rgb="FF000000"/>
      <name val="Calibri"/>
    </font>
    <font>
      <b/>
      <i/>
      <sz val="36.0"/>
      <color theme="1"/>
      <name val="Arial"/>
    </font>
    <font>
      <sz val="36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AFD7FF"/>
        <bgColor rgb="FFAFD7FF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F8F2EB"/>
        <bgColor rgb="FFF8F2EB"/>
      </patternFill>
    </fill>
    <fill>
      <patternFill patternType="solid">
        <fgColor rgb="FFE0F7FA"/>
        <bgColor rgb="FFE0F7FA"/>
      </patternFill>
    </fill>
    <fill>
      <patternFill patternType="solid">
        <fgColor rgb="FFFFFFC8"/>
        <bgColor rgb="FFFFFFC8"/>
      </patternFill>
    </fill>
    <fill>
      <patternFill patternType="solid">
        <fgColor rgb="FFFFE4E4"/>
        <bgColor rgb="FFFFE4E4"/>
      </patternFill>
    </fill>
    <fill>
      <patternFill patternType="solid">
        <fgColor rgb="FFFEF8E3"/>
        <bgColor rgb="FFFEF8E3"/>
      </patternFill>
    </fill>
    <fill>
      <patternFill patternType="solid">
        <fgColor rgb="FFE7F9EF"/>
        <bgColor rgb="FFE7F9EF"/>
      </patternFill>
    </fill>
    <fill>
      <patternFill patternType="solid">
        <fgColor rgb="FF0096B1"/>
        <bgColor rgb="FF0096B1"/>
      </patternFill>
    </fill>
    <fill>
      <patternFill patternType="solid">
        <fgColor rgb="FF999999"/>
        <bgColor rgb="FF999999"/>
      </patternFill>
    </fill>
    <fill>
      <patternFill patternType="solid">
        <fgColor rgb="FF4DD0E1"/>
        <bgColor rgb="FF4DD0E1"/>
      </patternFill>
    </fill>
    <fill>
      <patternFill patternType="solid">
        <fgColor rgb="FFF7CB4D"/>
        <bgColor rgb="FFF7CB4D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</fills>
  <borders count="10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FFFFFF"/>
      </right>
    </border>
    <border>
      <left style="thick">
        <color rgb="FF00FF00"/>
      </left>
      <right style="thick">
        <color rgb="FF000000"/>
      </right>
      <top style="thick">
        <color rgb="FF000000"/>
      </top>
    </border>
    <border>
      <left style="thick">
        <color rgb="FF00FF00"/>
      </left>
      <right style="thick">
        <color rgb="FF00FF00"/>
      </right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right style="thin">
        <color rgb="FF505050"/>
      </right>
      <bottom style="thin">
        <color rgb="FF505050"/>
      </bottom>
    </border>
    <border>
      <bottom style="thin">
        <color rgb="FF505050"/>
      </bottom>
    </border>
    <border>
      <right style="thin">
        <color rgb="FF50505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 vertical="bottom"/>
    </xf>
    <xf borderId="2" fillId="0" fontId="3" numFmtId="0" xfId="0" applyBorder="1" applyFont="1"/>
    <xf borderId="2" fillId="3" fontId="4" numFmtId="0" xfId="0" applyAlignment="1" applyBorder="1" applyFont="1">
      <alignment vertical="bottom"/>
    </xf>
    <xf borderId="2" fillId="3" fontId="4" numFmtId="0" xfId="0" applyAlignment="1" applyBorder="1" applyFont="1">
      <alignment horizontal="right" shrinkToFit="0" vertical="bottom" wrapText="1"/>
    </xf>
    <xf borderId="0" fillId="3" fontId="4" numFmtId="0" xfId="0" applyAlignment="1" applyFont="1">
      <alignment vertical="bottom"/>
    </xf>
    <xf borderId="3" fillId="4" fontId="5" numFmtId="49" xfId="0" applyAlignment="1" applyBorder="1" applyFill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3" fillId="5" fontId="4" numFmtId="49" xfId="0" applyBorder="1" applyFill="1" applyFont="1" applyNumberFormat="1"/>
    <xf borderId="5" fillId="3" fontId="5" numFmtId="49" xfId="0" applyAlignment="1" applyBorder="1" applyFont="1" applyNumberFormat="1">
      <alignment horizontal="center" readingOrder="0"/>
    </xf>
    <xf borderId="6" fillId="5" fontId="4" numFmtId="165" xfId="0" applyAlignment="1" applyBorder="1" applyFont="1" applyNumberFormat="1">
      <alignment vertical="bottom"/>
    </xf>
    <xf borderId="3" fillId="3" fontId="5" numFmtId="49" xfId="0" applyAlignment="1" applyBorder="1" applyFont="1" applyNumberFormat="1">
      <alignment horizontal="center" vertical="bottom"/>
    </xf>
    <xf borderId="0" fillId="3" fontId="5" numFmtId="49" xfId="0" applyAlignment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/>
    </xf>
    <xf borderId="1" fillId="4" fontId="6" numFmtId="49" xfId="0" applyAlignment="1" applyBorder="1" applyFont="1" applyNumberFormat="1">
      <alignment horizontal="center"/>
    </xf>
    <xf borderId="8" fillId="4" fontId="7" numFmtId="49" xfId="0" applyAlignment="1" applyBorder="1" applyFont="1" applyNumberFormat="1">
      <alignment horizontal="center"/>
    </xf>
    <xf borderId="9" fillId="4" fontId="7" numFmtId="49" xfId="0" applyAlignment="1" applyBorder="1" applyFont="1" applyNumberFormat="1">
      <alignment horizontal="center"/>
    </xf>
    <xf borderId="10" fillId="5" fontId="4" numFmtId="49" xfId="0" applyBorder="1" applyFont="1" applyNumberFormat="1"/>
    <xf borderId="11" fillId="3" fontId="6" numFmtId="49" xfId="0" applyAlignment="1" applyBorder="1" applyFont="1" applyNumberFormat="1">
      <alignment horizontal="center"/>
    </xf>
    <xf borderId="1" fillId="3" fontId="6" numFmtId="49" xfId="0" applyAlignment="1" applyBorder="1" applyFont="1" applyNumberFormat="1">
      <alignment horizontal="center"/>
    </xf>
    <xf borderId="12" fillId="3" fontId="6" numFmtId="49" xfId="0" applyAlignment="1" applyBorder="1" applyFont="1" applyNumberFormat="1">
      <alignment horizontal="center" readingOrder="0" vertical="bottom"/>
    </xf>
    <xf borderId="13" fillId="3" fontId="6" numFmtId="49" xfId="0" applyAlignment="1" applyBorder="1" applyFont="1" applyNumberFormat="1">
      <alignment horizontal="center" readingOrder="0" vertical="bottom"/>
    </xf>
    <xf borderId="14" fillId="3" fontId="7" numFmtId="49" xfId="0" applyAlignment="1" applyBorder="1" applyFont="1" applyNumberFormat="1">
      <alignment horizontal="center" readingOrder="0"/>
    </xf>
    <xf borderId="8" fillId="3" fontId="7" numFmtId="49" xfId="0" applyAlignment="1" applyBorder="1" applyFont="1" applyNumberFormat="1">
      <alignment horizontal="center" readingOrder="0"/>
    </xf>
    <xf borderId="15" fillId="3" fontId="7" numFmtId="49" xfId="0" applyAlignment="1" applyBorder="1" applyFont="1" applyNumberFormat="1">
      <alignment horizontal="center" readingOrder="0"/>
    </xf>
    <xf borderId="16" fillId="3" fontId="7" numFmtId="49" xfId="0" applyAlignment="1" applyBorder="1" applyFont="1" applyNumberFormat="1">
      <alignment horizontal="center" readingOrder="0"/>
    </xf>
    <xf borderId="7" fillId="5" fontId="4" numFmtId="165" xfId="0" applyBorder="1" applyFont="1" applyNumberFormat="1"/>
    <xf borderId="12" fillId="3" fontId="6" numFmtId="49" xfId="0" applyAlignment="1" applyBorder="1" applyFont="1" applyNumberFormat="1">
      <alignment horizontal="center" vertical="bottom"/>
    </xf>
    <xf borderId="13" fillId="3" fontId="6" numFmtId="49" xfId="0" applyAlignment="1" applyBorder="1" applyFont="1" applyNumberFormat="1">
      <alignment horizontal="center" vertical="bottom"/>
    </xf>
    <xf borderId="14" fillId="3" fontId="7" numFmtId="49" xfId="0" applyAlignment="1" applyBorder="1" applyFont="1" applyNumberFormat="1">
      <alignment horizontal="center"/>
    </xf>
    <xf borderId="8" fillId="3" fontId="7" numFmtId="49" xfId="0" applyAlignment="1" applyBorder="1" applyFont="1" applyNumberFormat="1">
      <alignment horizontal="center"/>
    </xf>
    <xf borderId="17" fillId="3" fontId="7" numFmtId="49" xfId="0" applyAlignment="1" applyBorder="1" applyFont="1" applyNumberFormat="1">
      <alignment horizontal="center"/>
    </xf>
    <xf borderId="0" fillId="3" fontId="7" numFmtId="49" xfId="0" applyAlignment="1" applyFont="1" applyNumberFormat="1">
      <alignment horizontal="center"/>
    </xf>
    <xf borderId="1" fillId="2" fontId="1" numFmtId="49" xfId="0" applyAlignment="1" applyBorder="1" applyFont="1" applyNumberFormat="1">
      <alignment horizontal="center" readingOrder="0" vertical="center"/>
    </xf>
    <xf borderId="7" fillId="6" fontId="1" numFmtId="49" xfId="0" applyAlignment="1" applyBorder="1" applyFill="1" applyFont="1" applyNumberFormat="1">
      <alignment horizontal="center"/>
    </xf>
    <xf borderId="1" fillId="6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vertical="bottom"/>
    </xf>
    <xf borderId="19" fillId="7" fontId="1" numFmtId="49" xfId="0" applyAlignment="1" applyBorder="1" applyFill="1" applyFont="1" applyNumberFormat="1">
      <alignment horizontal="center" readingOrder="0"/>
    </xf>
    <xf borderId="20" fillId="7" fontId="1" numFmtId="49" xfId="0" applyAlignment="1" applyBorder="1" applyFont="1" applyNumberFormat="1">
      <alignment horizontal="center" readingOrder="0"/>
    </xf>
    <xf borderId="21" fillId="7" fontId="1" numFmtId="49" xfId="0" applyAlignment="1" applyBorder="1" applyFont="1" applyNumberFormat="1">
      <alignment horizontal="center" readingOrder="0"/>
    </xf>
    <xf borderId="11" fillId="6" fontId="1" numFmtId="49" xfId="0" applyAlignment="1" applyBorder="1" applyFont="1" applyNumberFormat="1">
      <alignment horizontal="center" readingOrder="0" vertical="bottom"/>
    </xf>
    <xf borderId="1" fillId="6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readingOrder="0"/>
    </xf>
    <xf borderId="18" fillId="2" fontId="1" numFmtId="49" xfId="0" applyAlignment="1" applyBorder="1" applyFont="1" applyNumberFormat="1">
      <alignment horizontal="center" readingOrder="0"/>
    </xf>
    <xf borderId="22" fillId="7" fontId="1" numFmtId="49" xfId="0" applyAlignment="1" applyBorder="1" applyFont="1" applyNumberFormat="1">
      <alignment horizontal="center" readingOrder="0"/>
    </xf>
    <xf borderId="7" fillId="5" fontId="4" numFmtId="165" xfId="0" applyAlignment="1" applyBorder="1" applyFont="1" applyNumberFormat="1">
      <alignment vertical="bottom"/>
    </xf>
    <xf borderId="23" fillId="2" fontId="1" numFmtId="0" xfId="0" applyAlignment="1" applyBorder="1" applyFont="1">
      <alignment horizontal="center" vertical="bottom"/>
    </xf>
    <xf borderId="23" fillId="2" fontId="1" numFmtId="49" xfId="0" applyAlignment="1" applyBorder="1" applyFont="1" applyNumberFormat="1">
      <alignment horizontal="center" vertical="bottom"/>
    </xf>
    <xf borderId="21" fillId="2" fontId="8" numFmtId="49" xfId="0" applyAlignment="1" applyBorder="1" applyFont="1" applyNumberFormat="1">
      <alignment horizontal="center" vertical="bottom"/>
    </xf>
    <xf borderId="6" fillId="7" fontId="1" numFmtId="49" xfId="0" applyAlignment="1" applyBorder="1" applyFont="1" applyNumberFormat="1">
      <alignment horizontal="right" readingOrder="0" shrinkToFit="0" wrapText="1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ill="1" applyFont="1" applyNumberFormat="1">
      <alignment horizontal="center" vertical="bottom"/>
    </xf>
    <xf borderId="12" fillId="8" fontId="1" numFmtId="49" xfId="0" applyAlignment="1" applyBorder="1" applyFont="1" applyNumberFormat="1">
      <alignment horizontal="center" vertical="bottom"/>
    </xf>
    <xf borderId="24" fillId="8" fontId="4" numFmtId="0" xfId="0" applyAlignment="1" applyBorder="1" applyFont="1">
      <alignment vertical="bottom"/>
    </xf>
    <xf borderId="1" fillId="8" fontId="4" numFmtId="49" xfId="0" applyAlignment="1" applyBorder="1" applyFont="1" applyNumberFormat="1">
      <alignment vertical="top"/>
    </xf>
    <xf borderId="1" fillId="8" fontId="4" numFmtId="49" xfId="0" applyAlignment="1" applyBorder="1" applyFont="1" applyNumberFormat="1">
      <alignment vertical="bottom"/>
    </xf>
    <xf borderId="25" fillId="8" fontId="4" numFmtId="49" xfId="0" applyBorder="1" applyFont="1" applyNumberFormat="1"/>
    <xf borderId="6" fillId="7" fontId="4" numFmtId="49" xfId="0" applyBorder="1" applyFont="1" applyNumberFormat="1"/>
    <xf borderId="3" fillId="7" fontId="4" numFmtId="49" xfId="0" applyBorder="1" applyFont="1" applyNumberFormat="1"/>
    <xf borderId="20" fillId="7" fontId="4" numFmtId="49" xfId="0" applyBorder="1" applyFont="1" applyNumberFormat="1"/>
    <xf borderId="22" fillId="7" fontId="4" numFmtId="49" xfId="0" applyBorder="1" applyFont="1" applyNumberFormat="1"/>
    <xf borderId="0" fillId="7" fontId="4" numFmtId="49" xfId="0" applyFont="1" applyNumberFormat="1"/>
    <xf borderId="11" fillId="7" fontId="1" numFmtId="49" xfId="0" applyAlignment="1" applyBorder="1" applyFont="1" applyNumberFormat="1">
      <alignment horizontal="center" readingOrder="0"/>
    </xf>
    <xf borderId="1" fillId="7" fontId="1" numFmtId="49" xfId="0" applyAlignment="1" applyBorder="1" applyFont="1" applyNumberFormat="1">
      <alignment horizontal="center" readingOrder="0"/>
    </xf>
    <xf borderId="12" fillId="2" fontId="1" numFmtId="49" xfId="0" applyAlignment="1" applyBorder="1" applyFont="1" applyNumberFormat="1">
      <alignment horizontal="center" readingOrder="0"/>
    </xf>
    <xf borderId="25" fillId="7" fontId="1" numFmtId="49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left" readingOrder="0" vertical="bottom"/>
    </xf>
    <xf borderId="21" fillId="0" fontId="8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right" readingOrder="0" shrinkToFit="0" wrapText="1"/>
    </xf>
    <xf borderId="23" fillId="8" fontId="4" numFmtId="4" xfId="0" applyAlignment="1" applyBorder="1" applyFont="1" applyNumberFormat="1">
      <alignment vertical="bottom"/>
    </xf>
    <xf borderId="7" fillId="7" fontId="4" numFmtId="49" xfId="0" applyBorder="1" applyFont="1" applyNumberFormat="1"/>
    <xf borderId="10" fillId="7" fontId="4" numFmtId="49" xfId="0" applyBorder="1" applyFont="1" applyNumberFormat="1"/>
    <xf borderId="1" fillId="7" fontId="4" numFmtId="49" xfId="0" applyBorder="1" applyFont="1" applyNumberFormat="1"/>
    <xf borderId="25" fillId="7" fontId="4" numFmtId="49" xfId="0" applyBorder="1" applyFont="1" applyNumberFormat="1"/>
    <xf borderId="12" fillId="6" fontId="1" numFmtId="49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top"/>
    </xf>
    <xf borderId="25" fillId="2" fontId="1" numFmtId="49" xfId="0" applyAlignment="1" applyBorder="1" applyFont="1" applyNumberFormat="1">
      <alignment horizontal="center" readingOrder="0"/>
    </xf>
    <xf borderId="25" fillId="5" fontId="4" numFmtId="49" xfId="0" applyAlignment="1" applyBorder="1" applyFont="1" applyNumberFormat="1">
      <alignment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vertical="top"/>
    </xf>
    <xf borderId="7" fillId="8" fontId="1" numFmtId="49" xfId="0" applyAlignment="1" applyBorder="1" applyFont="1" applyNumberFormat="1">
      <alignment horizontal="center"/>
    </xf>
    <xf borderId="23" fillId="8" fontId="1" numFmtId="0" xfId="0" applyAlignment="1" applyBorder="1" applyFon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bottom"/>
    </xf>
    <xf borderId="11" fillId="8" fontId="1" numFmtId="49" xfId="0" applyAlignment="1" applyBorder="1" applyFont="1" applyNumberFormat="1">
      <alignment horizontal="center" readingOrder="0" vertical="bottom"/>
    </xf>
    <xf borderId="26" fillId="8" fontId="1" numFmtId="49" xfId="0" applyAlignment="1" applyBorder="1" applyFont="1" applyNumberFormat="1">
      <alignment horizontal="center" readingOrder="0" vertical="bottom"/>
    </xf>
    <xf borderId="26" fillId="8" fontId="1" numFmtId="4" xfId="0" applyAlignment="1" applyBorder="1" applyFont="1" applyNumberFormat="1">
      <alignment horizontal="center" readingOrder="0" vertical="bottom"/>
    </xf>
    <xf borderId="1" fillId="8" fontId="1" numFmtId="4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/>
    </xf>
    <xf borderId="18" fillId="8" fontId="1" numFmtId="49" xfId="0" applyAlignment="1" applyBorder="1" applyFont="1" applyNumberFormat="1">
      <alignment horizontal="center" readingOrder="0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ont="1" applyNumberFormat="1">
      <alignment horizontal="center" readingOrder="0" shrinkToFit="0" vertical="bottom" wrapText="1"/>
    </xf>
    <xf borderId="1" fillId="8" fontId="1" numFmtId="0" xfId="0" applyAlignment="1" applyBorder="1" applyFont="1">
      <alignment horizontal="center" readingOrder="0" shrinkToFit="0" vertical="bottom" wrapText="1"/>
    </xf>
    <xf borderId="25" fillId="8" fontId="1" numFmtId="49" xfId="0" applyAlignment="1" applyBorder="1" applyFont="1" applyNumberFormat="1">
      <alignment horizontal="center" readingOrder="0" shrinkToFit="0" vertical="bottom" wrapText="1"/>
    </xf>
    <xf borderId="12" fillId="3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12" fillId="2" fontId="4" numFmtId="49" xfId="0" applyAlignment="1" applyBorder="1" applyFont="1" applyNumberFormat="1">
      <alignment readingOrder="0" vertical="bottom"/>
    </xf>
    <xf borderId="27" fillId="2" fontId="4" numFmtId="49" xfId="0" applyAlignment="1" applyBorder="1" applyFont="1" applyNumberFormat="1">
      <alignment readingOrder="0" vertical="bottom"/>
    </xf>
    <xf borderId="7" fillId="7" fontId="4" numFmtId="49" xfId="0" applyAlignment="1" applyBorder="1" applyFont="1" applyNumberFormat="1">
      <alignment readingOrder="0"/>
    </xf>
    <xf borderId="10" fillId="7" fontId="4" numFmtId="49" xfId="0" applyAlignment="1" applyBorder="1" applyFont="1" applyNumberFormat="1">
      <alignment readingOrder="0"/>
    </xf>
    <xf borderId="1" fillId="7" fontId="4" numFmtId="49" xfId="0" applyAlignment="1" applyBorder="1" applyFont="1" applyNumberFormat="1">
      <alignment readingOrder="0"/>
    </xf>
    <xf borderId="25" fillId="7" fontId="4" numFmtId="49" xfId="0" applyAlignment="1" applyBorder="1" applyFont="1" applyNumberFormat="1">
      <alignment readingOrder="0"/>
    </xf>
    <xf borderId="0" fillId="7" fontId="4" numFmtId="49" xfId="0" applyAlignment="1" applyFont="1" applyNumberFormat="1">
      <alignment readingOrder="0"/>
    </xf>
    <xf borderId="26" fillId="8" fontId="1" numFmtId="49" xfId="0" applyAlignment="1" applyBorder="1" applyFont="1" applyNumberFormat="1">
      <alignment horizontal="center" vertical="bottom"/>
    </xf>
    <xf borderId="1" fillId="8" fontId="1" numFmtId="49" xfId="0" applyAlignment="1" applyBorder="1" applyFont="1" applyNumberFormat="1">
      <alignment horizontal="center" readingOrder="0" shrinkToFit="0" wrapText="1"/>
    </xf>
    <xf borderId="18" fillId="8" fontId="1" numFmtId="49" xfId="0" applyAlignment="1" applyBorder="1" applyFont="1" applyNumberFormat="1">
      <alignment horizontal="center" readingOrder="0" shrinkToFit="0" wrapText="1"/>
    </xf>
    <xf borderId="18" fillId="8" fontId="4" numFmtId="0" xfId="0" applyAlignment="1" applyBorder="1" applyFont="1">
      <alignment vertical="bottom"/>
    </xf>
    <xf borderId="25" fillId="8" fontId="4" numFmtId="49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21" fillId="2" fontId="4" numFmtId="49" xfId="0" applyAlignment="1" applyBorder="1" applyFont="1" applyNumberFormat="1">
      <alignment vertical="bottom"/>
    </xf>
    <xf borderId="1" fillId="4" fontId="1" numFmtId="49" xfId="0" applyAlignment="1" applyBorder="1" applyFont="1" applyNumberFormat="1">
      <alignment horizontal="center" vertical="bottom"/>
    </xf>
    <xf borderId="1" fillId="9" fontId="1" numFmtId="0" xfId="0" applyAlignment="1" applyBorder="1" applyFill="1" applyFont="1">
      <alignment horizontal="center" readingOrder="0" vertical="bottom"/>
    </xf>
    <xf borderId="12" fillId="9" fontId="1" numFmtId="0" xfId="0" applyAlignment="1" applyBorder="1" applyFont="1">
      <alignment horizontal="center" readingOrder="0" vertical="bottom"/>
    </xf>
    <xf borderId="18" fillId="9" fontId="1" numFmtId="49" xfId="0" applyAlignment="1" applyBorder="1" applyFont="1" applyNumberFormat="1">
      <alignment horizontal="center" readingOrder="0" vertical="bottom"/>
    </xf>
    <xf borderId="11" fillId="3" fontId="1" numFmtId="49" xfId="0" applyAlignment="1" applyBorder="1" applyFont="1" applyNumberFormat="1">
      <alignment horizontal="center" readingOrder="0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9" fontId="1" numFmtId="49" xfId="0" applyAlignment="1" applyFont="1" applyNumberFormat="1">
      <alignment horizontal="center" readingOrder="0"/>
    </xf>
    <xf borderId="18" fillId="9" fontId="1" numFmtId="49" xfId="0" applyAlignment="1" applyBorder="1" applyFont="1" applyNumberFormat="1">
      <alignment horizontal="center" readingOrder="0"/>
    </xf>
    <xf borderId="11" fillId="7" fontId="1" numFmtId="49" xfId="0" applyAlignment="1" applyBorder="1" applyFont="1" applyNumberFormat="1">
      <alignment horizontal="right" readingOrder="0" shrinkToFit="0" wrapText="1"/>
    </xf>
    <xf borderId="1" fillId="2" fontId="4" numFmtId="49" xfId="0" applyBorder="1" applyFont="1" applyNumberFormat="1"/>
    <xf borderId="12" fillId="2" fontId="4" numFmtId="49" xfId="0" applyBorder="1" applyFont="1" applyNumberFormat="1"/>
    <xf borderId="25" fillId="2" fontId="4" numFmtId="49" xfId="0" applyBorder="1" applyFont="1" applyNumberFormat="1"/>
    <xf borderId="13" fillId="2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shrinkToFit="0" vertical="bottom" wrapText="1"/>
    </xf>
    <xf borderId="1" fillId="2" fontId="1" numFmtId="49" xfId="0" applyAlignment="1" applyBorder="1" applyFont="1" applyNumberFormat="1">
      <alignment horizontal="center" readingOrder="0" shrinkToFit="0" vertical="bottom" wrapText="1"/>
    </xf>
    <xf borderId="1" fillId="4" fontId="1" numFmtId="49" xfId="0" applyAlignment="1" applyBorder="1" applyFont="1" applyNumberFormat="1">
      <alignment horizontal="center"/>
    </xf>
    <xf borderId="12" fillId="3" fontId="1" numFmtId="49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vertical="top"/>
    </xf>
    <xf borderId="12" fillId="2" fontId="4" numFmtId="49" xfId="0" applyAlignment="1" applyBorder="1" applyFont="1" applyNumberFormat="1">
      <alignment vertical="bottom"/>
    </xf>
    <xf borderId="10" fillId="2" fontId="1" numFmtId="49" xfId="0" applyAlignment="1" applyBorder="1" applyFont="1" applyNumberFormat="1">
      <alignment horizontal="center" readingOrder="0" vertical="bottom"/>
    </xf>
    <xf borderId="23" fillId="3" fontId="1" numFmtId="49" xfId="0" applyAlignment="1" applyBorder="1" applyFont="1" applyNumberFormat="1">
      <alignment horizontal="center" readingOrder="0" vertical="bottom"/>
    </xf>
    <xf borderId="23" fillId="2" fontId="1" numFmtId="0" xfId="0" applyAlignment="1" applyBorder="1" applyFont="1">
      <alignment horizontal="center" shrinkToFit="0" vertical="bottom" wrapText="1"/>
    </xf>
    <xf borderId="7" fillId="2" fontId="1" numFmtId="0" xfId="0" applyAlignment="1" applyBorder="1" applyFont="1">
      <alignment horizontal="center" readingOrder="0"/>
    </xf>
    <xf borderId="0" fillId="5" fontId="4" numFmtId="49" xfId="0" applyAlignment="1" applyFont="1" applyNumberFormat="1">
      <alignment vertical="bottom"/>
    </xf>
    <xf borderId="1" fillId="3" fontId="1" numFmtId="49" xfId="0" applyAlignment="1" applyBorder="1" applyFont="1" applyNumberFormat="1">
      <alignment horizontal="center"/>
    </xf>
    <xf borderId="0" fillId="2" fontId="1" numFmtId="49" xfId="0" applyAlignment="1" applyFont="1" applyNumberFormat="1">
      <alignment horizontal="center" readingOrder="0" vertical="bottom"/>
    </xf>
    <xf borderId="1" fillId="3" fontId="1" numFmtId="49" xfId="0" applyAlignment="1" applyBorder="1" applyFont="1" applyNumberFormat="1">
      <alignment horizontal="center" readingOrder="0"/>
    </xf>
    <xf borderId="7" fillId="2" fontId="4" numFmtId="49" xfId="0" applyAlignment="1" applyBorder="1" applyFont="1" applyNumberFormat="1">
      <alignment vertical="bottom"/>
    </xf>
    <xf borderId="21" fillId="2" fontId="1" numFmtId="49" xfId="0" applyAlignment="1" applyBorder="1" applyFont="1" applyNumberFormat="1">
      <alignment horizontal="center" readingOrder="0" vertical="bottom"/>
    </xf>
    <xf borderId="10" fillId="2" fontId="1" numFmtId="49" xfId="0" applyAlignment="1" applyBorder="1" applyFont="1" applyNumberFormat="1">
      <alignment horizontal="center" readingOrder="0"/>
    </xf>
    <xf borderId="18" fillId="0" fontId="1" numFmtId="49" xfId="0" applyAlignment="1" applyBorder="1" applyFont="1" applyNumberFormat="1">
      <alignment horizontal="center" readingOrder="0"/>
    </xf>
    <xf borderId="25" fillId="7" fontId="9" numFmtId="49" xfId="0" applyAlignment="1" applyBorder="1" applyFont="1" applyNumberFormat="1">
      <alignment horizontal="center" readingOrder="0"/>
    </xf>
    <xf borderId="12" fillId="2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/>
    </xf>
    <xf borderId="25" fillId="2" fontId="1" numFmtId="49" xfId="0" applyAlignment="1" applyBorder="1" applyFont="1" applyNumberFormat="1">
      <alignment horizontal="center" readingOrder="0" vertical="bottom"/>
    </xf>
    <xf borderId="23" fillId="2" fontId="1" numFmtId="0" xfId="0" applyAlignment="1" applyBorder="1" applyFont="1">
      <alignment horizontal="center" readingOrder="0" shrinkToFit="0" vertical="bottom" wrapText="1"/>
    </xf>
    <xf borderId="12" fillId="2" fontId="1" numFmtId="0" xfId="0" applyAlignment="1" applyBorder="1" applyFont="1">
      <alignment horizontal="center" readingOrder="0" vertical="bottom"/>
    </xf>
    <xf borderId="7" fillId="5" fontId="1" numFmtId="0" xfId="0" applyAlignment="1" applyBorder="1" applyFont="1">
      <alignment horizontal="center" vertical="bottom"/>
    </xf>
    <xf borderId="12" fillId="3" fontId="1" numFmtId="49" xfId="0" applyAlignment="1" applyBorder="1" applyFont="1" applyNumberFormat="1">
      <alignment horizontal="center" readingOrder="0" vertical="bottom"/>
    </xf>
    <xf borderId="25" fillId="2" fontId="4" numFmtId="49" xfId="0" applyAlignment="1" applyBorder="1" applyFont="1" applyNumberFormat="1">
      <alignment vertical="bottom"/>
    </xf>
    <xf borderId="10" fillId="5" fontId="4" numFmtId="0" xfId="0" applyAlignment="1" applyBorder="1" applyFont="1">
      <alignment readingOrder="0"/>
    </xf>
    <xf borderId="7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shrinkToFit="0" vertical="bottom" wrapText="1"/>
    </xf>
    <xf borderId="1" fillId="3" fontId="1" numFmtId="49" xfId="0" applyAlignment="1" applyBorder="1" applyFont="1" applyNumberFormat="1">
      <alignment horizontal="center" vertical="bottom"/>
    </xf>
    <xf borderId="1" fillId="2" fontId="4" numFmtId="49" xfId="0" applyAlignment="1" applyBorder="1" applyFont="1" applyNumberFormat="1">
      <alignment vertical="bottom"/>
    </xf>
    <xf borderId="7" fillId="7" fontId="4" numFmtId="0" xfId="0" applyBorder="1" applyFont="1"/>
    <xf borderId="10" fillId="7" fontId="4" numFmtId="0" xfId="0" applyBorder="1" applyFont="1"/>
    <xf borderId="1" fillId="7" fontId="4" numFmtId="0" xfId="0" applyBorder="1" applyFont="1"/>
    <xf borderId="25" fillId="7" fontId="4" numFmtId="0" xfId="0" applyBorder="1" applyFont="1"/>
    <xf borderId="0" fillId="7" fontId="4" numFmtId="0" xfId="0" applyFont="1"/>
    <xf borderId="1" fillId="0" fontId="1" numFmtId="0" xfId="0" applyAlignment="1" applyBorder="1" applyFont="1">
      <alignment horizontal="center" readingOrder="0" shrinkToFit="0" vertical="bottom" wrapText="1"/>
    </xf>
    <xf borderId="18" fillId="2" fontId="1" numFmtId="0" xfId="0" applyAlignment="1" applyBorder="1" applyFont="1">
      <alignment horizontal="center" readingOrder="0" vertical="bottom"/>
    </xf>
    <xf borderId="10" fillId="5" fontId="4" numFmtId="165" xfId="0" applyBorder="1" applyFont="1" applyNumberFormat="1"/>
    <xf borderId="23" fillId="10" fontId="1" numFmtId="49" xfId="0" applyAlignment="1" applyBorder="1" applyFill="1" applyFont="1" applyNumberFormat="1">
      <alignment horizontal="center" readingOrder="0" vertical="bottom"/>
    </xf>
    <xf borderId="1" fillId="9" fontId="4" numFmtId="49" xfId="0" applyAlignment="1" applyBorder="1" applyFont="1" applyNumberFormat="1">
      <alignment vertical="bottom"/>
    </xf>
    <xf borderId="1" fillId="9" fontId="4" numFmtId="0" xfId="0" applyAlignment="1" applyBorder="1" applyFont="1">
      <alignment vertical="bottom"/>
    </xf>
    <xf borderId="23" fillId="9" fontId="4" numFmtId="49" xfId="0" applyAlignment="1" applyBorder="1" applyFont="1" applyNumberFormat="1">
      <alignment vertical="bottom"/>
    </xf>
    <xf borderId="25" fillId="9" fontId="4" numFmtId="49" xfId="0" applyBorder="1" applyFont="1" applyNumberFormat="1"/>
    <xf borderId="1" fillId="9" fontId="4" numFmtId="0" xfId="0" applyAlignment="1" applyBorder="1" applyFont="1">
      <alignment vertical="bottom"/>
    </xf>
    <xf borderId="12" fillId="9" fontId="4" numFmtId="49" xfId="0" applyAlignment="1" applyBorder="1" applyFont="1" applyNumberFormat="1">
      <alignment vertical="bottom"/>
    </xf>
    <xf borderId="27" fillId="9" fontId="4" numFmtId="49" xfId="0" applyAlignment="1" applyBorder="1" applyFont="1" applyNumberFormat="1">
      <alignment vertical="bottom"/>
    </xf>
    <xf borderId="25" fillId="2" fontId="1" numFmtId="49" xfId="0" applyAlignment="1" applyBorder="1" applyFont="1" applyNumberFormat="1">
      <alignment horizontal="center" readingOrder="0" shrinkToFit="0" wrapText="1"/>
    </xf>
    <xf borderId="1" fillId="9" fontId="4" numFmtId="49" xfId="0" applyBorder="1" applyFont="1" applyNumberFormat="1"/>
    <xf borderId="12" fillId="2" fontId="1" numFmtId="49" xfId="0" applyAlignment="1" applyBorder="1" applyFont="1" applyNumberFormat="1">
      <alignment horizontal="center" readingOrder="0" vertical="bottom"/>
    </xf>
    <xf borderId="1" fillId="4" fontId="1" numFmtId="49" xfId="0" applyAlignment="1" applyBorder="1" applyFont="1" applyNumberFormat="1">
      <alignment horizontal="center" readingOrder="0"/>
    </xf>
    <xf borderId="7" fillId="5" fontId="4" numFmtId="0" xfId="0" applyBorder="1" applyFont="1"/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 shrinkToFit="0" vertical="bottom" wrapText="1"/>
    </xf>
    <xf borderId="25" fillId="2" fontId="1" numFmtId="49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wrapText="1"/>
    </xf>
    <xf borderId="7" fillId="2" fontId="1" numFmtId="49" xfId="0" applyAlignment="1" applyBorder="1" applyFont="1" applyNumberFormat="1">
      <alignment horizontal="center" readingOrder="0" shrinkToFit="0" vertical="bottom" wrapText="1"/>
    </xf>
    <xf borderId="21" fillId="2" fontId="4" numFmtId="49" xfId="0" applyBorder="1" applyFont="1" applyNumberFormat="1"/>
    <xf borderId="0" fillId="4" fontId="1" numFmtId="0" xfId="0" applyAlignment="1" applyFont="1">
      <alignment horizontal="center" readingOrder="0"/>
    </xf>
    <xf borderId="12" fillId="4" fontId="1" numFmtId="49" xfId="0" applyAlignment="1" applyBorder="1" applyFont="1" applyNumberFormat="1">
      <alignment horizontal="center" vertical="bottom"/>
    </xf>
    <xf borderId="7" fillId="2" fontId="1" numFmtId="49" xfId="0" applyAlignment="1" applyBorder="1" applyFont="1" applyNumberFormat="1">
      <alignment horizontal="center" readingOrder="0" vertical="bottom"/>
    </xf>
    <xf borderId="28" fillId="3" fontId="1" numFmtId="49" xfId="0" applyAlignment="1" applyBorder="1" applyFont="1" applyNumberFormat="1">
      <alignment horizontal="center" readingOrder="0" vertical="bottom"/>
    </xf>
    <xf borderId="7" fillId="5" fontId="4" numFmtId="0" xfId="0" applyAlignment="1" applyBorder="1" applyFont="1">
      <alignment readingOrder="0" vertical="bottom"/>
    </xf>
    <xf borderId="23" fillId="4" fontId="1" numFmtId="49" xfId="0" applyAlignment="1" applyBorder="1" applyFont="1" applyNumberFormat="1">
      <alignment horizontal="center" vertical="bottom"/>
    </xf>
    <xf borderId="12" fillId="2" fontId="1" numFmtId="49" xfId="0" applyAlignment="1" applyBorder="1" applyFont="1" applyNumberFormat="1">
      <alignment horizontal="center" readingOrder="0" shrinkToFit="0" vertical="bottom" wrapText="1"/>
    </xf>
    <xf borderId="29" fillId="4" fontId="1" numFmtId="49" xfId="0" applyAlignment="1" applyBorder="1" applyFont="1" applyNumberFormat="1">
      <alignment horizontal="center"/>
    </xf>
    <xf borderId="8" fillId="5" fontId="4" numFmtId="49" xfId="0" applyBorder="1" applyFont="1" applyNumberFormat="1"/>
    <xf borderId="21" fillId="5" fontId="4" numFmtId="49" xfId="0" applyAlignment="1" applyBorder="1" applyFont="1" applyNumberFormat="1">
      <alignment vertical="bottom"/>
    </xf>
    <xf borderId="29" fillId="5" fontId="4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23" fillId="2" fontId="4" numFmtId="0" xfId="0" applyAlignment="1" applyBorder="1" applyFont="1">
      <alignment vertical="bottom"/>
    </xf>
    <xf borderId="23" fillId="9" fontId="1" numFmtId="0" xfId="0" applyAlignment="1" applyBorder="1" applyFont="1">
      <alignment horizontal="center" readingOrder="0" shrinkToFit="0" vertical="bottom" wrapText="1"/>
    </xf>
    <xf borderId="1" fillId="9" fontId="1" numFmtId="0" xfId="0" applyAlignment="1" applyBorder="1" applyFont="1">
      <alignment horizontal="center" readingOrder="0" shrinkToFit="0" vertical="bottom" wrapText="1"/>
    </xf>
    <xf borderId="12" fillId="9" fontId="1" numFmtId="49" xfId="0" applyAlignment="1" applyBorder="1" applyFont="1" applyNumberFormat="1">
      <alignment horizontal="center" readingOrder="0"/>
    </xf>
    <xf borderId="25" fillId="11" fontId="4" numFmtId="49" xfId="0" applyAlignment="1" applyBorder="1" applyFill="1" applyFont="1" applyNumberFormat="1">
      <alignment vertical="bottom"/>
    </xf>
    <xf borderId="23" fillId="3" fontId="1" numFmtId="49" xfId="0" applyAlignment="1" applyBorder="1" applyFont="1" applyNumberFormat="1">
      <alignment horizontal="center" readingOrder="0"/>
    </xf>
    <xf borderId="12" fillId="2" fontId="1" numFmtId="0" xfId="0" applyAlignment="1" applyBorder="1" applyFont="1">
      <alignment horizontal="center" vertical="bottom"/>
    </xf>
    <xf borderId="29" fillId="5" fontId="4" numFmtId="165" xfId="0" applyAlignment="1" applyBorder="1" applyFont="1" applyNumberFormat="1">
      <alignment vertical="bottom"/>
    </xf>
    <xf borderId="23" fillId="2" fontId="4" numFmtId="0" xfId="0" applyAlignment="1" applyBorder="1" applyFont="1">
      <alignment vertical="bottom"/>
    </xf>
    <xf borderId="29" fillId="12" fontId="1" numFmtId="49" xfId="0" applyAlignment="1" applyBorder="1" applyFill="1" applyFont="1" applyNumberFormat="1">
      <alignment horizontal="center"/>
    </xf>
    <xf borderId="14" fillId="12" fontId="1" numFmtId="49" xfId="0" applyAlignment="1" applyBorder="1" applyFont="1" applyNumberFormat="1">
      <alignment horizontal="center"/>
    </xf>
    <xf borderId="23" fillId="12" fontId="1" numFmtId="0" xfId="0" applyAlignment="1" applyBorder="1" applyFont="1">
      <alignment horizontal="center" readingOrder="0" vertical="bottom"/>
    </xf>
    <xf borderId="1" fillId="12" fontId="1" numFmtId="49" xfId="0" applyAlignment="1" applyBorder="1" applyFont="1" applyNumberFormat="1">
      <alignment horizontal="center" readingOrder="0" vertical="bottom"/>
    </xf>
    <xf borderId="24" fillId="12" fontId="1" numFmtId="49" xfId="0" applyAlignment="1" applyBorder="1" applyFont="1" applyNumberFormat="1">
      <alignment horizontal="center" readingOrder="0" vertical="bottom"/>
    </xf>
    <xf borderId="28" fillId="12" fontId="1" numFmtId="49" xfId="0" applyAlignment="1" applyBorder="1" applyFont="1" applyNumberFormat="1">
      <alignment horizontal="center" readingOrder="0" vertical="bottom"/>
    </xf>
    <xf borderId="23" fillId="12" fontId="1" numFmtId="49" xfId="0" applyAlignment="1" applyBorder="1" applyFont="1" applyNumberFormat="1">
      <alignment horizontal="center" readingOrder="0" vertical="bottom"/>
    </xf>
    <xf borderId="1" fillId="12" fontId="1" numFmtId="0" xfId="0" applyAlignment="1" applyBorder="1" applyFont="1">
      <alignment horizontal="center" readingOrder="0" shrinkToFit="0" vertical="bottom" wrapText="1"/>
    </xf>
    <xf borderId="12" fillId="12" fontId="1" numFmtId="49" xfId="0" applyAlignment="1" applyBorder="1" applyFont="1" applyNumberFormat="1">
      <alignment horizontal="center" readingOrder="0"/>
    </xf>
    <xf borderId="13" fillId="12" fontId="1" numFmtId="49" xfId="0" applyAlignment="1" applyBorder="1" applyFont="1" applyNumberFormat="1">
      <alignment horizontal="center" readingOrder="0"/>
    </xf>
    <xf borderId="29" fillId="5" fontId="4" numFmtId="165" xfId="0" applyBorder="1" applyFont="1" applyNumberFormat="1"/>
    <xf borderId="23" fillId="12" fontId="1" numFmtId="49" xfId="0" applyAlignment="1" applyBorder="1" applyFont="1" applyNumberFormat="1">
      <alignment horizontal="center"/>
    </xf>
    <xf borderId="12" fillId="12" fontId="1" numFmtId="49" xfId="0" applyAlignment="1" applyBorder="1" applyFont="1" applyNumberFormat="1">
      <alignment horizontal="center" vertical="bottom"/>
    </xf>
    <xf borderId="1" fillId="12" fontId="1" numFmtId="0" xfId="0" applyAlignment="1" applyBorder="1" applyFont="1">
      <alignment horizontal="center" readingOrder="0" vertical="bottom"/>
    </xf>
    <xf borderId="1" fillId="12" fontId="1" numFmtId="0" xfId="0" applyAlignment="1" applyBorder="1" applyFont="1">
      <alignment horizontal="center" readingOrder="0" shrinkToFit="0" wrapText="1"/>
    </xf>
    <xf borderId="1" fillId="12" fontId="1" numFmtId="0" xfId="0" applyAlignment="1" applyBorder="1" applyFont="1">
      <alignment horizontal="center" readingOrder="0"/>
    </xf>
    <xf borderId="18" fillId="12" fontId="1" numFmtId="49" xfId="0" applyAlignment="1" applyBorder="1" applyFont="1" applyNumberFormat="1">
      <alignment horizontal="center" readingOrder="0"/>
    </xf>
    <xf borderId="23" fillId="3" fontId="1" numFmtId="49" xfId="0" applyAlignment="1" applyBorder="1" applyFont="1" applyNumberFormat="1">
      <alignment horizontal="center"/>
    </xf>
    <xf borderId="1" fillId="2" fontId="4" numFmtId="0" xfId="0" applyBorder="1" applyFont="1"/>
    <xf borderId="18" fillId="2" fontId="4" numFmtId="0" xfId="0" applyBorder="1" applyFont="1"/>
    <xf borderId="30" fillId="12" fontId="1" numFmtId="49" xfId="0" applyAlignment="1" applyBorder="1" applyFont="1" applyNumberFormat="1">
      <alignment horizontal="center"/>
    </xf>
    <xf borderId="31" fillId="12" fontId="1" numFmtId="49" xfId="0" applyAlignment="1" applyBorder="1" applyFont="1" applyNumberFormat="1">
      <alignment horizontal="center" vertical="bottom"/>
    </xf>
    <xf borderId="32" fillId="12" fontId="1" numFmtId="0" xfId="0" applyAlignment="1" applyBorder="1" applyFon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vertical="bottom"/>
    </xf>
    <xf borderId="29" fillId="12" fontId="1" numFmtId="0" xfId="0" applyAlignment="1" applyBorder="1" applyFont="1">
      <alignment horizontal="center" readingOrder="0" shrinkToFit="0" wrapText="1"/>
    </xf>
    <xf borderId="24" fillId="12" fontId="9" numFmtId="49" xfId="0" applyAlignment="1" applyBorder="1" applyFont="1" applyNumberFormat="1">
      <alignment horizontal="center" readingOrder="0" vertical="bottom"/>
    </xf>
    <xf borderId="33" fillId="7" fontId="1" numFmtId="49" xfId="0" applyAlignment="1" applyBorder="1" applyFont="1" applyNumberFormat="1">
      <alignment horizontal="center" readingOrder="0"/>
    </xf>
    <xf borderId="26" fillId="7" fontId="1" numFmtId="49" xfId="0" applyAlignment="1" applyBorder="1" applyFont="1" applyNumberFormat="1">
      <alignment horizontal="center" readingOrder="0"/>
    </xf>
    <xf borderId="34" fillId="7" fontId="1" numFmtId="49" xfId="0" applyAlignment="1" applyBorder="1" applyFont="1" applyNumberFormat="1">
      <alignment horizontal="center" readingOrder="0"/>
    </xf>
    <xf borderId="15" fillId="5" fontId="4" numFmtId="49" xfId="0" applyBorder="1" applyFont="1" applyNumberFormat="1"/>
    <xf borderId="35" fillId="12" fontId="1" numFmtId="49" xfId="0" applyAlignment="1" applyBorder="1" applyFont="1" applyNumberFormat="1">
      <alignment horizontal="center" readingOrder="0" vertical="bottom"/>
    </xf>
    <xf borderId="32" fillId="12" fontId="1" numFmtId="49" xfId="0" applyAlignment="1" applyBorder="1" applyFont="1" applyNumberFormat="1">
      <alignment horizontal="center" readingOrder="0" vertical="bottom"/>
    </xf>
    <xf borderId="36" fillId="12" fontId="1" numFmtId="0" xfId="0" applyAlignment="1" applyBorder="1" applyFont="1">
      <alignment horizontal="center" readingOrder="0" vertical="bottom"/>
    </xf>
    <xf borderId="26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/>
    </xf>
    <xf borderId="37" fillId="12" fontId="1" numFmtId="49" xfId="0" applyAlignment="1" applyBorder="1" applyFont="1" applyNumberFormat="1">
      <alignment horizontal="center" readingOrder="0"/>
    </xf>
    <xf borderId="38" fillId="12" fontId="1" numFmtId="49" xfId="0" applyAlignment="1" applyBorder="1" applyFont="1" applyNumberFormat="1">
      <alignment horizontal="center" readingOrder="0"/>
    </xf>
    <xf borderId="16" fillId="7" fontId="1" numFmtId="49" xfId="0" applyAlignment="1" applyBorder="1" applyFont="1" applyNumberFormat="1">
      <alignment horizontal="center" readingOrder="0"/>
    </xf>
    <xf borderId="30" fillId="5" fontId="4" numFmtId="165" xfId="0" applyAlignment="1" applyBorder="1" applyFont="1" applyNumberFormat="1">
      <alignment vertical="bottom"/>
    </xf>
    <xf borderId="32" fillId="12" fontId="1" numFmtId="49" xfId="0" applyAlignment="1" applyBorder="1" applyFont="1" applyNumberFormat="1">
      <alignment horizontal="center" vertical="bottom"/>
    </xf>
    <xf borderId="37" fillId="12" fontId="1" numFmtId="49" xfId="0" applyAlignment="1" applyBorder="1" applyFont="1" applyNumberFormat="1">
      <alignment horizontal="center" vertical="bottom"/>
    </xf>
    <xf borderId="0" fillId="12" fontId="1" numFmtId="0" xfId="0" applyAlignment="1" applyFont="1">
      <alignment horizontal="center" readingOrder="0" vertical="bottom"/>
    </xf>
    <xf borderId="37" fillId="12" fontId="1" numFmtId="0" xfId="0" applyAlignment="1" applyBorder="1" applyFont="1">
      <alignment horizontal="center" readingOrder="0"/>
    </xf>
    <xf borderId="39" fillId="12" fontId="1" numFmtId="49" xfId="0" applyAlignment="1" applyBorder="1" applyFont="1" applyNumberFormat="1">
      <alignment horizontal="center" readingOrder="0"/>
    </xf>
    <xf borderId="30" fillId="7" fontId="1" numFmtId="49" xfId="0" applyAlignment="1" applyBorder="1" applyFont="1" applyNumberFormat="1">
      <alignment horizontal="right" readingOrder="0" shrinkToFit="0" wrapText="1"/>
    </xf>
    <xf borderId="31" fillId="7" fontId="1" numFmtId="49" xfId="0" applyAlignment="1" applyBorder="1" applyFont="1" applyNumberFormat="1">
      <alignment horizontal="center" readingOrder="0"/>
    </xf>
    <xf borderId="9" fillId="7" fontId="1" numFmtId="49" xfId="0" applyAlignment="1" applyBorder="1" applyFont="1" applyNumberFormat="1">
      <alignment horizontal="center" readingOrder="0"/>
    </xf>
    <xf borderId="31" fillId="3" fontId="1" numFmtId="49" xfId="0" applyAlignment="1" applyBorder="1" applyFont="1" applyNumberFormat="1">
      <alignment horizontal="center" vertical="bottom"/>
    </xf>
    <xf borderId="37" fillId="2" fontId="4" numFmtId="0" xfId="0" applyAlignment="1" applyBorder="1" applyFont="1">
      <alignment vertical="bottom"/>
    </xf>
    <xf borderId="37" fillId="2" fontId="4" numFmtId="49" xfId="0" applyAlignment="1" applyBorder="1" applyFont="1" applyNumberFormat="1">
      <alignment vertical="bottom"/>
    </xf>
    <xf borderId="39" fillId="2" fontId="4" numFmtId="49" xfId="0" applyAlignment="1" applyBorder="1" applyFont="1" applyNumberFormat="1">
      <alignment vertical="bottom"/>
    </xf>
    <xf borderId="30" fillId="7" fontId="4" numFmtId="49" xfId="0" applyBorder="1" applyFont="1" applyNumberFormat="1"/>
    <xf borderId="15" fillId="7" fontId="4" numFmtId="49" xfId="0" applyBorder="1" applyFont="1" applyNumberFormat="1"/>
    <xf borderId="31" fillId="7" fontId="4" numFmtId="49" xfId="0" applyBorder="1" applyFont="1" applyNumberFormat="1"/>
    <xf borderId="9" fillId="7" fontId="4" numFmtId="49" xfId="0" applyBorder="1" applyFont="1" applyNumberFormat="1"/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40" fillId="2" fontId="4" numFmtId="166" xfId="0" applyBorder="1" applyFont="1" applyNumberFormat="1"/>
    <xf borderId="40" fillId="0" fontId="3" numFmtId="0" xfId="0" applyBorder="1" applyFont="1"/>
    <xf borderId="41" fillId="0" fontId="3" numFmtId="0" xfId="0" applyBorder="1" applyFont="1"/>
    <xf borderId="0" fillId="2" fontId="4" numFmtId="49" xfId="0" applyAlignment="1" applyFont="1" applyNumberFormat="1">
      <alignment readingOrder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5" xfId="0" applyAlignment="1" applyFont="1" applyNumberFormat="1">
      <alignment vertical="bottom"/>
    </xf>
    <xf borderId="0" fillId="5" fontId="4" numFmtId="165" xfId="0" applyAlignment="1" applyFont="1" applyNumberFormat="1">
      <alignment vertical="bottom"/>
    </xf>
    <xf borderId="0" fillId="5" fontId="4" numFmtId="0" xfId="0" applyAlignment="1" applyFont="1">
      <alignment vertical="bottom"/>
    </xf>
    <xf borderId="42" fillId="5" fontId="1" numFmtId="0" xfId="0" applyAlignment="1" applyBorder="1" applyFont="1">
      <alignment horizontal="center" vertical="bottom"/>
    </xf>
    <xf borderId="7" fillId="2" fontId="1" numFmtId="49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ont="1">
      <alignment readingOrder="0"/>
    </xf>
    <xf borderId="43" fillId="2" fontId="10" numFmtId="166" xfId="0" applyAlignment="1" applyBorder="1" applyFont="1" applyNumberFormat="1">
      <alignment horizontal="center" readingOrder="0" shrinkToFit="0" wrapText="0"/>
    </xf>
    <xf borderId="7" fillId="2" fontId="1" numFmtId="0" xfId="0" applyAlignment="1" applyBorder="1" applyFont="1">
      <alignment horizontal="center" readingOrder="0" shrinkToFit="0" vertical="bottom" wrapText="1"/>
    </xf>
    <xf borderId="0" fillId="2" fontId="4" numFmtId="0" xfId="0" applyAlignment="1" applyFont="1">
      <alignment horizontal="right" shrinkToFit="0" wrapText="1"/>
    </xf>
    <xf borderId="0" fillId="2" fontId="4" numFmtId="0" xfId="0" applyFont="1"/>
    <xf borderId="0" fillId="5" fontId="4" numFmtId="0" xfId="0" applyFont="1"/>
    <xf borderId="2" fillId="4" fontId="11" numFmtId="49" xfId="0" applyAlignment="1" applyBorder="1" applyFont="1" applyNumberFormat="1">
      <alignment horizontal="center"/>
    </xf>
    <xf borderId="44" fillId="0" fontId="3" numFmtId="0" xfId="0" applyBorder="1" applyFont="1"/>
    <xf borderId="0" fillId="4" fontId="11" numFmtId="49" xfId="0" applyAlignment="1" applyFont="1" applyNumberFormat="1">
      <alignment horizontal="center"/>
    </xf>
    <xf borderId="18" fillId="2" fontId="1" numFmtId="0" xfId="0" applyAlignment="1" applyBorder="1" applyFont="1">
      <alignment horizontal="center" vertical="bottom"/>
    </xf>
    <xf borderId="45" fillId="2" fontId="1" numFmtId="0" xfId="0" applyAlignment="1" applyBorder="1" applyFont="1">
      <alignment horizontal="center"/>
    </xf>
    <xf borderId="46" fillId="0" fontId="3" numFmtId="0" xfId="0" applyBorder="1" applyFont="1"/>
    <xf borderId="47" fillId="0" fontId="3" numFmtId="0" xfId="0" applyBorder="1" applyFont="1"/>
    <xf borderId="48" fillId="2" fontId="1" numFmtId="0" xfId="0" applyAlignment="1" applyBorder="1" applyFont="1">
      <alignment horizontal="center" shrinkToFit="0" wrapText="1"/>
    </xf>
    <xf borderId="49" fillId="3" fontId="1" numFmtId="0" xfId="0" applyAlignment="1" applyBorder="1" applyFont="1">
      <alignment horizontal="center" shrinkToFit="0" wrapText="1"/>
    </xf>
    <xf borderId="5" fillId="6" fontId="4" numFmtId="0" xfId="0" applyBorder="1" applyFont="1"/>
    <xf borderId="6" fillId="0" fontId="3" numFmtId="0" xfId="0" applyBorder="1" applyFont="1"/>
    <xf borderId="6" fillId="6" fontId="1" numFmtId="0" xfId="0" applyAlignment="1" applyBorder="1" applyFont="1">
      <alignment horizontal="center"/>
    </xf>
    <xf borderId="20" fillId="6" fontId="1" numFmtId="0" xfId="0" applyAlignment="1" applyBorder="1" applyFont="1">
      <alignment horizontal="center"/>
    </xf>
    <xf borderId="22" fillId="6" fontId="4" numFmtId="0" xfId="0" applyBorder="1" applyFont="1"/>
    <xf borderId="50" fillId="3" fontId="1" numFmtId="0" xfId="0" applyAlignment="1" applyBorder="1" applyFont="1">
      <alignment horizontal="center" shrinkToFit="0" wrapText="1"/>
    </xf>
    <xf borderId="5" fillId="12" fontId="4" numFmtId="0" xfId="0" applyBorder="1" applyFont="1"/>
    <xf borderId="20" fillId="12" fontId="1" numFmtId="0" xfId="0" applyAlignment="1" applyBorder="1" applyFont="1">
      <alignment horizontal="center"/>
    </xf>
    <xf borderId="4" fillId="12" fontId="4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1"/>
    </xf>
    <xf borderId="51" fillId="3" fontId="1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right" readingOrder="0" shrinkToFit="0" wrapText="1"/>
    </xf>
    <xf borderId="13" fillId="0" fontId="3" numFmtId="0" xfId="0" applyBorder="1" applyFont="1"/>
    <xf borderId="27" fillId="0" fontId="3" numFmtId="0" xfId="0" applyBorder="1" applyFont="1"/>
    <xf borderId="1" fillId="2" fontId="12" numFmtId="0" xfId="0" applyAlignment="1" applyBorder="1" applyFont="1">
      <alignment vertical="bottom"/>
    </xf>
    <xf borderId="13" fillId="10" fontId="1" numFmtId="0" xfId="0" applyAlignment="1" applyBorder="1" applyFont="1">
      <alignment horizontal="center" vertical="bottom"/>
    </xf>
    <xf borderId="12" fillId="0" fontId="3" numFmtId="0" xfId="0" applyBorder="1" applyFont="1"/>
    <xf borderId="23" fillId="10" fontId="1" numFmtId="0" xfId="0" applyAlignment="1" applyBorder="1" applyFont="1">
      <alignment horizontal="center" shrinkToFit="0" vertical="bottom" wrapText="1"/>
    </xf>
    <xf borderId="24" fillId="2" fontId="1" numFmtId="0" xfId="0" applyAlignment="1" applyBorder="1" applyFont="1">
      <alignment horizontal="center" readingOrder="0" vertical="bottom"/>
    </xf>
    <xf borderId="11" fillId="7" fontId="1" numFmtId="0" xfId="0" applyAlignment="1" applyBorder="1" applyFont="1">
      <alignment horizontal="center" readingOrder="0"/>
    </xf>
    <xf borderId="25" fillId="2" fontId="1" numFmtId="0" xfId="0" applyAlignment="1" applyBorder="1" applyFont="1">
      <alignment horizontal="center" readingOrder="0" vertical="bottom"/>
    </xf>
    <xf borderId="0" fillId="2" fontId="4" numFmtId="0" xfId="0" applyFont="1"/>
    <xf borderId="52" fillId="10" fontId="1" numFmtId="0" xfId="0" applyAlignment="1" applyBorder="1" applyFont="1">
      <alignment horizontal="center" vertical="bottom"/>
    </xf>
    <xf borderId="13" fillId="10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 vertical="bottom"/>
    </xf>
    <xf borderId="53" fillId="6" fontId="1" numFmtId="0" xfId="0" applyAlignment="1" applyBorder="1" applyFont="1">
      <alignment horizontal="center" readingOrder="0" vertical="bottom"/>
    </xf>
    <xf borderId="0" fillId="13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23" fillId="10" fontId="1" numFmtId="0" xfId="0" applyAlignment="1" applyBorder="1" applyFont="1">
      <alignment horizontal="center" readingOrder="0" vertical="bottom"/>
    </xf>
    <xf borderId="53" fillId="12" fontId="1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right" shrinkToFit="0" vertical="bottom" wrapText="1"/>
    </xf>
    <xf borderId="0" fillId="2" fontId="4" numFmtId="0" xfId="0" applyAlignment="1" applyFont="1">
      <alignment vertical="bottom"/>
    </xf>
    <xf borderId="30" fillId="4" fontId="1" numFmtId="49" xfId="0" applyAlignment="1" applyBorder="1" applyFont="1" applyNumberFormat="1">
      <alignment horizontal="center"/>
    </xf>
    <xf borderId="31" fillId="4" fontId="6" numFmtId="49" xfId="0" applyAlignment="1" applyBorder="1" applyFont="1" applyNumberFormat="1">
      <alignment horizontal="center"/>
    </xf>
    <xf borderId="15" fillId="4" fontId="7" numFmtId="49" xfId="0" applyAlignment="1" applyBorder="1" applyFont="1" applyNumberFormat="1">
      <alignment horizontal="center"/>
    </xf>
    <xf borderId="44" fillId="4" fontId="11" numFmtId="49" xfId="0" applyAlignment="1" applyBorder="1" applyFont="1" applyNumberFormat="1">
      <alignment horizontal="center"/>
    </xf>
    <xf borderId="1" fillId="4" fontId="12" numFmtId="0" xfId="0" applyAlignment="1" applyBorder="1" applyFont="1">
      <alignment vertical="bottom"/>
    </xf>
    <xf borderId="10" fillId="10" fontId="1" numFmtId="0" xfId="0" applyAlignment="1" applyBorder="1" applyFont="1">
      <alignment horizontal="center" vertical="bottom"/>
    </xf>
    <xf borderId="7" fillId="0" fontId="3" numFmtId="0" xfId="0" applyBorder="1" applyFont="1"/>
    <xf borderId="1" fillId="10" fontId="1" numFmtId="0" xfId="0" applyAlignment="1" applyBorder="1" applyFont="1">
      <alignment horizontal="center" shrinkToFit="0" vertical="bottom" wrapText="1"/>
    </xf>
    <xf borderId="54" fillId="10" fontId="1" numFmtId="0" xfId="0" applyAlignment="1" applyBorder="1" applyFont="1">
      <alignment horizontal="center" vertical="bottom"/>
    </xf>
    <xf borderId="13" fillId="10" fontId="1" numFmtId="0" xfId="0" applyAlignment="1" applyBorder="1" applyFont="1">
      <alignment horizontal="center"/>
    </xf>
    <xf borderId="24" fillId="10" fontId="1" numFmtId="0" xfId="0" applyAlignment="1" applyBorder="1" applyFont="1">
      <alignment horizontal="center"/>
    </xf>
    <xf borderId="53" fillId="9" fontId="1" numFmtId="0" xfId="0" applyAlignment="1" applyBorder="1" applyFont="1">
      <alignment horizontal="center" readingOrder="0" vertical="bottom"/>
    </xf>
    <xf borderId="0" fillId="2" fontId="4" numFmtId="49" xfId="0" applyAlignment="1" applyFont="1" applyNumberFormat="1">
      <alignment vertical="bottom"/>
    </xf>
    <xf borderId="28" fillId="12" fontId="1" numFmtId="49" xfId="0" applyAlignment="1" applyBorder="1" applyFont="1" applyNumberFormat="1">
      <alignment horizontal="center" vertical="bottom"/>
    </xf>
    <xf borderId="12" fillId="12" fontId="1" numFmtId="49" xfId="0" applyAlignment="1" applyBorder="1" applyFont="1" applyNumberFormat="1">
      <alignment horizontal="center" readingOrder="0" vertical="bottom"/>
    </xf>
    <xf borderId="13" fillId="2" fontId="11" numFmtId="49" xfId="0" applyAlignment="1" applyBorder="1" applyFont="1" applyNumberFormat="1">
      <alignment horizontal="center"/>
    </xf>
    <xf borderId="28" fillId="7" fontId="11" numFmtId="49" xfId="0" applyAlignment="1" applyBorder="1" applyFont="1" applyNumberFormat="1">
      <alignment horizontal="center"/>
    </xf>
    <xf borderId="23" fillId="7" fontId="11" numFmtId="49" xfId="0" applyAlignment="1" applyBorder="1" applyFont="1" applyNumberFormat="1">
      <alignment horizontal="center"/>
    </xf>
    <xf borderId="53" fillId="7" fontId="11" numFmtId="49" xfId="0" applyAlignment="1" applyBorder="1" applyFont="1" applyNumberFormat="1">
      <alignment horizontal="center"/>
    </xf>
    <xf borderId="13" fillId="4" fontId="11" numFmtId="49" xfId="0" applyAlignment="1" applyBorder="1" applyFont="1" applyNumberFormat="1">
      <alignment horizontal="center"/>
    </xf>
    <xf borderId="27" fillId="4" fontId="11" numFmtId="49" xfId="0" applyAlignment="1" applyBorder="1" applyFont="1" applyNumberFormat="1">
      <alignment horizontal="center"/>
    </xf>
    <xf borderId="54" fillId="4" fontId="1" numFmtId="0" xfId="0" applyAlignment="1" applyBorder="1" applyFont="1">
      <alignment horizontal="center" vertical="bottom"/>
    </xf>
    <xf borderId="23" fillId="4" fontId="1" numFmtId="0" xfId="0" applyAlignment="1" applyBorder="1" applyFont="1">
      <alignment horizontal="center" readingOrder="0" vertical="bottom"/>
    </xf>
    <xf borderId="28" fillId="6" fontId="1" numFmtId="49" xfId="0" applyAlignment="1" applyBorder="1" applyFont="1" applyNumberFormat="1">
      <alignment horizontal="center" vertical="bottom"/>
    </xf>
    <xf borderId="12" fillId="6" fontId="1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bottom"/>
    </xf>
    <xf borderId="1" fillId="7" fontId="1" numFmtId="49" xfId="0" applyAlignment="1" applyBorder="1" applyFont="1" applyNumberFormat="1">
      <alignment horizontal="center" readingOrder="0" vertical="bottom"/>
    </xf>
    <xf borderId="25" fillId="7" fontId="1" numFmtId="49" xfId="0" applyAlignment="1" applyBorder="1" applyFont="1" applyNumberFormat="1">
      <alignment horizontal="center" readingOrder="0" vertical="bottom"/>
    </xf>
    <xf borderId="0" fillId="7" fontId="1" numFmtId="49" xfId="0" applyAlignment="1" applyFont="1" applyNumberFormat="1">
      <alignment horizontal="center" readingOrder="0" vertical="bottom"/>
    </xf>
    <xf borderId="10" fillId="10" fontId="1" numFmtId="0" xfId="0" applyAlignment="1" applyBorder="1" applyFont="1">
      <alignment horizontal="center" vertical="bottom"/>
    </xf>
    <xf borderId="24" fillId="9" fontId="13" numFmtId="0" xfId="0" applyAlignment="1" applyBorder="1" applyFont="1">
      <alignment horizontal="center" readingOrder="0" vertical="bottom"/>
    </xf>
    <xf borderId="7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0" fillId="0" fontId="4" numFmtId="0" xfId="0" applyFont="1"/>
    <xf borderId="0" fillId="2" fontId="4" numFmtId="0" xfId="0" applyAlignment="1" applyFont="1">
      <alignment horizontal="right" shrinkToFit="0" wrapText="1"/>
    </xf>
    <xf borderId="7" fillId="7" fontId="1" numFmtId="49" xfId="0" applyAlignment="1" applyBorder="1" applyFont="1" applyNumberFormat="1">
      <alignment horizontal="center" readingOrder="0"/>
    </xf>
    <xf borderId="0" fillId="7" fontId="1" numFmtId="49" xfId="0" applyAlignment="1" applyFont="1" applyNumberFormat="1">
      <alignment horizontal="center" readingOrder="0"/>
    </xf>
    <xf borderId="24" fillId="2" fontId="13" numFmtId="0" xfId="0" applyAlignment="1" applyBorder="1" applyFont="1">
      <alignment horizontal="center" readingOrder="0" vertical="bottom"/>
    </xf>
    <xf borderId="0" fillId="2" fontId="4" numFmtId="0" xfId="0" applyAlignment="1" applyFont="1">
      <alignment vertical="bottom"/>
    </xf>
    <xf borderId="54" fillId="9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vertical="bottom"/>
    </xf>
    <xf borderId="10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0" fillId="2" fontId="4" numFmtId="49" xfId="0" applyFont="1" applyNumberFormat="1"/>
    <xf borderId="54" fillId="4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/>
    </xf>
    <xf borderId="0" fillId="2" fontId="4" numFmtId="0" xfId="0" applyFont="1"/>
    <xf borderId="0" fillId="0" fontId="4" numFmtId="49" xfId="0" applyFont="1" applyNumberFormat="1"/>
    <xf borderId="0" fillId="2" fontId="4" numFmtId="49" xfId="0" applyAlignment="1" applyFont="1" applyNumberFormat="1">
      <alignment horizontal="right" shrinkToFit="0" wrapText="1"/>
    </xf>
    <xf borderId="0" fillId="5" fontId="4" numFmtId="49" xfId="0" applyFont="1" applyNumberFormat="1"/>
    <xf borderId="7" fillId="14" fontId="1" numFmtId="0" xfId="0" applyAlignment="1" applyBorder="1" applyFill="1" applyFont="1">
      <alignment horizontal="center" readingOrder="0"/>
    </xf>
    <xf borderId="10" fillId="4" fontId="1" numFmtId="0" xfId="0" applyAlignment="1" applyBorder="1" applyFont="1">
      <alignment horizontal="center" vertical="bottom"/>
    </xf>
    <xf borderId="54" fillId="9" fontId="1" numFmtId="49" xfId="0" applyAlignment="1" applyBorder="1" applyFont="1" applyNumberFormat="1">
      <alignment horizontal="center" vertical="bottom"/>
    </xf>
    <xf borderId="7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vertical="bottom"/>
    </xf>
    <xf borderId="55" fillId="7" fontId="1" numFmtId="165" xfId="0" applyAlignment="1" applyBorder="1" applyFont="1" applyNumberFormat="1">
      <alignment horizontal="center" vertical="bottom"/>
    </xf>
    <xf borderId="30" fillId="0" fontId="3" numFmtId="0" xfId="0" applyBorder="1" applyFont="1"/>
    <xf borderId="31" fillId="7" fontId="4" numFmtId="49" xfId="0" applyAlignment="1" applyBorder="1" applyFont="1" applyNumberFormat="1">
      <alignment vertical="bottom"/>
    </xf>
    <xf borderId="9" fillId="7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readingOrder="0" vertical="bottom"/>
    </xf>
    <xf borderId="0" fillId="2" fontId="4" numFmtId="165" xfId="0" applyFont="1" applyNumberFormat="1"/>
    <xf borderId="0" fillId="2" fontId="4" numFmtId="49" xfId="0" applyAlignment="1" applyFont="1" applyNumberFormat="1">
      <alignment horizontal="right" shrinkToFit="0" vertical="bottom" wrapText="1"/>
    </xf>
    <xf borderId="1" fillId="2" fontId="12" numFmtId="0" xfId="0" applyAlignment="1" applyBorder="1" applyFont="1">
      <alignment vertical="bottom"/>
    </xf>
    <xf borderId="0" fillId="2" fontId="4" numFmtId="166" xfId="0" applyFont="1" applyNumberFormat="1"/>
    <xf borderId="54" fillId="9" fontId="1" numFmtId="49" xfId="0" applyAlignment="1" applyBorder="1" applyFont="1" applyNumberFormat="1">
      <alignment horizontal="center" readingOrder="0" vertical="bottom"/>
    </xf>
    <xf borderId="53" fillId="9" fontId="1" numFmtId="0" xfId="0" applyAlignment="1" applyBorder="1" applyFont="1">
      <alignment horizontal="center" readingOrder="0" shrinkToFit="0" vertical="bottom" wrapText="1"/>
    </xf>
    <xf borderId="0" fillId="13" fontId="1" numFmtId="0" xfId="0" applyAlignment="1" applyFont="1">
      <alignment horizontal="center" readingOrder="0" shrinkToFit="0" wrapText="1"/>
    </xf>
    <xf borderId="0" fillId="0" fontId="4" numFmtId="166" xfId="0" applyFont="1" applyNumberFormat="1"/>
    <xf borderId="0" fillId="5" fontId="4" numFmtId="165" xfId="0" applyFont="1" applyNumberFormat="1"/>
    <xf borderId="7" fillId="2" fontId="1" numFmtId="49" xfId="0" applyAlignment="1" applyBorder="1" applyFont="1" applyNumberFormat="1">
      <alignment horizontal="center" readingOrder="0"/>
    </xf>
    <xf borderId="7" fillId="7" fontId="1" numFmtId="49" xfId="0" applyAlignment="1" applyBorder="1" applyFont="1" applyNumberFormat="1">
      <alignment horizontal="center" readingOrder="0" shrinkToFit="0" wrapText="1"/>
    </xf>
    <xf borderId="10" fillId="7" fontId="1" numFmtId="49" xfId="0" applyAlignment="1" applyBorder="1" applyFont="1" applyNumberFormat="1">
      <alignment horizontal="center" readingOrder="0" shrinkToFit="0" wrapText="1"/>
    </xf>
    <xf borderId="1" fillId="7" fontId="1" numFmtId="49" xfId="0" applyAlignment="1" applyBorder="1" applyFont="1" applyNumberFormat="1">
      <alignment horizontal="center" readingOrder="0" shrinkToFit="0" wrapText="1"/>
    </xf>
    <xf borderId="25" fillId="7" fontId="6" numFmtId="49" xfId="0" applyAlignment="1" applyBorder="1" applyFont="1" applyNumberFormat="1">
      <alignment horizontal="center" readingOrder="0" shrinkToFit="0" wrapText="1"/>
    </xf>
    <xf borderId="0" fillId="7" fontId="6" numFmtId="49" xfId="0" applyAlignment="1" applyFont="1" applyNumberFormat="1">
      <alignment horizontal="center" readingOrder="0" shrinkToFit="0" wrapText="1"/>
    </xf>
    <xf borderId="1" fillId="2" fontId="14" numFmtId="0" xfId="0" applyAlignment="1" applyBorder="1" applyFont="1">
      <alignment vertical="bottom"/>
    </xf>
    <xf borderId="24" fillId="9" fontId="1" numFmtId="0" xfId="0" applyAlignment="1" applyBorder="1" applyFont="1">
      <alignment horizontal="center" readingOrder="0" vertical="bottom"/>
    </xf>
    <xf borderId="54" fillId="2" fontId="4" numFmtId="166" xfId="0" applyAlignment="1" applyBorder="1" applyFont="1" applyNumberFormat="1">
      <alignment vertical="bottom"/>
    </xf>
    <xf borderId="7" fillId="2" fontId="4" numFmtId="166" xfId="0" applyAlignment="1" applyBorder="1" applyFont="1" applyNumberFormat="1">
      <alignment vertical="bottom"/>
    </xf>
    <xf borderId="1" fillId="2" fontId="4" numFmtId="166" xfId="0" applyAlignment="1" applyBorder="1" applyFont="1" applyNumberFormat="1">
      <alignment vertical="bottom"/>
    </xf>
    <xf borderId="25" fillId="2" fontId="4" numFmtId="166" xfId="0" applyAlignment="1" applyBorder="1" applyFont="1" applyNumberFormat="1">
      <alignment vertical="bottom"/>
    </xf>
    <xf borderId="38" fillId="2" fontId="4" numFmtId="166" xfId="0" applyBorder="1" applyFont="1" applyNumberFormat="1"/>
    <xf borderId="0" fillId="5" fontId="4" numFmtId="0" xfId="0" applyFont="1"/>
    <xf borderId="25" fillId="7" fontId="1" numFmtId="49" xfId="0" applyAlignment="1" applyBorder="1" applyFont="1" applyNumberFormat="1">
      <alignment horizontal="center" readingOrder="0" shrinkToFit="0" wrapText="1"/>
    </xf>
    <xf borderId="0" fillId="7" fontId="1" numFmtId="49" xfId="0" applyAlignment="1" applyFont="1" applyNumberFormat="1">
      <alignment horizontal="center" readingOrder="0" shrinkToFit="0" wrapText="1"/>
    </xf>
    <xf borderId="1" fillId="4" fontId="12" numFmtId="0" xfId="0" applyAlignment="1" applyBorder="1" applyFont="1">
      <alignment readingOrder="0" vertical="bottom"/>
    </xf>
    <xf borderId="11" fillId="7" fontId="7" numFmtId="0" xfId="0" applyAlignment="1" applyBorder="1" applyFont="1">
      <alignment horizontal="center" readingOrder="0"/>
    </xf>
    <xf borderId="54" fillId="2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5" fillId="2" fontId="4" numFmtId="0" xfId="0" applyAlignment="1" applyBorder="1" applyFont="1">
      <alignment vertical="bottom"/>
    </xf>
    <xf borderId="0" fillId="0" fontId="4" numFmtId="0" xfId="0" applyFont="1"/>
    <xf borderId="56" fillId="8" fontId="1" numFmtId="0" xfId="0" applyAlignment="1" applyBorder="1" applyFont="1">
      <alignment horizontal="center"/>
    </xf>
    <xf borderId="42" fillId="0" fontId="3" numFmtId="0" xfId="0" applyBorder="1" applyFont="1"/>
    <xf borderId="0" fillId="2" fontId="1" numFmtId="0" xfId="0" applyAlignment="1" applyFont="1">
      <alignment horizontal="center" shrinkToFit="0" wrapText="1"/>
    </xf>
    <xf borderId="50" fillId="3" fontId="1" numFmtId="0" xfId="0" applyAlignment="1" applyBorder="1" applyFont="1">
      <alignment horizontal="center" shrinkToFit="0" wrapText="1"/>
    </xf>
    <xf borderId="7" fillId="2" fontId="1" numFmtId="49" xfId="0" applyAlignment="1" applyBorder="1" applyFont="1" applyNumberFormat="1">
      <alignment horizontal="center" readingOrder="0" shrinkToFit="0" wrapText="1"/>
    </xf>
    <xf borderId="56" fillId="0" fontId="3" numFmtId="0" xfId="0" applyBorder="1" applyFont="1"/>
    <xf borderId="50" fillId="0" fontId="3" numFmtId="0" xfId="0" applyBorder="1" applyFont="1"/>
    <xf borderId="0" fillId="2" fontId="4" numFmtId="0" xfId="0" applyAlignment="1" applyFont="1">
      <alignment horizontal="right" shrinkToFit="0" wrapText="1"/>
    </xf>
    <xf borderId="0" fillId="5" fontId="4" numFmtId="0" xfId="0" applyFont="1"/>
    <xf borderId="5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11" fillId="4" fontId="1" numFmtId="49" xfId="0" applyAlignment="1" applyBorder="1" applyFont="1" applyNumberFormat="1">
      <alignment horizontal="center" vertical="bottom"/>
    </xf>
    <xf borderId="25" fillId="0" fontId="1" numFmtId="49" xfId="0" applyAlignment="1" applyBorder="1" applyFont="1" applyNumberFormat="1">
      <alignment horizontal="center" readingOrder="0" shrinkToFit="0" vertical="bottom" wrapText="1"/>
    </xf>
    <xf borderId="10" fillId="7" fontId="4" numFmtId="165" xfId="0" applyBorder="1" applyFont="1" applyNumberFormat="1"/>
    <xf borderId="1" fillId="7" fontId="4" numFmtId="165" xfId="0" applyBorder="1" applyFont="1" applyNumberFormat="1"/>
    <xf borderId="55" fillId="7" fontId="1" numFmtId="0" xfId="0" applyAlignment="1" applyBorder="1" applyFont="1">
      <alignment horizontal="center" vertical="bottom"/>
    </xf>
    <xf borderId="38" fillId="7" fontId="4" numFmtId="0" xfId="0" applyAlignment="1" applyBorder="1" applyFont="1">
      <alignment vertical="bottom"/>
    </xf>
    <xf borderId="52" fillId="8" fontId="1" numFmtId="0" xfId="0" applyAlignment="1" applyBorder="1" applyFont="1">
      <alignment horizontal="center" vertical="bottom"/>
    </xf>
    <xf borderId="53" fillId="8" fontId="1" numFmtId="0" xfId="0" applyAlignment="1" applyBorder="1" applyFont="1">
      <alignment horizontal="center" readingOrder="0" vertical="bottom"/>
    </xf>
    <xf borderId="11" fillId="4" fontId="1" numFmtId="49" xfId="0" applyAlignment="1" applyBorder="1" applyFont="1" applyNumberFormat="1">
      <alignment horizontal="center"/>
    </xf>
    <xf borderId="25" fillId="0" fontId="4" numFmtId="49" xfId="0" applyAlignment="1" applyBorder="1" applyFont="1" applyNumberFormat="1">
      <alignment vertical="bottom"/>
    </xf>
    <xf borderId="1" fillId="2" fontId="12" numFmtId="0" xfId="0" applyAlignment="1" applyBorder="1" applyFont="1">
      <alignment readingOrder="0" vertical="bottom"/>
    </xf>
    <xf borderId="0" fillId="2" fontId="4" numFmtId="0" xfId="0" applyAlignment="1" applyFont="1">
      <alignment vertical="bottom"/>
    </xf>
    <xf borderId="54" fillId="8" fontId="1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7" fillId="7" fontId="4" numFmtId="165" xfId="0" applyBorder="1" applyFont="1" applyNumberFormat="1"/>
    <xf borderId="25" fillId="7" fontId="4" numFmtId="165" xfId="0" applyBorder="1" applyFont="1" applyNumberFormat="1"/>
    <xf borderId="0" fillId="7" fontId="4" numFmtId="165" xfId="0" applyFont="1" applyNumberFormat="1"/>
    <xf borderId="53" fillId="2" fontId="1" numFmtId="0" xfId="0" applyAlignment="1" applyBorder="1" applyFont="1">
      <alignment horizontal="center" readingOrder="0" vertical="bottom"/>
    </xf>
    <xf borderId="7" fillId="7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8" fillId="8" fontId="1" numFmtId="0" xfId="0" applyAlignment="1" applyBorder="1" applyFont="1">
      <alignment horizontal="center" readingOrder="0" vertical="bottom"/>
    </xf>
    <xf borderId="7" fillId="4" fontId="1" numFmtId="49" xfId="0" applyAlignment="1" applyBorder="1" applyFont="1" applyNumberFormat="1">
      <alignment horizontal="center" vertical="bottom"/>
    </xf>
    <xf borderId="25" fillId="2" fontId="4" numFmtId="0" xfId="0" applyAlignment="1" applyBorder="1" applyFont="1">
      <alignment vertical="bottom"/>
    </xf>
    <xf borderId="25" fillId="8" fontId="1" numFmtId="0" xfId="0" applyAlignment="1" applyBorder="1" applyFont="1">
      <alignment horizontal="center" readingOrder="0" shrinkToFit="0" vertical="bottom" wrapText="1"/>
    </xf>
    <xf borderId="25" fillId="9" fontId="1" numFmtId="0" xfId="0" applyAlignment="1" applyBorder="1" applyFont="1">
      <alignment horizontal="center" readingOrder="0" shrinkToFit="0" vertical="bottom" wrapText="1"/>
    </xf>
    <xf borderId="58" fillId="4" fontId="1" numFmtId="49" xfId="0" applyAlignment="1" applyBorder="1" applyFont="1" applyNumberFormat="1">
      <alignment horizontal="center" vertical="bottom"/>
    </xf>
    <xf borderId="59" fillId="4" fontId="1" numFmtId="49" xfId="0" applyAlignment="1" applyBorder="1" applyFont="1" applyNumberFormat="1">
      <alignment horizontal="center" vertical="bottom"/>
    </xf>
    <xf borderId="60" fillId="2" fontId="4" numFmtId="0" xfId="0" applyAlignment="1" applyBorder="1" applyFont="1">
      <alignment vertical="bottom"/>
    </xf>
    <xf borderId="61" fillId="2" fontId="4" numFmtId="0" xfId="0" applyAlignment="1" applyBorder="1" applyFont="1">
      <alignment vertical="bottom"/>
    </xf>
    <xf borderId="62" fillId="7" fontId="4" numFmtId="49" xfId="0" applyBorder="1" applyFont="1" applyNumberFormat="1"/>
    <xf borderId="63" fillId="7" fontId="4" numFmtId="49" xfId="0" applyBorder="1" applyFont="1" applyNumberFormat="1"/>
    <xf borderId="60" fillId="7" fontId="4" numFmtId="49" xfId="0" applyBorder="1" applyFont="1" applyNumberFormat="1"/>
    <xf borderId="61" fillId="7" fontId="4" numFmtId="49" xfId="0" applyBorder="1" applyFont="1" applyNumberFormat="1"/>
    <xf borderId="64" fillId="3" fontId="15" numFmtId="0" xfId="0" applyAlignment="1" applyBorder="1" applyFont="1">
      <alignment horizontal="center" shrinkToFit="0" vertical="center" wrapText="1"/>
    </xf>
    <xf borderId="65" fillId="3" fontId="15" numFmtId="0" xfId="0" applyAlignment="1" applyBorder="1" applyFont="1">
      <alignment horizontal="center" vertical="center"/>
    </xf>
    <xf borderId="54" fillId="8" fontId="4" numFmtId="0" xfId="0" applyAlignment="1" applyBorder="1" applyFont="1">
      <alignment vertical="bottom"/>
    </xf>
    <xf borderId="25" fillId="8" fontId="4" numFmtId="0" xfId="0" applyAlignment="1" applyBorder="1" applyFont="1">
      <alignment vertical="bottom"/>
    </xf>
    <xf borderId="0" fillId="0" fontId="4" numFmtId="0" xfId="0" applyAlignment="1" applyFont="1">
      <alignment horizontal="right" shrinkToFit="0" wrapText="1"/>
    </xf>
    <xf borderId="66" fillId="0" fontId="3" numFmtId="0" xfId="0" applyBorder="1" applyFont="1"/>
    <xf borderId="31" fillId="7" fontId="4" numFmtId="0" xfId="0" applyAlignment="1" applyBorder="1" applyFont="1">
      <alignment vertical="bottom"/>
    </xf>
    <xf borderId="7" fillId="7" fontId="1" numFmtId="0" xfId="0" applyAlignment="1" applyBorder="1" applyFont="1">
      <alignment horizontal="center" readingOrder="0" shrinkToFit="0" wrapText="1"/>
    </xf>
    <xf borderId="1" fillId="2" fontId="16" numFmtId="0" xfId="0" applyAlignment="1" applyBorder="1" applyFont="1">
      <alignment vertical="bottom"/>
    </xf>
    <xf borderId="10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shrinkToFit="0" vertical="bottom" wrapText="1"/>
    </xf>
    <xf borderId="0" fillId="0" fontId="17" numFmtId="0" xfId="0" applyFont="1"/>
    <xf borderId="0" fillId="2" fontId="4" numFmtId="0" xfId="0" applyAlignment="1" applyFont="1">
      <alignment horizontal="center"/>
    </xf>
    <xf borderId="1" fillId="4" fontId="16" numFmtId="0" xfId="0" applyAlignment="1" applyBorder="1" applyFont="1">
      <alignment readingOrder="0" vertical="bottom"/>
    </xf>
    <xf borderId="1" fillId="2" fontId="16" numFmtId="0" xfId="0" applyAlignment="1" applyBorder="1" applyFont="1">
      <alignment readingOrder="0" vertical="bottom"/>
    </xf>
    <xf borderId="10" fillId="9" fontId="4" numFmtId="0" xfId="0" applyAlignment="1" applyBorder="1" applyFont="1">
      <alignment vertical="bottom"/>
    </xf>
    <xf borderId="53" fillId="2" fontId="4" numFmtId="0" xfId="0" applyAlignment="1" applyBorder="1" applyFont="1">
      <alignment readingOrder="0" vertical="bottom"/>
    </xf>
    <xf borderId="25" fillId="2" fontId="4" numFmtId="0" xfId="0" applyBorder="1" applyFont="1"/>
    <xf borderId="67" fillId="2" fontId="4" numFmtId="0" xfId="0" applyAlignment="1" applyBorder="1" applyFont="1">
      <alignment vertical="bottom"/>
    </xf>
    <xf borderId="67" fillId="2" fontId="4" numFmtId="0" xfId="0" applyBorder="1" applyFont="1"/>
    <xf borderId="67" fillId="2" fontId="4" numFmtId="0" xfId="0" applyAlignment="1" applyBorder="1" applyFont="1">
      <alignment vertical="bottom"/>
    </xf>
    <xf borderId="68" fillId="2" fontId="4" numFmtId="0" xfId="0" applyAlignment="1" applyBorder="1" applyFont="1">
      <alignment vertical="bottom"/>
    </xf>
    <xf borderId="53" fillId="2" fontId="4" numFmtId="0" xfId="0" applyAlignment="1" applyBorder="1" applyFont="1">
      <alignment vertical="bottom"/>
    </xf>
    <xf borderId="10" fillId="2" fontId="4" numFmtId="0" xfId="0" applyAlignment="1" applyBorder="1" applyFont="1">
      <alignment vertical="bottom"/>
    </xf>
    <xf borderId="67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vertical="bottom"/>
    </xf>
    <xf borderId="26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5" fillId="7" fontId="18" numFmtId="0" xfId="0" applyAlignment="1" applyBorder="1" applyFont="1">
      <alignment horizontal="center" vertical="bottom"/>
    </xf>
    <xf borderId="38" fillId="7" fontId="4" numFmtId="0" xfId="0" applyBorder="1" applyFont="1"/>
    <xf borderId="39" fillId="7" fontId="4" numFmtId="0" xfId="0" applyBorder="1" applyFont="1"/>
    <xf borderId="0" fillId="7" fontId="4" numFmtId="0" xfId="0" applyFont="1"/>
    <xf borderId="0" fillId="7" fontId="19" numFmtId="0" xfId="0" applyFont="1"/>
    <xf borderId="0" fillId="7" fontId="4" numFmtId="0" xfId="0" applyAlignment="1" applyFont="1">
      <alignment horizontal="right" shrinkToFit="0" wrapText="1"/>
    </xf>
    <xf borderId="0" fillId="7" fontId="4" numFmtId="0" xfId="0" applyAlignment="1" applyFont="1">
      <alignment vertical="bottom"/>
    </xf>
    <xf borderId="0" fillId="7" fontId="19" numFmtId="0" xfId="0" applyAlignment="1" applyFont="1">
      <alignment vertical="bottom"/>
    </xf>
    <xf borderId="0" fillId="2" fontId="19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20" numFmtId="49" xfId="0" applyAlignment="1" applyFont="1" applyNumberFormat="1">
      <alignment horizontal="center" vertical="bottom"/>
    </xf>
    <xf borderId="0" fillId="0" fontId="19" numFmtId="49" xfId="0" applyAlignment="1" applyFont="1" applyNumberFormat="1">
      <alignment vertical="bottom"/>
    </xf>
    <xf borderId="69" fillId="2" fontId="19" numFmtId="0" xfId="0" applyAlignment="1" applyBorder="1" applyFont="1">
      <alignment vertical="bottom"/>
    </xf>
    <xf borderId="10" fillId="15" fontId="21" numFmtId="167" xfId="0" applyAlignment="1" applyBorder="1" applyFill="1" applyFont="1" applyNumberFormat="1">
      <alignment horizontal="center" vertical="bottom"/>
    </xf>
    <xf borderId="10" fillId="0" fontId="3" numFmtId="0" xfId="0" applyBorder="1" applyFont="1"/>
    <xf borderId="0" fillId="0" fontId="19" numFmtId="0" xfId="0" applyAlignment="1" applyFont="1">
      <alignment vertical="bottom"/>
    </xf>
    <xf borderId="13" fillId="0" fontId="19" numFmtId="0" xfId="0" applyAlignment="1" applyBorder="1" applyFont="1">
      <alignment vertical="bottom"/>
    </xf>
    <xf borderId="13" fillId="0" fontId="19" numFmtId="4" xfId="0" applyAlignment="1" applyBorder="1" applyFont="1" applyNumberFormat="1">
      <alignment vertical="bottom"/>
    </xf>
    <xf borderId="13" fillId="0" fontId="19" numFmtId="10" xfId="0" applyAlignment="1" applyBorder="1" applyFont="1" applyNumberFormat="1">
      <alignment vertical="bottom"/>
    </xf>
    <xf borderId="69" fillId="2" fontId="19" numFmtId="0" xfId="0" applyAlignment="1" applyBorder="1" applyFont="1">
      <alignment vertical="bottom"/>
    </xf>
    <xf borderId="18" fillId="16" fontId="22" numFmtId="0" xfId="0" applyAlignment="1" applyBorder="1" applyFill="1" applyFont="1">
      <alignment horizontal="center" vertical="bottom"/>
    </xf>
    <xf borderId="69" fillId="0" fontId="19" numFmtId="49" xfId="0" applyAlignment="1" applyBorder="1" applyFont="1" applyNumberFormat="1">
      <alignment vertical="bottom"/>
    </xf>
    <xf borderId="18" fillId="6" fontId="22" numFmtId="0" xfId="0" applyAlignment="1" applyBorder="1" applyFont="1">
      <alignment horizontal="center" vertical="bottom"/>
    </xf>
    <xf borderId="12" fillId="16" fontId="21" numFmtId="0" xfId="0" applyAlignment="1" applyBorder="1" applyFont="1">
      <alignment horizontal="center" vertical="bottom"/>
    </xf>
    <xf borderId="12" fillId="16" fontId="21" numFmtId="4" xfId="0" applyAlignment="1" applyBorder="1" applyFont="1" applyNumberFormat="1">
      <alignment horizontal="center" vertical="bottom"/>
    </xf>
    <xf borderId="1" fillId="16" fontId="21" numFmtId="0" xfId="0" applyAlignment="1" applyBorder="1" applyFont="1">
      <alignment horizontal="center" vertical="bottom"/>
    </xf>
    <xf borderId="1" fillId="6" fontId="21" numFmtId="0" xfId="0" applyAlignment="1" applyBorder="1" applyFont="1">
      <alignment horizontal="center" vertical="bottom"/>
    </xf>
    <xf borderId="12" fillId="6" fontId="21" numFmtId="4" xfId="0" applyAlignment="1" applyBorder="1" applyFont="1" applyNumberFormat="1">
      <alignment horizontal="center" vertical="bottom"/>
    </xf>
    <xf borderId="12" fillId="6" fontId="21" numFmtId="0" xfId="0" applyAlignment="1" applyBorder="1" applyFont="1">
      <alignment horizontal="center" vertical="bottom"/>
    </xf>
    <xf borderId="1" fillId="2" fontId="23" numFmtId="0" xfId="0" applyAlignment="1" applyBorder="1" applyFont="1">
      <alignment horizontal="center" vertical="bottom"/>
    </xf>
    <xf borderId="1" fillId="17" fontId="21" numFmtId="0" xfId="0" applyAlignment="1" applyBorder="1" applyFill="1" applyFont="1">
      <alignment horizontal="center" vertical="bottom"/>
    </xf>
    <xf borderId="69" fillId="2" fontId="21" numFmtId="4" xfId="0" applyAlignment="1" applyBorder="1" applyFont="1" applyNumberFormat="1">
      <alignment horizontal="center" vertical="bottom"/>
    </xf>
    <xf borderId="69" fillId="2" fontId="21" numFmtId="10" xfId="0" applyAlignment="1" applyBorder="1" applyFont="1" applyNumberFormat="1">
      <alignment horizontal="center" vertical="bottom"/>
    </xf>
    <xf borderId="69" fillId="2" fontId="21" numFmtId="0" xfId="0" applyAlignment="1" applyBorder="1" applyFont="1">
      <alignment horizontal="center" vertical="bottom"/>
    </xf>
    <xf borderId="1" fillId="2" fontId="23" numFmtId="49" xfId="0" applyAlignment="1" applyBorder="1" applyFont="1" applyNumberFormat="1">
      <alignment horizontal="center" vertical="bottom"/>
    </xf>
    <xf borderId="69" fillId="2" fontId="21" numFmtId="10" xfId="0" applyAlignment="1" applyBorder="1" applyFont="1" applyNumberFormat="1">
      <alignment horizontal="center" vertical="bottom"/>
    </xf>
    <xf borderId="1" fillId="17" fontId="21" numFmtId="0" xfId="0" applyAlignment="1" applyBorder="1" applyFont="1">
      <alignment horizontal="center" vertical="bottom"/>
    </xf>
    <xf borderId="69" fillId="18" fontId="21" numFmtId="4" xfId="0" applyAlignment="1" applyBorder="1" applyFill="1" applyFont="1" applyNumberFormat="1">
      <alignment horizontal="center" vertical="bottom"/>
    </xf>
    <xf borderId="69" fillId="18" fontId="21" numFmtId="10" xfId="0" applyAlignment="1" applyBorder="1" applyFont="1" applyNumberFormat="1">
      <alignment horizontal="center" vertical="bottom"/>
    </xf>
    <xf borderId="69" fillId="18" fontId="21" numFmtId="0" xfId="0" applyAlignment="1" applyBorder="1" applyFont="1">
      <alignment horizontal="center" vertical="bottom"/>
    </xf>
    <xf borderId="69" fillId="19" fontId="21" numFmtId="4" xfId="0" applyAlignment="1" applyBorder="1" applyFill="1" applyFont="1" applyNumberFormat="1">
      <alignment horizontal="center" vertical="bottom"/>
    </xf>
    <xf borderId="69" fillId="19" fontId="21" numFmtId="10" xfId="0" applyAlignment="1" applyBorder="1" applyFont="1" applyNumberFormat="1">
      <alignment horizontal="center" vertical="bottom"/>
    </xf>
    <xf borderId="69" fillId="19" fontId="21" numFmtId="10" xfId="0" applyAlignment="1" applyBorder="1" applyFont="1" applyNumberFormat="1">
      <alignment horizontal="center" vertical="bottom"/>
    </xf>
    <xf borderId="69" fillId="19" fontId="21" numFmtId="0" xfId="0" applyAlignment="1" applyBorder="1" applyFont="1">
      <alignment horizontal="center" vertical="bottom"/>
    </xf>
    <xf borderId="0" fillId="0" fontId="19" numFmtId="0" xfId="0" applyAlignment="1" applyFont="1">
      <alignment vertical="bottom"/>
    </xf>
    <xf borderId="1" fillId="20" fontId="21" numFmtId="0" xfId="0" applyAlignment="1" applyBorder="1" applyFill="1" applyFont="1">
      <alignment horizontal="center" vertical="bottom"/>
    </xf>
    <xf borderId="69" fillId="2" fontId="21" numFmtId="1" xfId="0" applyAlignment="1" applyBorder="1" applyFont="1" applyNumberFormat="1">
      <alignment horizontal="center" vertical="bottom"/>
    </xf>
    <xf borderId="36" fillId="19" fontId="21" numFmtId="4" xfId="0" applyAlignment="1" applyBorder="1" applyFont="1" applyNumberFormat="1">
      <alignment horizontal="center" vertical="bottom"/>
    </xf>
    <xf borderId="36" fillId="19" fontId="21" numFmtId="10" xfId="0" applyAlignment="1" applyBorder="1" applyFont="1" applyNumberFormat="1">
      <alignment horizontal="center" vertical="bottom"/>
    </xf>
    <xf borderId="36" fillId="19" fontId="21" numFmtId="10" xfId="0" applyAlignment="1" applyBorder="1" applyFont="1" applyNumberFormat="1">
      <alignment horizontal="center" vertical="bottom"/>
    </xf>
    <xf borderId="36" fillId="19" fontId="21" numFmtId="0" xfId="0" applyAlignment="1" applyBorder="1" applyFont="1">
      <alignment horizontal="center" vertical="bottom"/>
    </xf>
    <xf borderId="1" fillId="21" fontId="21" numFmtId="0" xfId="0" applyAlignment="1" applyBorder="1" applyFill="1" applyFont="1">
      <alignment horizontal="center" vertical="bottom"/>
    </xf>
    <xf borderId="1" fillId="0" fontId="23" numFmtId="49" xfId="0" applyAlignment="1" applyBorder="1" applyFont="1" applyNumberFormat="1">
      <alignment horizontal="center" vertical="bottom"/>
    </xf>
    <xf borderId="18" fillId="21" fontId="21" numFmtId="0" xfId="0" applyAlignment="1" applyBorder="1" applyFont="1">
      <alignment horizontal="center" vertical="bottom"/>
    </xf>
    <xf borderId="70" fillId="19" fontId="21" numFmtId="4" xfId="0" applyAlignment="1" applyBorder="1" applyFont="1" applyNumberFormat="1">
      <alignment horizontal="center" vertical="bottom"/>
    </xf>
    <xf borderId="70" fillId="19" fontId="19" numFmtId="10" xfId="0" applyAlignment="1" applyBorder="1" applyFont="1" applyNumberFormat="1">
      <alignment vertical="bottom"/>
    </xf>
    <xf borderId="70" fillId="19" fontId="21" numFmtId="1" xfId="0" applyAlignment="1" applyBorder="1" applyFont="1" applyNumberFormat="1">
      <alignment horizontal="center" vertical="bottom"/>
    </xf>
    <xf borderId="1" fillId="21" fontId="19" numFmtId="0" xfId="0" applyAlignment="1" applyBorder="1" applyFont="1">
      <alignment vertical="bottom"/>
    </xf>
    <xf borderId="23" fillId="19" fontId="19" numFmtId="4" xfId="0" applyAlignment="1" applyBorder="1" applyFont="1" applyNumberFormat="1">
      <alignment vertical="bottom"/>
    </xf>
    <xf borderId="23" fillId="19" fontId="19" numFmtId="10" xfId="0" applyAlignment="1" applyBorder="1" applyFont="1" applyNumberFormat="1">
      <alignment vertical="bottom"/>
    </xf>
    <xf borderId="23" fillId="19" fontId="21" numFmtId="1" xfId="0" applyAlignment="1" applyBorder="1" applyFont="1" applyNumberFormat="1">
      <alignment horizontal="center" vertical="bottom"/>
    </xf>
    <xf borderId="18" fillId="12" fontId="22" numFmtId="0" xfId="0" applyAlignment="1" applyBorder="1" applyFont="1">
      <alignment horizontal="center" vertical="bottom"/>
    </xf>
    <xf borderId="36" fillId="12" fontId="21" numFmtId="0" xfId="0" applyAlignment="1" applyBorder="1" applyFont="1">
      <alignment horizontal="center" vertical="bottom"/>
    </xf>
    <xf borderId="69" fillId="12" fontId="21" numFmtId="4" xfId="0" applyAlignment="1" applyBorder="1" applyFont="1" applyNumberFormat="1">
      <alignment horizontal="center" vertical="bottom"/>
    </xf>
    <xf borderId="69" fillId="12" fontId="21" numFmtId="0" xfId="0" applyAlignment="1" applyBorder="1" applyFont="1">
      <alignment horizontal="center" vertical="bottom"/>
    </xf>
    <xf borderId="26" fillId="2" fontId="21" numFmtId="4" xfId="0" applyAlignment="1" applyBorder="1" applyFont="1" applyNumberFormat="1">
      <alignment horizontal="center" vertical="bottom"/>
    </xf>
    <xf borderId="26" fillId="2" fontId="21" numFmtId="10" xfId="0" applyAlignment="1" applyBorder="1" applyFont="1" applyNumberFormat="1">
      <alignment horizontal="center" vertical="bottom"/>
    </xf>
    <xf borderId="26" fillId="2" fontId="21" numFmtId="0" xfId="0" applyAlignment="1" applyBorder="1" applyFont="1">
      <alignment horizontal="center" vertical="bottom"/>
    </xf>
    <xf borderId="36" fillId="22" fontId="21" numFmtId="4" xfId="0" applyAlignment="1" applyBorder="1" applyFill="1" applyFont="1" applyNumberFormat="1">
      <alignment horizontal="center" vertical="bottom"/>
    </xf>
    <xf borderId="36" fillId="22" fontId="21" numFmtId="10" xfId="0" applyAlignment="1" applyBorder="1" applyFont="1" applyNumberFormat="1">
      <alignment horizontal="center" vertical="bottom"/>
    </xf>
    <xf borderId="36" fillId="22" fontId="21" numFmtId="0" xfId="0" applyAlignment="1" applyBorder="1" applyFont="1">
      <alignment horizontal="center" vertical="bottom"/>
    </xf>
    <xf borderId="36" fillId="2" fontId="21" numFmtId="4" xfId="0" applyAlignment="1" applyBorder="1" applyFont="1" applyNumberFormat="1">
      <alignment horizontal="center" vertical="bottom"/>
    </xf>
    <xf borderId="36" fillId="2" fontId="21" numFmtId="10" xfId="0" applyAlignment="1" applyBorder="1" applyFont="1" applyNumberFormat="1">
      <alignment horizontal="center" vertical="bottom"/>
    </xf>
    <xf borderId="36" fillId="2" fontId="21" numFmtId="0" xfId="0" applyAlignment="1" applyBorder="1" applyFont="1">
      <alignment horizontal="center" vertical="bottom"/>
    </xf>
    <xf borderId="18" fillId="21" fontId="21" numFmtId="0" xfId="0" applyAlignment="1" applyBorder="1" applyFont="1">
      <alignment horizontal="center" vertical="bottom"/>
    </xf>
    <xf borderId="70" fillId="22" fontId="21" numFmtId="4" xfId="0" applyAlignment="1" applyBorder="1" applyFont="1" applyNumberFormat="1">
      <alignment horizontal="center" vertical="bottom"/>
    </xf>
    <xf borderId="70" fillId="22" fontId="21" numFmtId="10" xfId="0" applyAlignment="1" applyBorder="1" applyFont="1" applyNumberFormat="1">
      <alignment horizontal="center" vertical="bottom"/>
    </xf>
    <xf borderId="70" fillId="2" fontId="21" numFmtId="4" xfId="0" applyAlignment="1" applyBorder="1" applyFont="1" applyNumberFormat="1">
      <alignment horizontal="center" vertical="bottom"/>
    </xf>
    <xf borderId="24" fillId="2" fontId="21" numFmtId="4" xfId="0" applyAlignment="1" applyBorder="1" applyFont="1" applyNumberFormat="1">
      <alignment horizontal="center" vertical="bottom"/>
    </xf>
    <xf borderId="23" fillId="2" fontId="21" numFmtId="10" xfId="0" applyAlignment="1" applyBorder="1" applyFont="1" applyNumberFormat="1">
      <alignment horizontal="center" vertical="bottom"/>
    </xf>
    <xf borderId="23" fillId="2" fontId="21" numFmtId="0" xfId="0" applyAlignment="1" applyBorder="1" applyFont="1">
      <alignment horizontal="center" vertical="bottom"/>
    </xf>
    <xf borderId="0" fillId="2" fontId="19" numFmtId="49" xfId="0" applyAlignment="1" applyFont="1" applyNumberFormat="1">
      <alignment vertical="bottom"/>
    </xf>
    <xf borderId="0" fillId="2" fontId="19" numFmtId="10" xfId="0" applyAlignment="1" applyFont="1" applyNumberFormat="1">
      <alignment vertical="bottom"/>
    </xf>
    <xf borderId="0" fillId="2" fontId="19" numFmtId="0" xfId="0" applyAlignment="1" applyFont="1">
      <alignment vertical="bottom"/>
    </xf>
    <xf borderId="13" fillId="2" fontId="19" numFmtId="0" xfId="0" applyAlignment="1" applyBorder="1" applyFont="1">
      <alignment vertical="bottom"/>
    </xf>
    <xf borderId="13" fillId="2" fontId="19" numFmtId="4" xfId="0" applyAlignment="1" applyBorder="1" applyFont="1" applyNumberFormat="1">
      <alignment vertical="bottom"/>
    </xf>
    <xf borderId="24" fillId="8" fontId="22" numFmtId="4" xfId="0" applyAlignment="1" applyBorder="1" applyFont="1" applyNumberFormat="1">
      <alignment horizontal="center" vertical="bottom"/>
    </xf>
    <xf borderId="36" fillId="8" fontId="21" numFmtId="4" xfId="0" applyAlignment="1" applyBorder="1" applyFont="1" applyNumberFormat="1">
      <alignment horizontal="center" vertical="bottom"/>
    </xf>
    <xf borderId="69" fillId="8" fontId="21" numFmtId="4" xfId="0" applyAlignment="1" applyBorder="1" applyFont="1" applyNumberFormat="1">
      <alignment horizontal="center" vertical="bottom"/>
    </xf>
    <xf borderId="69" fillId="8" fontId="21" numFmtId="0" xfId="0" applyAlignment="1" applyBorder="1" applyFont="1">
      <alignment horizontal="center" vertical="bottom"/>
    </xf>
    <xf borderId="1" fillId="17" fontId="21" numFmtId="4" xfId="0" applyAlignment="1" applyBorder="1" applyFont="1" applyNumberFormat="1">
      <alignment horizontal="center" vertical="bottom"/>
    </xf>
    <xf borderId="26" fillId="2" fontId="24" numFmtId="10" xfId="0" applyAlignment="1" applyBorder="1" applyFont="1" applyNumberFormat="1">
      <alignment horizontal="center" vertical="bottom"/>
    </xf>
    <xf borderId="18" fillId="20" fontId="21" numFmtId="4" xfId="0" applyAlignment="1" applyBorder="1" applyFont="1" applyNumberFormat="1">
      <alignment horizontal="center" vertical="bottom"/>
    </xf>
    <xf borderId="70" fillId="23" fontId="21" numFmtId="4" xfId="0" applyAlignment="1" applyBorder="1" applyFill="1" applyFont="1" applyNumberFormat="1">
      <alignment horizontal="center" vertical="bottom"/>
    </xf>
    <xf borderId="70" fillId="23" fontId="21" numFmtId="10" xfId="0" applyAlignment="1" applyBorder="1" applyFont="1" applyNumberFormat="1">
      <alignment horizontal="center" vertical="bottom"/>
    </xf>
    <xf borderId="70" fillId="23" fontId="25" numFmtId="10" xfId="0" applyAlignment="1" applyBorder="1" applyFont="1" applyNumberFormat="1">
      <alignment horizontal="center" vertical="bottom"/>
    </xf>
    <xf borderId="70" fillId="23" fontId="24" numFmtId="10" xfId="0" applyAlignment="1" applyBorder="1" applyFont="1" applyNumberFormat="1">
      <alignment horizontal="center" vertical="bottom"/>
    </xf>
    <xf borderId="36" fillId="23" fontId="21" numFmtId="0" xfId="0" applyAlignment="1" applyBorder="1" applyFont="1">
      <alignment horizontal="center" vertical="bottom"/>
    </xf>
    <xf borderId="1" fillId="20" fontId="21" numFmtId="0" xfId="0" applyAlignment="1" applyBorder="1" applyFont="1">
      <alignment horizontal="center"/>
    </xf>
    <xf borderId="36" fillId="2" fontId="24" numFmtId="10" xfId="0" applyAlignment="1" applyBorder="1" applyFont="1" applyNumberFormat="1">
      <alignment horizontal="center" vertical="bottom"/>
    </xf>
    <xf borderId="36" fillId="23" fontId="21" numFmtId="4" xfId="0" applyAlignment="1" applyBorder="1" applyFont="1" applyNumberFormat="1">
      <alignment horizontal="center" vertical="bottom"/>
    </xf>
    <xf borderId="36" fillId="23" fontId="19" numFmtId="10" xfId="0" applyAlignment="1" applyBorder="1" applyFont="1" applyNumberFormat="1">
      <alignment vertical="bottom"/>
    </xf>
    <xf borderId="1" fillId="21" fontId="21" numFmtId="0" xfId="0" applyAlignment="1" applyBorder="1" applyFont="1">
      <alignment horizontal="center" vertical="bottom"/>
    </xf>
    <xf borderId="36" fillId="18" fontId="21" numFmtId="4" xfId="0" applyAlignment="1" applyBorder="1" applyFont="1" applyNumberFormat="1">
      <alignment horizontal="center" vertical="bottom"/>
    </xf>
    <xf borderId="36" fillId="18" fontId="21" numFmtId="10" xfId="0" applyAlignment="1" applyBorder="1" applyFont="1" applyNumberFormat="1">
      <alignment horizontal="center" vertical="bottom"/>
    </xf>
    <xf borderId="1" fillId="21" fontId="21" numFmtId="0" xfId="0" applyAlignment="1" applyBorder="1" applyFont="1">
      <alignment horizontal="center"/>
    </xf>
    <xf borderId="36" fillId="2" fontId="21" numFmtId="49" xfId="0" applyAlignment="1" applyBorder="1" applyFont="1" applyNumberFormat="1">
      <alignment horizontal="center" vertical="bottom"/>
    </xf>
    <xf borderId="36" fillId="23" fontId="21" numFmtId="10" xfId="0" applyAlignment="1" applyBorder="1" applyFont="1" applyNumberFormat="1">
      <alignment horizontal="center" vertical="bottom"/>
    </xf>
    <xf borderId="36" fillId="23" fontId="25" numFmtId="10" xfId="0" applyAlignment="1" applyBorder="1" applyFont="1" applyNumberFormat="1">
      <alignment horizontal="center" vertical="bottom"/>
    </xf>
    <xf borderId="36" fillId="23" fontId="24" numFmtId="10" xfId="0" applyAlignment="1" applyBorder="1" applyFont="1" applyNumberFormat="1">
      <alignment horizontal="center" vertical="bottom"/>
    </xf>
    <xf borderId="36" fillId="18" fontId="19" numFmtId="4" xfId="0" applyAlignment="1" applyBorder="1" applyFont="1" applyNumberFormat="1">
      <alignment vertical="bottom"/>
    </xf>
    <xf borderId="36" fillId="18" fontId="19" numFmtId="10" xfId="0" applyAlignment="1" applyBorder="1" applyFont="1" applyNumberFormat="1">
      <alignment vertical="bottom"/>
    </xf>
    <xf borderId="69" fillId="18" fontId="19" numFmtId="0" xfId="0" applyAlignment="1" applyBorder="1" applyFont="1">
      <alignment vertical="bottom"/>
    </xf>
    <xf borderId="1" fillId="21" fontId="19" numFmtId="0" xfId="0" applyBorder="1" applyFont="1"/>
    <xf borderId="23" fillId="2" fontId="19" numFmtId="4" xfId="0" applyAlignment="1" applyBorder="1" applyFont="1" applyNumberFormat="1">
      <alignment vertical="bottom"/>
    </xf>
    <xf borderId="23" fillId="2" fontId="19" numFmtId="10" xfId="0" applyAlignment="1" applyBorder="1" applyFont="1" applyNumberFormat="1">
      <alignment vertical="bottom"/>
    </xf>
    <xf borderId="36" fillId="2" fontId="19" numFmtId="4" xfId="0" applyAlignment="1" applyBorder="1" applyFont="1" applyNumberFormat="1">
      <alignment vertical="bottom"/>
    </xf>
    <xf borderId="36" fillId="2" fontId="19" numFmtId="10" xfId="0" applyAlignment="1" applyBorder="1" applyFont="1" applyNumberFormat="1">
      <alignment vertical="bottom"/>
    </xf>
    <xf borderId="0" fillId="0" fontId="19" numFmtId="10" xfId="0" applyAlignment="1" applyFont="1" applyNumberFormat="1">
      <alignment vertical="bottom"/>
    </xf>
    <xf borderId="0" fillId="0" fontId="19" numFmtId="4" xfId="0" applyAlignment="1" applyFont="1" applyNumberFormat="1">
      <alignment vertical="bottom"/>
    </xf>
    <xf borderId="18" fillId="21" fontId="19" numFmtId="0" xfId="0" applyAlignment="1" applyBorder="1" applyFont="1">
      <alignment vertical="bottom"/>
    </xf>
    <xf borderId="70" fillId="18" fontId="19" numFmtId="4" xfId="0" applyAlignment="1" applyBorder="1" applyFont="1" applyNumberFormat="1">
      <alignment vertical="bottom"/>
    </xf>
    <xf borderId="70" fillId="18" fontId="19" numFmtId="10" xfId="0" applyAlignment="1" applyBorder="1" applyFont="1" applyNumberFormat="1">
      <alignment vertical="bottom"/>
    </xf>
    <xf borderId="1" fillId="21" fontId="19" numFmtId="0" xfId="0" applyAlignment="1" applyBorder="1" applyFont="1">
      <alignment vertical="bottom"/>
    </xf>
    <xf borderId="18" fillId="21" fontId="19" numFmtId="49" xfId="0" applyAlignment="1" applyBorder="1" applyFont="1" applyNumberFormat="1">
      <alignment vertical="bottom"/>
    </xf>
    <xf borderId="36" fillId="18" fontId="19" numFmtId="49" xfId="0" applyAlignment="1" applyBorder="1" applyFont="1" applyNumberFormat="1">
      <alignment vertical="bottom"/>
    </xf>
    <xf borderId="69" fillId="18" fontId="19" numFmtId="0" xfId="0" applyAlignment="1" applyBorder="1" applyFont="1">
      <alignment vertical="bottom"/>
    </xf>
    <xf borderId="1" fillId="21" fontId="19" numFmtId="49" xfId="0" applyAlignment="1" applyBorder="1" applyFont="1" applyNumberFormat="1">
      <alignment vertical="bottom"/>
    </xf>
    <xf borderId="69" fillId="2" fontId="19" numFmtId="4" xfId="0" applyAlignment="1" applyBorder="1" applyFont="1" applyNumberFormat="1">
      <alignment vertical="bottom"/>
    </xf>
    <xf borderId="36" fillId="2" fontId="19" numFmtId="49" xfId="0" applyAlignment="1" applyBorder="1" applyFont="1" applyNumberFormat="1">
      <alignment vertical="bottom"/>
    </xf>
    <xf borderId="12" fillId="18" fontId="19" numFmtId="4" xfId="0" applyAlignment="1" applyBorder="1" applyFont="1" applyNumberFormat="1">
      <alignment vertical="bottom"/>
    </xf>
    <xf borderId="12" fillId="18" fontId="19" numFmtId="49" xfId="0" applyAlignment="1" applyBorder="1" applyFont="1" applyNumberFormat="1">
      <alignment vertical="bottom"/>
    </xf>
    <xf borderId="12" fillId="18" fontId="19" numFmtId="0" xfId="0" applyAlignment="1" applyBorder="1" applyFont="1">
      <alignment vertical="bottom"/>
    </xf>
    <xf borderId="0" fillId="2" fontId="21" numFmtId="0" xfId="0" applyFont="1"/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21" numFmtId="0" xfId="0" applyAlignment="1" applyFont="1">
      <alignment vertical="bottom"/>
    </xf>
    <xf borderId="0" fillId="2" fontId="21" numFmtId="0" xfId="0" applyAlignment="1" applyFont="1">
      <alignment vertical="bottom"/>
    </xf>
    <xf borderId="14" fillId="24" fontId="26" numFmtId="0" xfId="0" applyAlignment="1" applyBorder="1" applyFill="1" applyFont="1">
      <alignment horizontal="center" vertical="bottom"/>
    </xf>
    <xf borderId="8" fillId="24" fontId="21" numFmtId="0" xfId="0" applyAlignment="1" applyBorder="1" applyFont="1">
      <alignment vertical="bottom"/>
    </xf>
    <xf borderId="10" fillId="24" fontId="26" numFmtId="0" xfId="0" applyAlignment="1" applyBorder="1" applyFont="1">
      <alignment horizontal="center" shrinkToFit="0" vertical="bottom" wrapText="0"/>
    </xf>
    <xf borderId="10" fillId="24" fontId="26" numFmtId="0" xfId="0" applyAlignment="1" applyBorder="1" applyFont="1">
      <alignment horizontal="center" vertical="bottom"/>
    </xf>
    <xf borderId="7" fillId="24" fontId="26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18" fillId="2" fontId="27" numFmtId="0" xfId="0" applyAlignment="1" applyBorder="1" applyFont="1">
      <alignment horizontal="center" readingOrder="0" vertical="center"/>
    </xf>
    <xf borderId="70" fillId="2" fontId="9" numFmtId="0" xfId="0" applyAlignment="1" applyBorder="1" applyFont="1">
      <alignment readingOrder="0" vertical="bottom"/>
    </xf>
    <xf borderId="0" fillId="2" fontId="9" numFmtId="0" xfId="0" applyAlignment="1" applyFont="1">
      <alignment readingOrder="0" vertical="bottom"/>
    </xf>
    <xf borderId="1" fillId="2" fontId="9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vertical="bottom"/>
    </xf>
    <xf quotePrefix="1" borderId="1" fillId="10" fontId="1" numFmtId="0" xfId="0" applyAlignment="1" applyBorder="1" applyFont="1">
      <alignment horizontal="center" readingOrder="0" vertical="bottom"/>
    </xf>
    <xf borderId="70" fillId="2" fontId="9" numFmtId="0" xfId="0" applyAlignment="1" applyBorder="1" applyFont="1">
      <alignment readingOrder="0" shrinkToFit="0" vertical="bottom" wrapText="0"/>
    </xf>
    <xf borderId="0" fillId="2" fontId="9" numFmtId="0" xfId="0" applyAlignment="1" applyFont="1">
      <alignment vertical="bottom"/>
    </xf>
    <xf borderId="69" fillId="2" fontId="9" numFmtId="0" xfId="0" applyAlignment="1" applyBorder="1" applyFont="1">
      <alignment vertical="bottom"/>
    </xf>
    <xf borderId="29" fillId="2" fontId="9" numFmtId="0" xfId="0" applyAlignment="1" applyBorder="1" applyFont="1">
      <alignment horizontal="center" readingOrder="0" vertical="bottom"/>
    </xf>
    <xf borderId="26" fillId="2" fontId="9" numFmtId="0" xfId="0" applyAlignment="1" applyBorder="1" applyFont="1">
      <alignment horizontal="center" readingOrder="0" vertical="bottom"/>
    </xf>
    <xf borderId="26" fillId="9" fontId="1" numFmtId="0" xfId="0" applyAlignment="1" applyBorder="1" applyFont="1">
      <alignment horizontal="center" readingOrder="0" vertical="bottom"/>
    </xf>
    <xf borderId="1" fillId="2" fontId="27" numFmtId="0" xfId="0" applyAlignment="1" applyBorder="1" applyFont="1">
      <alignment horizontal="center" readingOrder="0" vertical="center"/>
    </xf>
    <xf borderId="24" fillId="2" fontId="9" numFmtId="0" xfId="0" applyAlignment="1" applyBorder="1" applyFont="1">
      <alignment readingOrder="0" vertical="bottom"/>
    </xf>
    <xf borderId="0" fillId="2" fontId="21" numFmtId="0" xfId="0" applyAlignment="1" applyFont="1">
      <alignment vertical="bottom"/>
    </xf>
    <xf borderId="70" fillId="24" fontId="26" numFmtId="0" xfId="0" applyAlignment="1" applyBorder="1" applyFont="1">
      <alignment horizontal="center" shrinkToFit="0" vertical="bottom" wrapText="0"/>
    </xf>
    <xf borderId="0" fillId="24" fontId="21" numFmtId="0" xfId="0" applyAlignment="1" applyFont="1">
      <alignment vertical="bottom"/>
    </xf>
    <xf borderId="0" fillId="24" fontId="26" numFmtId="0" xfId="0" applyAlignment="1" applyFont="1">
      <alignment horizontal="center" shrinkToFit="0" vertical="bottom" wrapText="0"/>
    </xf>
    <xf borderId="0" fillId="24" fontId="26" numFmtId="0" xfId="0" applyAlignment="1" applyFont="1">
      <alignment horizontal="center" vertical="bottom"/>
    </xf>
    <xf borderId="69" fillId="24" fontId="26" numFmtId="0" xfId="0" applyAlignment="1" applyBorder="1" applyFont="1">
      <alignment horizontal="center" vertical="bottom"/>
    </xf>
    <xf borderId="1" fillId="2" fontId="21" numFmtId="0" xfId="0" applyAlignment="1" applyBorder="1" applyFont="1">
      <alignment readingOrder="0" shrinkToFit="0" vertical="bottom" wrapText="0"/>
    </xf>
    <xf borderId="1" fillId="2" fontId="21" numFmtId="0" xfId="0" applyAlignment="1" applyBorder="1" applyFont="1">
      <alignment vertical="bottom"/>
    </xf>
    <xf borderId="1" fillId="2" fontId="21" numFmtId="0" xfId="0" applyAlignment="1" applyBorder="1" applyFont="1">
      <alignment horizontal="center" readingOrder="0" vertical="bottom"/>
    </xf>
    <xf borderId="1" fillId="9" fontId="28" numFmtId="0" xfId="0" applyAlignment="1" applyBorder="1" applyFont="1">
      <alignment horizontal="center" readingOrder="0" vertical="bottom"/>
    </xf>
    <xf quotePrefix="1" borderId="1" fillId="10" fontId="28" numFmtId="0" xfId="0" applyAlignment="1" applyBorder="1" applyFont="1">
      <alignment horizontal="center" readingOrder="0"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center" vertical="bottom"/>
    </xf>
    <xf borderId="0" fillId="2" fontId="21" numFmtId="0" xfId="0" applyAlignment="1" applyFont="1">
      <alignment vertical="bottom"/>
    </xf>
    <xf borderId="0" fillId="2" fontId="23" numFmtId="0" xfId="0" applyAlignment="1" applyFont="1">
      <alignment horizontal="center" readingOrder="0" vertical="bottom"/>
    </xf>
    <xf borderId="0" fillId="2" fontId="23" numFmtId="0" xfId="0" applyAlignment="1" applyFont="1">
      <alignment horizontal="center" readingOrder="0" shrinkToFit="0" vertical="center" wrapText="0"/>
    </xf>
    <xf borderId="18" fillId="24" fontId="29" numFmtId="0" xfId="0" applyAlignment="1" applyBorder="1" applyFont="1">
      <alignment horizontal="center" vertical="bottom"/>
    </xf>
    <xf borderId="10" fillId="24" fontId="21" numFmtId="0" xfId="0" applyAlignment="1" applyBorder="1" applyFont="1">
      <alignment vertical="bottom"/>
    </xf>
    <xf borderId="10" fillId="24" fontId="29" numFmtId="0" xfId="0" applyAlignment="1" applyBorder="1" applyFont="1">
      <alignment horizontal="center" vertical="bottom"/>
    </xf>
    <xf borderId="7" fillId="24" fontId="29" numFmtId="0" xfId="0" applyAlignment="1" applyBorder="1" applyFont="1">
      <alignment horizontal="center" vertical="bottom"/>
    </xf>
    <xf borderId="1" fillId="2" fontId="27" numFmtId="0" xfId="0" applyAlignment="1" applyBorder="1" applyFont="1">
      <alignment horizontal="center" vertical="bottom"/>
    </xf>
    <xf borderId="24" fillId="2" fontId="21" numFmtId="0" xfId="0" applyAlignment="1" applyBorder="1" applyFont="1">
      <alignment readingOrder="0" vertical="bottom"/>
    </xf>
    <xf borderId="12" fillId="2" fontId="21" numFmtId="0" xfId="0" applyAlignment="1" applyBorder="1" applyFont="1">
      <alignment vertical="bottom"/>
    </xf>
    <xf borderId="1" fillId="10" fontId="30" numFmtId="0" xfId="0" applyAlignment="1" applyBorder="1" applyFont="1">
      <alignment horizontal="center" readingOrder="0" vertical="bottom"/>
    </xf>
    <xf quotePrefix="1" borderId="1" fillId="10" fontId="30" numFmtId="0" xfId="0" applyAlignment="1" applyBorder="1" applyFont="1">
      <alignment horizontal="center" readingOrder="0" vertical="bottom"/>
    </xf>
    <xf borderId="1" fillId="9" fontId="30" numFmtId="0" xfId="0" applyAlignment="1" applyBorder="1" applyFont="1">
      <alignment horizontal="center" readingOrder="0" vertical="bottom"/>
    </xf>
    <xf borderId="1" fillId="6" fontId="27" numFmtId="0" xfId="0" applyAlignment="1" applyBorder="1" applyFont="1">
      <alignment horizontal="center" vertical="bottom"/>
    </xf>
    <xf borderId="24" fillId="6" fontId="21" numFmtId="0" xfId="0" applyAlignment="1" applyBorder="1" applyFont="1">
      <alignment readingOrder="0" vertical="bottom"/>
    </xf>
    <xf borderId="12" fillId="6" fontId="21" numFmtId="0" xfId="0" applyAlignment="1" applyBorder="1" applyFont="1">
      <alignment vertical="bottom"/>
    </xf>
    <xf borderId="1" fillId="6" fontId="21" numFmtId="0" xfId="0" applyAlignment="1" applyBorder="1" applyFont="1">
      <alignment horizontal="center" readingOrder="0" vertical="bottom"/>
    </xf>
    <xf borderId="13" fillId="2" fontId="21" numFmtId="0" xfId="0" applyAlignment="1" applyBorder="1" applyFont="1">
      <alignment vertical="bottom"/>
    </xf>
    <xf borderId="10" fillId="2" fontId="21" numFmtId="0" xfId="0" applyAlignment="1" applyBorder="1" applyFont="1">
      <alignment horizontal="center" readingOrder="0" vertical="bottom"/>
    </xf>
    <xf borderId="70" fillId="2" fontId="21" numFmtId="0" xfId="0" applyAlignment="1" applyBorder="1" applyFont="1">
      <alignment readingOrder="0" vertical="bottom"/>
    </xf>
    <xf borderId="0" fillId="2" fontId="21" numFmtId="0" xfId="0" applyAlignment="1" applyFont="1">
      <alignment vertical="bottom"/>
    </xf>
    <xf borderId="18" fillId="2" fontId="21" numFmtId="0" xfId="0" applyAlignment="1" applyBorder="1" applyFont="1">
      <alignment horizontal="center" readingOrder="0" vertical="bottom"/>
    </xf>
    <xf borderId="10" fillId="24" fontId="29" numFmtId="0" xfId="0" applyAlignment="1" applyBorder="1" applyFont="1">
      <alignment vertical="bottom"/>
    </xf>
    <xf borderId="7" fillId="24" fontId="29" numFmtId="0" xfId="0" applyAlignment="1" applyBorder="1" applyFont="1">
      <alignment vertical="bottom"/>
    </xf>
    <xf borderId="23" fillId="2" fontId="21" numFmtId="0" xfId="0" applyAlignment="1" applyBorder="1" applyFont="1">
      <alignment readingOrder="0" vertical="bottom"/>
    </xf>
    <xf borderId="23" fillId="2" fontId="21" numFmtId="0" xfId="0" applyAlignment="1" applyBorder="1" applyFont="1">
      <alignment vertical="bottom"/>
    </xf>
    <xf borderId="23" fillId="2" fontId="21" numFmtId="0" xfId="0" applyAlignment="1" applyBorder="1" applyFont="1">
      <alignment horizontal="center" readingOrder="0" vertical="bottom"/>
    </xf>
    <xf quotePrefix="1" borderId="23" fillId="10" fontId="23" numFmtId="0" xfId="0" applyAlignment="1" applyBorder="1" applyFont="1">
      <alignment horizontal="center" readingOrder="0"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center" vertical="bottom"/>
    </xf>
    <xf borderId="0" fillId="2" fontId="27" numFmtId="0" xfId="0" applyAlignment="1" applyFont="1">
      <alignment horizontal="center" readingOrder="0" vertical="center"/>
    </xf>
    <xf borderId="0" fillId="2" fontId="21" numFmtId="0" xfId="0" applyAlignment="1" applyFont="1">
      <alignment horizontal="center" readingOrder="0" vertical="bottom"/>
    </xf>
    <xf borderId="0" fillId="2" fontId="31" numFmtId="10" xfId="0" applyFont="1" applyNumberFormat="1"/>
    <xf borderId="0" fillId="2" fontId="21" numFmtId="10" xfId="0" applyAlignment="1" applyFont="1" applyNumberFormat="1">
      <alignment horizontal="center" readingOrder="0" vertical="bottom"/>
    </xf>
    <xf borderId="0" fillId="2" fontId="21" numFmtId="0" xfId="0" applyAlignment="1" applyFont="1">
      <alignment horizontal="center" vertical="bottom"/>
    </xf>
    <xf borderId="0" fillId="2" fontId="27" numFmtId="0" xfId="0" applyAlignment="1" applyFont="1">
      <alignment horizontal="center" vertical="bottom"/>
    </xf>
    <xf borderId="0" fillId="0" fontId="31" numFmtId="0" xfId="0" applyFont="1"/>
    <xf borderId="0" fillId="0" fontId="31" numFmtId="10" xfId="0" applyFont="1" applyNumberFormat="1"/>
    <xf borderId="64" fillId="3" fontId="5" numFmtId="166" xfId="0" applyAlignment="1" applyBorder="1" applyFont="1" applyNumberFormat="1">
      <alignment horizontal="center" readingOrder="0"/>
    </xf>
    <xf borderId="71" fillId="3" fontId="32" numFmtId="168" xfId="0" applyAlignment="1" applyBorder="1" applyFont="1" applyNumberFormat="1">
      <alignment horizontal="center" readingOrder="0"/>
    </xf>
    <xf borderId="72" fillId="0" fontId="3" numFmtId="0" xfId="0" applyBorder="1" applyFont="1"/>
    <xf borderId="73" fillId="0" fontId="3" numFmtId="0" xfId="0" applyBorder="1" applyFont="1"/>
    <xf borderId="2" fillId="3" fontId="32" numFmtId="167" xfId="0" applyAlignment="1" applyBorder="1" applyFont="1" applyNumberFormat="1">
      <alignment horizontal="center" readingOrder="0"/>
    </xf>
    <xf borderId="0" fillId="3" fontId="32" numFmtId="167" xfId="0" applyAlignment="1" applyFont="1" applyNumberFormat="1">
      <alignment horizontal="center" readingOrder="0"/>
    </xf>
    <xf borderId="74" fillId="5" fontId="5" numFmtId="49" xfId="0" applyAlignment="1" applyBorder="1" applyFont="1" applyNumberFormat="1">
      <alignment horizontal="center"/>
    </xf>
    <xf borderId="71" fillId="3" fontId="32" numFmtId="168" xfId="0" applyAlignment="1" applyBorder="1" applyFont="1" applyNumberFormat="1">
      <alignment horizontal="center" readingOrder="0" vertical="center"/>
    </xf>
    <xf borderId="72" fillId="3" fontId="32" numFmtId="0" xfId="0" applyAlignment="1" applyBorder="1" applyFont="1">
      <alignment horizontal="center" readingOrder="0"/>
    </xf>
    <xf borderId="72" fillId="5" fontId="1" numFmtId="49" xfId="0" applyAlignment="1" applyBorder="1" applyFont="1" applyNumberFormat="1">
      <alignment horizontal="center" vertical="center"/>
    </xf>
    <xf borderId="75" fillId="3" fontId="32" numFmtId="0" xfId="0" applyAlignment="1" applyBorder="1" applyFont="1">
      <alignment horizontal="center" readingOrder="0"/>
    </xf>
    <xf borderId="0" fillId="3" fontId="32" numFmtId="0" xfId="0" applyAlignment="1" applyFont="1">
      <alignment horizontal="center" readingOrder="0"/>
    </xf>
    <xf borderId="76" fillId="5" fontId="5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 readingOrder="0" vertical="center"/>
    </xf>
    <xf borderId="1" fillId="4" fontId="33" numFmtId="49" xfId="0" applyAlignment="1" applyBorder="1" applyFont="1" applyNumberFormat="1">
      <alignment horizontal="center" readingOrder="0" vertical="center"/>
    </xf>
    <xf borderId="8" fillId="4" fontId="7" numFmtId="49" xfId="0" applyAlignment="1" applyBorder="1" applyFont="1" applyNumberFormat="1">
      <alignment horizontal="center" readingOrder="0" vertical="center"/>
    </xf>
    <xf borderId="9" fillId="4" fontId="7" numFmtId="49" xfId="0" applyAlignment="1" applyBorder="1" applyFont="1" applyNumberFormat="1">
      <alignment horizontal="center" readingOrder="0" vertical="center"/>
    </xf>
    <xf borderId="38" fillId="5" fontId="33" numFmtId="49" xfId="0" applyAlignment="1" applyBorder="1" applyFont="1" applyNumberFormat="1">
      <alignment horizontal="center" vertical="center"/>
    </xf>
    <xf borderId="11" fillId="3" fontId="33" numFmtId="49" xfId="0" applyAlignment="1" applyBorder="1" applyFont="1" applyNumberFormat="1">
      <alignment horizontal="center" readingOrder="0" vertical="center"/>
    </xf>
    <xf borderId="1" fillId="3" fontId="33" numFmtId="49" xfId="0" applyAlignment="1" applyBorder="1" applyFont="1" applyNumberFormat="1">
      <alignment horizontal="center" readingOrder="0" vertical="center"/>
    </xf>
    <xf borderId="12" fillId="3" fontId="6" numFmtId="49" xfId="0" applyAlignment="1" applyBorder="1" applyFont="1" applyNumberFormat="1">
      <alignment horizontal="center" readingOrder="0"/>
    </xf>
    <xf borderId="13" fillId="3" fontId="6" numFmtId="49" xfId="0" applyAlignment="1" applyBorder="1" applyFont="1" applyNumberFormat="1">
      <alignment horizontal="center" readingOrder="0"/>
    </xf>
    <xf borderId="14" fillId="3" fontId="7" numFmtId="49" xfId="0" applyAlignment="1" applyBorder="1" applyFont="1" applyNumberFormat="1">
      <alignment horizontal="center" readingOrder="0" vertical="center"/>
    </xf>
    <xf borderId="8" fillId="3" fontId="7" numFmtId="49" xfId="0" applyAlignment="1" applyBorder="1" applyFont="1" applyNumberFormat="1">
      <alignment horizontal="center" readingOrder="0" vertical="center"/>
    </xf>
    <xf borderId="0" fillId="3" fontId="7" numFmtId="49" xfId="0" applyAlignment="1" applyFont="1" applyNumberFormat="1">
      <alignment horizontal="center" readingOrder="0" vertical="center"/>
    </xf>
    <xf borderId="7" fillId="6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center"/>
    </xf>
    <xf borderId="18" fillId="2" fontId="1" numFmtId="49" xfId="0" applyAlignment="1" applyBorder="1" applyFont="1" applyNumberForma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7" fillId="7" fontId="1" numFmtId="49" xfId="0" applyAlignment="1" applyBorder="1" applyFont="1" applyNumberFormat="1">
      <alignment horizontal="center" readingOrder="0" vertical="center"/>
    </xf>
    <xf borderId="38" fillId="5" fontId="1" numFmtId="49" xfId="0" applyAlignment="1" applyBorder="1" applyFont="1" applyNumberFormat="1">
      <alignment horizontal="center" readingOrder="0" vertical="center"/>
    </xf>
    <xf borderId="11" fillId="6" fontId="1" numFmtId="49" xfId="0" applyAlignment="1" applyBorder="1" applyFont="1" applyNumberFormat="1">
      <alignment horizontal="center" readingOrder="0" vertical="center"/>
    </xf>
    <xf borderId="1" fillId="6" fontId="1" numFmtId="49" xfId="0" applyAlignment="1" applyBorder="1" applyFont="1" applyNumberFormat="1">
      <alignment horizontal="center" readingOrder="0" vertical="center"/>
    </xf>
    <xf borderId="0" fillId="7" fontId="1" numFmtId="49" xfId="0" applyAlignment="1" applyFont="1" applyNumberFormat="1">
      <alignment horizontal="center" readingOrder="0" vertical="center"/>
    </xf>
    <xf borderId="11" fillId="7" fontId="1" numFmtId="49" xfId="0" applyAlignment="1" applyBorder="1" applyFont="1" applyNumberFormat="1">
      <alignment horizontal="center" readingOrder="0" vertical="center"/>
    </xf>
    <xf borderId="1" fillId="7" fontId="1" numFmtId="49" xfId="0" applyAlignment="1" applyBorder="1" applyFont="1" applyNumberFormat="1">
      <alignment horizontal="center" readingOrder="0" vertical="center"/>
    </xf>
    <xf borderId="21" fillId="7" fontId="1" numFmtId="49" xfId="0" applyAlignment="1" applyBorder="1" applyFont="1" applyNumberFormat="1">
      <alignment horizontal="center" readingOrder="0" vertical="center"/>
    </xf>
    <xf borderId="38" fillId="5" fontId="1" numFmtId="49" xfId="0" applyAlignment="1" applyBorder="1" applyFont="1" applyNumberFormat="1">
      <alignment horizontal="center" vertical="center"/>
    </xf>
    <xf borderId="11" fillId="6" fontId="13" numFmtId="49" xfId="0" applyAlignment="1" applyBorder="1" applyFont="1" applyNumberFormat="1">
      <alignment horizontal="center" readingOrder="0" vertical="center"/>
    </xf>
    <xf borderId="12" fillId="2" fontId="1" numFmtId="49" xfId="0" applyAlignment="1" applyBorder="1" applyFont="1" applyNumberFormat="1">
      <alignment horizontal="center" readingOrder="0" vertical="center"/>
    </xf>
    <xf borderId="1" fillId="2" fontId="13" numFmtId="0" xfId="0" applyAlignment="1" applyBorder="1" applyFont="1">
      <alignment horizontal="center" readingOrder="0" vertical="center"/>
    </xf>
    <xf borderId="1" fillId="2" fontId="13" numFmtId="49" xfId="0" applyAlignment="1" applyBorder="1" applyFont="1" applyNumberFormat="1">
      <alignment horizontal="center" readingOrder="0" vertical="center"/>
    </xf>
    <xf borderId="7" fillId="8" fontId="1" numFmtId="49" xfId="0" applyAlignment="1" applyBorder="1" applyFont="1" applyNumberFormat="1">
      <alignment horizontal="center" readingOrder="0" vertical="center"/>
    </xf>
    <xf borderId="23" fillId="8" fontId="34" numFmtId="4" xfId="0" applyAlignment="1" applyBorder="1" applyFont="1" applyNumberFormat="1">
      <alignment horizontal="center" readingOrder="0" vertical="bottom"/>
    </xf>
    <xf borderId="1" fillId="8" fontId="13" numFmtId="49" xfId="0" applyAlignment="1" applyBorder="1" applyFont="1" applyNumberFormat="1">
      <alignment horizontal="center" readingOrder="0" vertical="center"/>
    </xf>
    <xf borderId="1" fillId="8" fontId="1" numFmtId="49" xfId="0" applyAlignment="1" applyBorder="1" applyFont="1" applyNumberFormat="1">
      <alignment horizontal="center" readingOrder="0" vertical="center"/>
    </xf>
    <xf borderId="25" fillId="8" fontId="13" numFmtId="49" xfId="0" applyAlignment="1" applyBorder="1" applyFont="1" applyNumberFormat="1">
      <alignment horizontal="center" readingOrder="0" vertical="center"/>
    </xf>
    <xf borderId="11" fillId="8" fontId="1" numFmtId="49" xfId="0" applyAlignment="1" applyBorder="1" applyFont="1" applyNumberFormat="1">
      <alignment horizontal="center" readingOrder="0" vertical="center"/>
    </xf>
    <xf borderId="26" fillId="8" fontId="1" numFmtId="49" xfId="0" applyAlignment="1" applyBorder="1" applyFont="1" applyNumberFormat="1">
      <alignment horizontal="center" readingOrder="0" vertical="center"/>
    </xf>
    <xf borderId="1" fillId="8" fontId="34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center"/>
    </xf>
    <xf borderId="1" fillId="8" fontId="34" numFmtId="4" xfId="0" applyAlignment="1" applyBorder="1" applyFont="1" applyNumberFormat="1">
      <alignment horizontal="center" readingOrder="0" vertical="bottom"/>
    </xf>
    <xf borderId="1" fillId="8" fontId="13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center"/>
    </xf>
    <xf borderId="13" fillId="5" fontId="1" numFmtId="49" xfId="0" applyAlignment="1" applyBorder="1" applyFont="1" applyNumberFormat="1">
      <alignment horizontal="center" readingOrder="0" vertical="center"/>
    </xf>
    <xf borderId="11" fillId="3" fontId="1" numFmtId="49" xfId="0" applyAlignment="1" applyBorder="1" applyFont="1" applyNumberFormat="1">
      <alignment horizontal="center" readingOrder="0" vertical="center"/>
    </xf>
    <xf borderId="1" fillId="3" fontId="1" numFmtId="49" xfId="0" applyAlignment="1" applyBorder="1" applyFont="1" applyNumberForma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vertical="center"/>
    </xf>
    <xf borderId="11" fillId="3" fontId="13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10" fillId="2" fontId="1" numFmtId="49" xfId="0" applyAlignment="1" applyBorder="1" applyFont="1" applyNumberFormat="1">
      <alignment horizontal="center" readingOrder="0" vertical="center"/>
    </xf>
    <xf borderId="0" fillId="2" fontId="13" numFmtId="49" xfId="0" applyAlignment="1" applyFont="1" applyNumberFormat="1">
      <alignment horizontal="center" readingOrder="0"/>
    </xf>
    <xf borderId="7" fillId="2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7" fillId="2" fontId="1" numFmtId="49" xfId="0" applyAlignment="1" applyBorder="1" applyFont="1" applyNumberFormat="1">
      <alignment horizontal="center" readingOrder="0" vertical="center"/>
    </xf>
    <xf borderId="11" fillId="7" fontId="13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center" readingOrder="0" vertical="center"/>
    </xf>
    <xf borderId="21" fillId="7" fontId="13" numFmtId="0" xfId="0" applyAlignment="1" applyBorder="1" applyFont="1">
      <alignment horizontal="center" readingOrder="0" vertical="center"/>
    </xf>
    <xf borderId="77" fillId="5" fontId="1" numFmtId="49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25" fillId="2" fontId="13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3" fillId="2" fontId="13" numFmtId="49" xfId="0" applyAlignment="1" applyBorder="1" applyFont="1" applyNumberFormat="1">
      <alignment horizontal="center" readingOrder="0"/>
    </xf>
    <xf borderId="0" fillId="5" fontId="1" numFmtId="49" xfId="0" applyAlignment="1" applyFont="1" applyNumberFormat="1">
      <alignment horizontal="center" vertical="center"/>
    </xf>
    <xf borderId="11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0" fillId="7" fontId="13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shrinkToFit="0" wrapText="1"/>
    </xf>
    <xf borderId="25" fillId="2" fontId="1" numFmtId="49" xfId="0" applyAlignment="1" applyBorder="1" applyFont="1" applyNumberFormat="1">
      <alignment horizontal="center" readingOrder="0" vertical="center"/>
    </xf>
    <xf borderId="11" fillId="3" fontId="13" numFmtId="49" xfId="0" applyAlignment="1" applyBorder="1" applyFont="1" applyNumberFormat="1">
      <alignment horizontal="center" vertical="center"/>
    </xf>
    <xf borderId="18" fillId="2" fontId="13" numFmtId="49" xfId="0" applyAlignment="1" applyBorder="1" applyFont="1" applyNumberFormat="1">
      <alignment horizontal="center" readingOrder="0" vertical="center"/>
    </xf>
    <xf borderId="11" fillId="7" fontId="9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10" fillId="2" fontId="13" numFmtId="49" xfId="0" applyAlignment="1" applyBorder="1" applyFont="1" applyNumberFormat="1">
      <alignment horizontal="center" readingOrder="0" vertical="center"/>
    </xf>
    <xf borderId="28" fillId="3" fontId="1" numFmtId="49" xfId="0" applyAlignment="1" applyBorder="1" applyFont="1" applyNumberFormat="1">
      <alignment horizontal="center" vertical="center"/>
    </xf>
    <xf borderId="34" fillId="7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vertical="center"/>
    </xf>
    <xf borderId="25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29" fillId="12" fontId="1" numFmtId="49" xfId="0" applyAlignment="1" applyBorder="1" applyFont="1" applyNumberFormat="1">
      <alignment horizontal="center" readingOrder="0" vertical="center"/>
    </xf>
    <xf borderId="23" fillId="12" fontId="1" numFmtId="49" xfId="0" applyAlignment="1" applyBorder="1" applyFont="1" applyNumberFormat="1">
      <alignment horizontal="center" readingOrder="0" vertical="center"/>
    </xf>
    <xf borderId="1" fillId="12" fontId="1" numFmtId="49" xfId="0" applyAlignment="1" applyBorder="1" applyFont="1" applyNumberFormat="1">
      <alignment horizontal="center" readingOrder="0" shrinkToFit="0" wrapText="1"/>
    </xf>
    <xf borderId="12" fillId="12" fontId="1" numFmtId="49" xfId="0" applyAlignment="1" applyBorder="1" applyFont="1" applyNumberFormat="1">
      <alignment horizontal="center" readingOrder="0" vertical="center"/>
    </xf>
    <xf borderId="13" fillId="12" fontId="1" numFmtId="49" xfId="0" applyAlignment="1" applyBorder="1" applyFont="1" applyNumberFormat="1">
      <alignment horizontal="center" readingOrder="0" vertical="center"/>
    </xf>
    <xf borderId="28" fillId="12" fontId="1" numFmtId="49" xfId="0" applyAlignment="1" applyBorder="1" applyFont="1" applyNumberFormat="1">
      <alignment horizontal="center" readingOrder="0" vertical="center"/>
    </xf>
    <xf borderId="30" fillId="12" fontId="1" numFmtId="49" xfId="0" applyAlignment="1" applyBorder="1" applyFont="1" applyNumberFormat="1">
      <alignment horizontal="center" readingOrder="0" vertical="center"/>
    </xf>
    <xf borderId="32" fillId="12" fontId="1" numFmtId="49" xfId="0" applyAlignment="1" applyBorder="1" applyFont="1" applyNumberFormat="1">
      <alignment horizontal="center" readingOrder="0" vertical="center"/>
    </xf>
    <xf borderId="31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 vertical="center"/>
    </xf>
    <xf borderId="37" fillId="12" fontId="1" numFmtId="0" xfId="0" applyAlignment="1" applyBorder="1" applyFont="1">
      <alignment horizontal="center" readingOrder="0" vertical="center"/>
    </xf>
    <xf borderId="38" fillId="12" fontId="1" numFmtId="49" xfId="0" applyAlignment="1" applyBorder="1" applyFont="1" applyNumberFormat="1">
      <alignment horizontal="center" readingOrder="0" vertical="center"/>
    </xf>
    <xf borderId="78" fillId="7" fontId="1" numFmtId="49" xfId="0" applyAlignment="1" applyBorder="1" applyFont="1" applyNumberForma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79" fillId="7" fontId="1" numFmtId="49" xfId="0" applyAlignment="1" applyBorder="1" applyFont="1" applyNumberFormat="1">
      <alignment horizontal="center" readingOrder="0" vertical="center"/>
    </xf>
    <xf borderId="35" fillId="12" fontId="1" numFmtId="49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vertical="bottom"/>
    </xf>
    <xf borderId="0" fillId="6" fontId="35" numFmtId="49" xfId="0" applyAlignment="1" applyFont="1" applyNumberFormat="1">
      <alignment horizontal="center" readingOrder="0" shrinkToFit="0" textRotation="0" vertical="center" wrapText="1"/>
    </xf>
    <xf borderId="0" fillId="2" fontId="36" numFmtId="0" xfId="0" applyAlignment="1" applyFont="1">
      <alignment horizontal="center" readingOrder="0" vertical="center"/>
    </xf>
    <xf borderId="0" fillId="2" fontId="37" numFmtId="49" xfId="0" applyAlignment="1" applyFont="1" applyNumberFormat="1">
      <alignment horizontal="center" readingOrder="0" shrinkToFit="0" wrapText="1"/>
    </xf>
    <xf borderId="0" fillId="0" fontId="27" numFmtId="0" xfId="0" applyAlignment="1" applyFont="1">
      <alignment vertical="bottom"/>
    </xf>
    <xf borderId="14" fillId="2" fontId="33" numFmtId="0" xfId="0" applyAlignment="1" applyBorder="1" applyFont="1">
      <alignment horizontal="center" readingOrder="0" vertical="center"/>
    </xf>
    <xf borderId="29" fillId="0" fontId="3" numFmtId="0" xfId="0" applyBorder="1" applyFont="1"/>
    <xf borderId="26" fillId="2" fontId="33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0" fillId="2" fontId="39" numFmtId="0" xfId="0" applyAlignment="1" applyFont="1">
      <alignment horizontal="center" shrinkToFit="0" vertical="center" wrapText="1"/>
    </xf>
    <xf borderId="0" fillId="2" fontId="40" numFmtId="0" xfId="0" applyAlignment="1" applyFont="1">
      <alignment horizontal="center" vertical="center"/>
    </xf>
    <xf borderId="24" fillId="0" fontId="3" numFmtId="0" xfId="0" applyBorder="1" applyFont="1"/>
    <xf borderId="23" fillId="0" fontId="3" numFmtId="0" xfId="0" applyBorder="1" applyFont="1"/>
    <xf borderId="0" fillId="0" fontId="40" numFmtId="0" xfId="0" applyAlignment="1" applyFont="1">
      <alignment horizontal="center"/>
    </xf>
    <xf borderId="18" fillId="10" fontId="41" numFmtId="0" xfId="0" applyAlignment="1" applyBorder="1" applyFont="1">
      <alignment horizontal="center" vertical="bottom"/>
    </xf>
    <xf borderId="1" fillId="2" fontId="33" numFmtId="0" xfId="0" applyAlignment="1" applyBorder="1" applyFont="1">
      <alignment horizontal="center" readingOrder="0"/>
    </xf>
    <xf borderId="12" fillId="13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39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vertical="bottom"/>
    </xf>
    <xf borderId="12" fillId="2" fontId="6" numFmtId="0" xfId="0" applyAlignment="1" applyBorder="1" applyFont="1">
      <alignment horizontal="center" readingOrder="0" vertical="bottom"/>
    </xf>
    <xf borderId="0" fillId="0" fontId="42" numFmtId="0" xfId="0" applyFont="1"/>
    <xf borderId="0" fillId="0" fontId="39" numFmtId="0" xfId="0" applyAlignment="1" applyFont="1">
      <alignment horizontal="center" vertical="center"/>
    </xf>
    <xf borderId="7" fillId="13" fontId="1" numFmtId="0" xfId="0" applyAlignment="1" applyBorder="1" applyFont="1">
      <alignment horizontal="center" readingOrder="0" vertical="bottom"/>
    </xf>
    <xf borderId="0" fillId="0" fontId="39" numFmtId="0" xfId="0" applyAlignment="1" applyFont="1">
      <alignment horizontal="left" vertical="center"/>
    </xf>
    <xf borderId="18" fillId="4" fontId="41" numFmtId="0" xfId="0" applyAlignment="1" applyBorder="1" applyFont="1">
      <alignment horizontal="center" vertical="bottom"/>
    </xf>
    <xf borderId="23" fillId="2" fontId="1" numFmtId="0" xfId="0" applyAlignment="1" applyBorder="1" applyFont="1">
      <alignment horizontal="center" readingOrder="0" vertical="bottom"/>
    </xf>
    <xf borderId="0" fillId="0" fontId="39" numFmtId="0" xfId="0" applyAlignment="1" applyFont="1">
      <alignment horizontal="center" readingOrder="0" vertical="center"/>
    </xf>
    <xf borderId="18" fillId="4" fontId="41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shrinkToFit="0" vertical="bottom" wrapText="1"/>
    </xf>
    <xf borderId="0" fillId="2" fontId="33" numFmtId="0" xfId="0" applyAlignment="1" applyFont="1">
      <alignment horizontal="center" readingOrder="0"/>
    </xf>
    <xf borderId="18" fillId="4" fontId="3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shrinkToFit="0" vertical="bottom" wrapText="1"/>
    </xf>
    <xf borderId="1" fillId="2" fontId="33" numFmtId="0" xfId="0" applyAlignment="1" applyBorder="1" applyFont="1">
      <alignment horizontal="center" vertical="center"/>
    </xf>
    <xf borderId="0" fillId="2" fontId="33" numFmtId="0" xfId="0" applyAlignment="1" applyFont="1">
      <alignment horizontal="center" vertical="center"/>
    </xf>
    <xf borderId="14" fillId="2" fontId="43" numFmtId="0" xfId="0" applyAlignment="1" applyBorder="1" applyFont="1">
      <alignment horizontal="center" readingOrder="0" vertical="center"/>
    </xf>
    <xf borderId="8" fillId="0" fontId="3" numFmtId="0" xfId="0" applyBorder="1" applyFont="1"/>
    <xf borderId="0" fillId="2" fontId="43" numFmtId="0" xfId="0" applyAlignment="1" applyFont="1">
      <alignment horizontal="center" readingOrder="0" vertical="center"/>
    </xf>
    <xf borderId="0" fillId="0" fontId="24" numFmtId="0" xfId="0" applyAlignment="1" applyFont="1">
      <alignment vertical="bottom"/>
    </xf>
    <xf borderId="18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vertical="bottom" wrapText="1"/>
    </xf>
    <xf borderId="1" fillId="25" fontId="33" numFmtId="0" xfId="0" applyAlignment="1" applyBorder="1" applyFill="1" applyFont="1">
      <alignment horizontal="center" readingOrder="0"/>
    </xf>
    <xf borderId="1" fillId="2" fontId="33" numFmtId="49" xfId="0" applyAlignment="1" applyBorder="1" applyFont="1" applyNumberFormat="1">
      <alignment horizontal="center" readingOrder="0" vertical="center"/>
    </xf>
    <xf borderId="0" fillId="2" fontId="33" numFmtId="49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vertical="center"/>
    </xf>
    <xf borderId="24" fillId="6" fontId="1" numFmtId="0" xfId="0" applyAlignment="1" applyBorder="1" applyFont="1">
      <alignment horizontal="center" shrinkToFit="0" vertical="bottom" wrapText="1"/>
    </xf>
    <xf borderId="18" fillId="6" fontId="33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bottom"/>
    </xf>
    <xf borderId="18" fillId="12" fontId="33" numFmtId="0" xfId="0" applyAlignment="1" applyBorder="1" applyFont="1">
      <alignment horizontal="center" readingOrder="0" vertical="center"/>
    </xf>
    <xf borderId="1" fillId="2" fontId="33" numFmtId="0" xfId="0" applyAlignment="1" applyBorder="1" applyFont="1">
      <alignment horizontal="center" readingOrder="0" vertical="center"/>
    </xf>
    <xf borderId="1" fillId="12" fontId="13" numFmtId="0" xfId="0" applyAlignment="1" applyBorder="1" applyFont="1">
      <alignment horizontal="center" readingOrder="0" shrinkToFit="0" vertical="bottom" wrapText="1"/>
    </xf>
    <xf borderId="1" fillId="2" fontId="33" numFmtId="49" xfId="0" applyAlignment="1" applyBorder="1" applyFont="1" applyNumberFormat="1">
      <alignment horizontal="center" vertical="center"/>
    </xf>
    <xf borderId="0" fillId="2" fontId="33" numFmtId="49" xfId="0" applyAlignment="1" applyFont="1" applyNumberFormat="1">
      <alignment horizontal="center" vertical="center"/>
    </xf>
    <xf borderId="0" fillId="0" fontId="21" numFmtId="0" xfId="0" applyAlignment="1" applyFont="1">
      <alignment horizontal="left" vertical="bottom"/>
    </xf>
    <xf borderId="18" fillId="2" fontId="33" numFmtId="0" xfId="0" applyAlignment="1" applyBorder="1" applyFont="1">
      <alignment horizontal="center" vertical="center"/>
    </xf>
    <xf borderId="1" fillId="2" fontId="34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center"/>
    </xf>
    <xf borderId="0" fillId="2" fontId="44" numFmtId="0" xfId="0" applyAlignment="1" applyFont="1">
      <alignment horizontal="center" vertical="center"/>
    </xf>
    <xf borderId="0" fillId="0" fontId="45" numFmtId="0" xfId="0" applyAlignment="1" applyFont="1">
      <alignment horizontal="center" shrinkToFit="0" vertical="center" wrapText="0"/>
    </xf>
    <xf borderId="0" fillId="0" fontId="33" numFmtId="49" xfId="0" applyAlignment="1" applyFont="1" applyNumberFormat="1">
      <alignment horizontal="center" readingOrder="0" vertical="center"/>
    </xf>
    <xf borderId="0" fillId="0" fontId="46" numFmtId="0" xfId="0" applyAlignment="1" applyFont="1">
      <alignment horizontal="left" vertical="center"/>
    </xf>
    <xf borderId="0" fillId="0" fontId="45" numFmtId="0" xfId="0" applyAlignment="1" applyFont="1">
      <alignment horizontal="center" vertical="center"/>
    </xf>
    <xf borderId="18" fillId="8" fontId="33" numFmtId="0" xfId="0" applyAlignment="1" applyBorder="1" applyFont="1">
      <alignment horizontal="center" readingOrder="0" vertical="center"/>
    </xf>
    <xf borderId="1" fillId="2" fontId="47" numFmtId="0" xfId="0" applyAlignment="1" applyBorder="1" applyFont="1">
      <alignment horizontal="center" readingOrder="0"/>
    </xf>
    <xf borderId="1" fillId="25" fontId="33" numFmtId="0" xfId="0" applyAlignment="1" applyBorder="1" applyFont="1">
      <alignment horizontal="center"/>
    </xf>
    <xf borderId="0" fillId="0" fontId="45" numFmtId="0" xfId="0" applyAlignment="1" applyFont="1">
      <alignment horizontal="left" readingOrder="0" vertical="center"/>
    </xf>
    <xf borderId="1" fillId="8" fontId="34" numFmtId="0" xfId="0" applyAlignment="1" applyBorder="1" applyFont="1">
      <alignment horizontal="center" vertical="bottom"/>
    </xf>
    <xf borderId="0" fillId="0" fontId="45" numFmtId="0" xfId="0" applyAlignment="1" applyFont="1">
      <alignment horizontal="left" vertical="center"/>
    </xf>
    <xf borderId="0" fillId="7" fontId="21" numFmtId="0" xfId="0" applyAlignment="1" applyFont="1">
      <alignment horizontal="left" vertical="bottom"/>
    </xf>
    <xf borderId="18" fillId="7" fontId="48" numFmtId="0" xfId="0" applyAlignment="1" applyBorder="1" applyFont="1">
      <alignment horizontal="center"/>
    </xf>
    <xf borderId="1" fillId="7" fontId="49" numFmtId="0" xfId="0" applyAlignment="1" applyBorder="1" applyFont="1">
      <alignment horizontal="center"/>
    </xf>
    <xf borderId="1" fillId="7" fontId="48" numFmtId="0" xfId="0" applyAlignment="1" applyBorder="1" applyFont="1">
      <alignment horizontal="center"/>
    </xf>
    <xf borderId="1" fillId="7" fontId="48" numFmtId="0" xfId="0" applyAlignment="1" applyBorder="1" applyFont="1">
      <alignment horizontal="center" readingOrder="0"/>
    </xf>
    <xf borderId="0" fillId="7" fontId="48" numFmtId="0" xfId="0" applyAlignment="1" applyFont="1">
      <alignment horizontal="center" readingOrder="0"/>
    </xf>
    <xf borderId="0" fillId="7" fontId="39" numFmtId="0" xfId="0" applyAlignment="1" applyFont="1">
      <alignment horizontal="left" vertical="center"/>
    </xf>
    <xf borderId="0" fillId="7" fontId="39" numFmtId="0" xfId="0" applyAlignment="1" applyFont="1">
      <alignment horizontal="center" vertical="center"/>
    </xf>
    <xf borderId="0" fillId="0" fontId="21" numFmtId="49" xfId="0" applyAlignment="1" applyFont="1" applyNumberFormat="1">
      <alignment vertical="bottom"/>
    </xf>
    <xf borderId="0" fillId="2" fontId="13" numFmtId="0" xfId="0" applyAlignment="1" applyFont="1">
      <alignment horizontal="center" vertical="center"/>
    </xf>
    <xf borderId="0" fillId="2" fontId="1" numFmtId="49" xfId="0" applyAlignment="1" applyFont="1" applyNumberFormat="1">
      <alignment horizontal="center" vertical="center"/>
    </xf>
    <xf borderId="0" fillId="0" fontId="31" numFmtId="0" xfId="0" applyAlignment="1" applyFont="1">
      <alignment readingOrder="0"/>
    </xf>
    <xf borderId="0" fillId="0" fontId="50" numFmtId="0" xfId="0" applyAlignment="1" applyFont="1">
      <alignment vertical="bottom"/>
    </xf>
    <xf borderId="80" fillId="2" fontId="51" numFmtId="0" xfId="0" applyAlignment="1" applyBorder="1" applyFont="1">
      <alignment horizontal="center" readingOrder="0" vertical="center"/>
    </xf>
    <xf borderId="81" fillId="0" fontId="3" numFmtId="0" xfId="0" applyBorder="1" applyFont="1"/>
    <xf borderId="82" fillId="0" fontId="3" numFmtId="0" xfId="0" applyBorder="1" applyFont="1"/>
    <xf borderId="0" fillId="2" fontId="31" numFmtId="0" xfId="0" applyFont="1"/>
    <xf borderId="1" fillId="0" fontId="50" numFmtId="0" xfId="0" applyAlignment="1" applyBorder="1" applyFont="1">
      <alignment vertical="bottom"/>
    </xf>
    <xf borderId="23" fillId="2" fontId="51" numFmtId="0" xfId="0" applyAlignment="1" applyBorder="1" applyFont="1">
      <alignment horizontal="center" readingOrder="0" vertical="center"/>
    </xf>
    <xf borderId="23" fillId="2" fontId="51" numFmtId="0" xfId="0" applyAlignment="1" applyBorder="1" applyFont="1">
      <alignment horizontal="center" vertical="center"/>
    </xf>
    <xf borderId="83" fillId="0" fontId="52" numFmtId="0" xfId="0" applyAlignment="1" applyBorder="1" applyFont="1">
      <alignment horizontal="center"/>
    </xf>
    <xf borderId="84" fillId="2" fontId="51" numFmtId="0" xfId="0" applyAlignment="1" applyBorder="1" applyFont="1">
      <alignment horizontal="center" readingOrder="0" shrinkToFit="0" wrapText="1"/>
    </xf>
    <xf borderId="84" fillId="10" fontId="53" numFmtId="0" xfId="0" applyAlignment="1" applyBorder="1" applyFont="1">
      <alignment horizontal="center" readingOrder="0"/>
    </xf>
    <xf borderId="0" fillId="9" fontId="31" numFmtId="0" xfId="0" applyFont="1"/>
    <xf borderId="84" fillId="10" fontId="53" numFmtId="0" xfId="0" applyAlignment="1" applyBorder="1" applyFont="1">
      <alignment horizontal="center" readingOrder="0"/>
    </xf>
    <xf borderId="85" fillId="10" fontId="53" numFmtId="0" xfId="0" applyAlignment="1" applyBorder="1" applyFont="1">
      <alignment horizontal="center" readingOrder="0"/>
    </xf>
    <xf borderId="1" fillId="10" fontId="53" numFmtId="0" xfId="0" applyAlignment="1" applyBorder="1" applyFont="1">
      <alignment horizontal="center" readingOrder="0"/>
    </xf>
    <xf borderId="0" fillId="6" fontId="31" numFmtId="0" xfId="0" applyAlignment="1" applyFont="1">
      <alignment readingOrder="0"/>
    </xf>
    <xf borderId="0" fillId="2" fontId="31" numFmtId="0" xfId="0" applyAlignment="1" applyFont="1">
      <alignment readingOrder="0"/>
    </xf>
    <xf borderId="83" fillId="0" fontId="52" numFmtId="0" xfId="0" applyAlignment="1" applyBorder="1" applyFont="1">
      <alignment horizontal="center" readingOrder="0"/>
    </xf>
    <xf borderId="84" fillId="2" fontId="51" numFmtId="0" xfId="0" applyAlignment="1" applyBorder="1" applyFont="1">
      <alignment horizontal="center" shrinkToFit="0" wrapText="1"/>
    </xf>
    <xf borderId="84" fillId="9" fontId="53" numFmtId="0" xfId="0" applyAlignment="1" applyBorder="1" applyFont="1">
      <alignment horizontal="center" readingOrder="0"/>
    </xf>
    <xf borderId="85" fillId="10" fontId="53" numFmtId="0" xfId="0" applyAlignment="1" applyBorder="1" applyFont="1">
      <alignment horizontal="center" readingOrder="0"/>
    </xf>
    <xf borderId="84" fillId="2" fontId="51" numFmtId="0" xfId="0" applyAlignment="1" applyBorder="1" applyFont="1">
      <alignment horizontal="center" shrinkToFit="0" wrapText="1"/>
    </xf>
    <xf borderId="0" fillId="2" fontId="31" numFmtId="0" xfId="0" applyFont="1"/>
    <xf borderId="85" fillId="9" fontId="53" numFmtId="0" xfId="0" applyAlignment="1" applyBorder="1" applyFont="1">
      <alignment horizontal="center" readingOrder="0"/>
    </xf>
    <xf borderId="86" fillId="10" fontId="53" numFmtId="0" xfId="0" applyAlignment="1" applyBorder="1" applyFont="1">
      <alignment horizontal="center" readingOrder="0"/>
    </xf>
    <xf borderId="86" fillId="10" fontId="53" numFmtId="0" xfId="0" applyAlignment="1" applyBorder="1" applyFont="1">
      <alignment horizontal="center" readingOrder="0"/>
    </xf>
    <xf borderId="0" fillId="10" fontId="53" numFmtId="0" xfId="0" applyAlignment="1" applyFont="1">
      <alignment horizontal="center" readingOrder="0"/>
    </xf>
    <xf borderId="26" fillId="10" fontId="53" numFmtId="0" xfId="0" applyAlignment="1" applyBorder="1" applyFont="1">
      <alignment horizontal="center" readingOrder="0"/>
    </xf>
    <xf borderId="0" fillId="0" fontId="54" numFmtId="0" xfId="0" applyFont="1"/>
    <xf borderId="87" fillId="0" fontId="31" numFmtId="0" xfId="0" applyAlignment="1" applyBorder="1" applyFont="1">
      <alignment horizontal="center"/>
    </xf>
    <xf borderId="88" fillId="2" fontId="51" numFmtId="0" xfId="0" applyAlignment="1" applyBorder="1" applyFont="1">
      <alignment horizontal="center" readingOrder="0" vertical="center"/>
    </xf>
    <xf borderId="89" fillId="0" fontId="3" numFmtId="0" xfId="0" applyBorder="1" applyFont="1"/>
    <xf borderId="90" fillId="0" fontId="3" numFmtId="0" xfId="0" applyBorder="1" applyFont="1"/>
    <xf borderId="91" fillId="0" fontId="3" numFmtId="0" xfId="0" applyBorder="1" applyFont="1"/>
    <xf borderId="77" fillId="0" fontId="3" numFmtId="0" xfId="0" applyBorder="1" applyFont="1"/>
    <xf borderId="92" fillId="0" fontId="3" numFmtId="0" xfId="0" applyBorder="1" applyFont="1"/>
    <xf borderId="1" fillId="0" fontId="52" numFmtId="0" xfId="0" applyAlignment="1" applyBorder="1" applyFont="1">
      <alignment horizontal="center"/>
    </xf>
    <xf borderId="1" fillId="2" fontId="51" numFmtId="0" xfId="0" applyAlignment="1" applyBorder="1" applyFont="1">
      <alignment horizontal="center" shrinkToFit="0" wrapText="1"/>
    </xf>
    <xf borderId="1" fillId="9" fontId="53" numFmtId="0" xfId="0" applyAlignment="1" applyBorder="1" applyFont="1">
      <alignment horizontal="center" readingOrder="0"/>
    </xf>
    <xf borderId="1" fillId="2" fontId="51" numFmtId="0" xfId="0" applyAlignment="1" applyBorder="1" applyFont="1">
      <alignment horizontal="center" readingOrder="0" shrinkToFit="0" wrapText="1"/>
    </xf>
    <xf borderId="1" fillId="10" fontId="53" numFmtId="0" xfId="0" applyAlignment="1" applyBorder="1" applyFont="1">
      <alignment horizontal="center" readingOrder="0"/>
    </xf>
    <xf borderId="26" fillId="10" fontId="53" numFmtId="0" xfId="0" applyAlignment="1" applyBorder="1" applyFont="1">
      <alignment horizontal="center" readingOrder="0"/>
    </xf>
    <xf borderId="0" fillId="9" fontId="53" numFmtId="0" xfId="0" applyAlignment="1" applyFont="1">
      <alignment horizontal="center" readingOrder="0"/>
    </xf>
    <xf borderId="0" fillId="0" fontId="52" numFmtId="0" xfId="0" applyAlignment="1" applyFont="1">
      <alignment horizontal="center" readingOrder="0"/>
    </xf>
    <xf borderId="0" fillId="2" fontId="51" numFmtId="0" xfId="0" applyAlignment="1" applyFont="1">
      <alignment horizontal="center" shrinkToFit="0" wrapText="1"/>
    </xf>
    <xf borderId="0" fillId="10" fontId="53" numFmtId="0" xfId="0" applyAlignment="1" applyFont="1">
      <alignment horizontal="center" readingOrder="0"/>
    </xf>
    <xf borderId="36" fillId="2" fontId="51" numFmtId="0" xfId="0" applyAlignment="1" applyBorder="1" applyFont="1">
      <alignment horizontal="center" readingOrder="0" vertical="center"/>
    </xf>
    <xf borderId="36" fillId="2" fontId="51" numFmtId="0" xfId="0" applyAlignment="1" applyBorder="1" applyFont="1">
      <alignment horizontal="center" vertical="center"/>
    </xf>
    <xf borderId="1" fillId="2" fontId="51" numFmtId="0" xfId="0" applyAlignment="1" applyBorder="1" applyFont="1">
      <alignment horizontal="center" shrinkToFit="0" wrapText="1"/>
    </xf>
    <xf borderId="1" fillId="9" fontId="53" numFmtId="0" xfId="0" applyAlignment="1" applyBorder="1" applyFont="1">
      <alignment horizontal="center" readingOrder="0"/>
    </xf>
    <xf borderId="26" fillId="9" fontId="53" numFmtId="0" xfId="0" applyAlignment="1" applyBorder="1" applyFont="1">
      <alignment horizontal="center" readingOrder="0"/>
    </xf>
    <xf borderId="1" fillId="2" fontId="51" numFmtId="4" xfId="0" applyAlignment="1" applyBorder="1" applyFont="1" applyNumberFormat="1">
      <alignment horizontal="center" shrinkToFit="0" wrapText="1"/>
    </xf>
    <xf borderId="26" fillId="9" fontId="53" numFmtId="0" xfId="0" applyAlignment="1" applyBorder="1" applyFont="1">
      <alignment horizontal="center" readingOrder="0"/>
    </xf>
    <xf borderId="93" fillId="0" fontId="55" numFmtId="0" xfId="0" applyAlignment="1" applyBorder="1" applyFont="1">
      <alignment horizontal="center" readingOrder="0" vertical="center"/>
    </xf>
    <xf borderId="94" fillId="0" fontId="3" numFmtId="0" xfId="0" applyBorder="1" applyFont="1"/>
    <xf borderId="95" fillId="0" fontId="3" numFmtId="0" xfId="0" applyBorder="1" applyFont="1"/>
    <xf borderId="0" fillId="0" fontId="21" numFmtId="0" xfId="0" applyAlignment="1" applyFont="1">
      <alignment vertical="bottom"/>
    </xf>
    <xf borderId="18" fillId="0" fontId="56" numFmtId="169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2" fontId="19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0" fillId="9" fontId="21" numFmtId="0" xfId="0" applyAlignment="1" applyFont="1">
      <alignment vertical="bottom"/>
    </xf>
    <xf borderId="0" fillId="2" fontId="27" numFmtId="0" xfId="0" applyAlignment="1" applyFont="1">
      <alignment shrinkToFit="0" vertical="bottom" wrapText="1"/>
    </xf>
    <xf borderId="0" fillId="0" fontId="31" numFmtId="0" xfId="0" applyFont="1"/>
    <xf borderId="18" fillId="0" fontId="56" numFmtId="169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horizontal="center" readingOrder="0" vertical="bottom"/>
    </xf>
    <xf borderId="0" fillId="2" fontId="51" numFmtId="0" xfId="0" applyAlignment="1" applyFont="1">
      <alignment horizontal="center" readingOrder="0" vertical="center"/>
    </xf>
    <xf borderId="1" fillId="2" fontId="51" numFmtId="0" xfId="0" applyAlignment="1" applyBorder="1" applyFont="1">
      <alignment horizontal="center" readingOrder="0" vertical="center"/>
    </xf>
    <xf borderId="1" fillId="2" fontId="51" numFmtId="0" xfId="0" applyAlignment="1" applyBorder="1" applyFont="1">
      <alignment horizontal="center" vertical="center"/>
    </xf>
    <xf borderId="84" fillId="9" fontId="53" numFmtId="0" xfId="0" applyAlignment="1" applyBorder="1" applyFont="1">
      <alignment horizontal="center" readingOrder="0"/>
    </xf>
    <xf borderId="26" fillId="2" fontId="51" numFmtId="0" xfId="0" applyAlignment="1" applyBorder="1" applyFont="1">
      <alignment horizontal="center" readingOrder="0" vertical="center"/>
    </xf>
    <xf borderId="26" fillId="2" fontId="51" numFmtId="0" xfId="0" applyAlignment="1" applyBorder="1" applyFont="1">
      <alignment horizontal="center" vertical="center"/>
    </xf>
    <xf borderId="83" fillId="2" fontId="52" numFmtId="0" xfId="0" applyAlignment="1" applyBorder="1" applyFont="1">
      <alignment horizontal="center" readingOrder="0"/>
    </xf>
    <xf borderId="84" fillId="2" fontId="53" numFmtId="0" xfId="0" applyAlignment="1" applyBorder="1" applyFont="1">
      <alignment horizontal="center" readingOrder="0"/>
    </xf>
    <xf borderId="84" fillId="2" fontId="53" numFmtId="0" xfId="0" applyAlignment="1" applyBorder="1" applyFont="1">
      <alignment horizontal="center" readingOrder="0"/>
    </xf>
    <xf borderId="0" fillId="0" fontId="31" numFmtId="0" xfId="0" applyAlignment="1" applyFont="1">
      <alignment horizontal="center" readingOrder="0" vertical="center"/>
    </xf>
    <xf borderId="0" fillId="2" fontId="57" numFmtId="0" xfId="0" applyFont="1"/>
    <xf borderId="0" fillId="0" fontId="31" numFmtId="4" xfId="0" applyFont="1" applyNumberFormat="1"/>
    <xf borderId="0" fillId="26" fontId="58" numFmtId="0" xfId="0" applyAlignment="1" applyFill="1" applyFont="1">
      <alignment vertical="bottom"/>
    </xf>
    <xf borderId="0" fillId="26" fontId="27" numFmtId="0" xfId="0" applyAlignment="1" applyFont="1">
      <alignment readingOrder="0" vertical="bottom"/>
    </xf>
    <xf borderId="0" fillId="26" fontId="27" numFmtId="0" xfId="0" applyAlignment="1" applyFont="1">
      <alignment vertical="bottom"/>
    </xf>
    <xf borderId="0" fillId="2" fontId="59" numFmtId="0" xfId="0" applyFont="1"/>
    <xf borderId="0" fillId="0" fontId="45" numFmtId="0" xfId="0" applyAlignment="1" applyFont="1">
      <alignment horizontal="center" vertical="center"/>
    </xf>
    <xf borderId="0" fillId="0" fontId="45" numFmtId="0" xfId="0" applyFont="1"/>
    <xf borderId="0" fillId="2" fontId="58" numFmtId="0" xfId="0" applyAlignment="1" applyFont="1">
      <alignment horizontal="center" vertical="bottom"/>
    </xf>
    <xf borderId="0" fillId="2" fontId="27" numFmtId="0" xfId="0" applyAlignment="1" applyFont="1">
      <alignment horizontal="center" readingOrder="0" vertical="bottom"/>
    </xf>
    <xf borderId="0" fillId="2" fontId="45" numFmtId="0" xfId="0" applyAlignment="1" applyFont="1">
      <alignment horizontal="center" vertical="center"/>
    </xf>
    <xf borderId="0" fillId="2" fontId="45" numFmtId="0" xfId="0" applyFont="1"/>
    <xf borderId="0" fillId="26" fontId="58" numFmtId="0" xfId="0" applyAlignment="1" applyFont="1">
      <alignment horizontal="center" vertical="bottom"/>
    </xf>
    <xf borderId="0" fillId="26" fontId="27" numFmtId="0" xfId="0" applyAlignment="1" applyFont="1">
      <alignment horizontal="center" readingOrder="0" vertical="bottom"/>
    </xf>
    <xf borderId="0" fillId="17" fontId="21" numFmtId="0" xfId="0" applyAlignment="1" applyFont="1">
      <alignment horizontal="center" vertical="bottom"/>
    </xf>
    <xf borderId="0" fillId="17" fontId="21" numFmtId="0" xfId="0" applyAlignment="1" applyFont="1">
      <alignment horizontal="center" readingOrder="0" vertical="bottom"/>
    </xf>
    <xf borderId="0" fillId="17" fontId="27" numFmtId="0" xfId="0" applyAlignment="1" applyFont="1">
      <alignment horizontal="center" vertical="bottom"/>
    </xf>
    <xf borderId="0" fillId="27" fontId="27" numFmtId="0" xfId="0" applyAlignment="1" applyFill="1" applyFont="1">
      <alignment vertical="bottom"/>
    </xf>
    <xf borderId="0" fillId="27" fontId="27" numFmtId="0" xfId="0" applyAlignment="1" applyFont="1">
      <alignment readingOrder="0" vertical="bottom"/>
    </xf>
    <xf borderId="0" fillId="2" fontId="57" numFmtId="0" xfId="0" applyFont="1"/>
    <xf borderId="0" fillId="0" fontId="31" numFmtId="0" xfId="0" applyAlignment="1" applyFont="1">
      <alignment readingOrder="0"/>
    </xf>
    <xf borderId="0" fillId="0" fontId="31" numFmtId="0" xfId="0" applyFont="1"/>
    <xf borderId="0" fillId="28" fontId="27" numFmtId="4" xfId="0" applyAlignment="1" applyFill="1" applyFont="1" applyNumberFormat="1">
      <alignment vertical="bottom"/>
    </xf>
    <xf borderId="0" fillId="0" fontId="27" numFmtId="0" xfId="0" applyAlignment="1" applyFont="1">
      <alignment readingOrder="0"/>
    </xf>
    <xf borderId="0" fillId="0" fontId="31" numFmtId="4" xfId="0" applyFont="1" applyNumberFormat="1"/>
    <xf borderId="0" fillId="0" fontId="31" numFmtId="3" xfId="0" applyFont="1" applyNumberFormat="1"/>
    <xf borderId="0" fillId="0" fontId="31" numFmtId="10" xfId="0" applyFont="1" applyNumberFormat="1"/>
    <xf borderId="0" fillId="0" fontId="31" numFmtId="1" xfId="0" applyFont="1" applyNumberFormat="1"/>
    <xf borderId="0" fillId="0" fontId="31" numFmtId="2" xfId="0" applyFont="1" applyNumberFormat="1"/>
    <xf borderId="0" fillId="2" fontId="60" numFmtId="4" xfId="0" applyAlignment="1" applyFont="1" applyNumberFormat="1">
      <alignment horizontal="center" vertical="bottom"/>
    </xf>
    <xf borderId="0" fillId="0" fontId="31" numFmtId="2" xfId="0" applyFont="1" applyNumberFormat="1"/>
    <xf borderId="0" fillId="0" fontId="21" numFmtId="4" xfId="0" applyAlignment="1" applyFont="1" applyNumberFormat="1">
      <alignment vertical="bottom"/>
    </xf>
    <xf borderId="0" fillId="29" fontId="27" numFmtId="0" xfId="0" applyAlignment="1" applyFill="1" applyFont="1">
      <alignment vertical="bottom"/>
    </xf>
    <xf borderId="0" fillId="29" fontId="27" numFmtId="0" xfId="0" applyAlignment="1" applyFont="1">
      <alignment readingOrder="0" vertical="bottom"/>
    </xf>
    <xf borderId="0" fillId="2" fontId="27" numFmtId="4" xfId="0" applyAlignment="1" applyFont="1" applyNumberFormat="1">
      <alignment horizontal="center" readingOrder="0" vertical="bottom"/>
    </xf>
    <xf borderId="0" fillId="2" fontId="45" numFmtId="4" xfId="0" applyAlignment="1" applyFont="1" applyNumberFormat="1">
      <alignment horizontal="center" vertical="center"/>
    </xf>
    <xf borderId="0" fillId="2" fontId="31" numFmtId="4" xfId="0" applyFont="1" applyNumberFormat="1"/>
    <xf borderId="2" fillId="3" fontId="61" numFmtId="164" xfId="0" applyAlignment="1" applyBorder="1" applyFont="1" applyNumberFormat="1">
      <alignment horizontal="center" readingOrder="0"/>
    </xf>
    <xf borderId="2" fillId="3" fontId="61" numFmtId="0" xfId="0" applyAlignment="1" applyBorder="1" applyFont="1">
      <alignment horizontal="center" readingOrder="0"/>
    </xf>
    <xf borderId="0" fillId="3" fontId="61" numFmtId="0" xfId="0" applyAlignment="1" applyFont="1">
      <alignment horizontal="center" readingOrder="0"/>
    </xf>
    <xf borderId="0" fillId="2" fontId="61" numFmtId="0" xfId="0" applyAlignment="1" applyFont="1">
      <alignment horizontal="center" readingOrder="0"/>
    </xf>
    <xf borderId="3" fillId="4" fontId="62" numFmtId="49" xfId="0" applyAlignment="1" applyBorder="1" applyFont="1" applyNumberFormat="1">
      <alignment horizontal="center" readingOrder="0" vertical="center"/>
    </xf>
    <xf borderId="3" fillId="5" fontId="1" numFmtId="49" xfId="0" applyAlignment="1" applyBorder="1" applyFont="1" applyNumberFormat="1">
      <alignment horizontal="center" readingOrder="0" vertical="center"/>
    </xf>
    <xf borderId="5" fillId="3" fontId="62" numFmtId="49" xfId="0" applyAlignment="1" applyBorder="1" applyFont="1" applyNumberFormat="1">
      <alignment horizontal="center" readingOrder="0" vertical="center"/>
    </xf>
    <xf borderId="6" fillId="5" fontId="63" numFmtId="165" xfId="0" applyAlignment="1" applyBorder="1" applyFont="1" applyNumberFormat="1">
      <alignment horizontal="center"/>
    </xf>
    <xf borderId="3" fillId="3" fontId="5" numFmtId="49" xfId="0" applyAlignment="1" applyBorder="1" applyFont="1" applyNumberFormat="1">
      <alignment horizontal="center" readingOrder="0" vertical="bottom"/>
    </xf>
    <xf borderId="0" fillId="2" fontId="5" numFmtId="49" xfId="0" applyAlignment="1" applyFont="1" applyNumberFormat="1">
      <alignment horizontal="center" readingOrder="0" vertical="bottom"/>
    </xf>
    <xf borderId="10" fillId="5" fontId="33" numFmtId="49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readingOrder="0" vertical="center"/>
    </xf>
    <xf borderId="7" fillId="5" fontId="34" numFmtId="165" xfId="0" applyAlignment="1" applyBorder="1" applyFont="1" applyNumberFormat="1">
      <alignment horizontal="center" vertical="center"/>
    </xf>
    <xf borderId="14" fillId="4" fontId="7" numFmtId="49" xfId="0" applyAlignment="1" applyBorder="1" applyFont="1" applyNumberFormat="1">
      <alignment horizontal="center" readingOrder="0" vertical="center"/>
    </xf>
    <xf borderId="16" fillId="4" fontId="7" numFmtId="49" xfId="0" applyAlignment="1" applyBorder="1" applyFont="1" applyNumberFormat="1">
      <alignment horizontal="center" readingOrder="0" vertical="center"/>
    </xf>
    <xf borderId="17" fillId="3" fontId="7" numFmtId="49" xfId="0" applyAlignment="1" applyBorder="1" applyFont="1" applyNumberFormat="1">
      <alignment horizontal="center" readingOrder="0" vertical="center"/>
    </xf>
    <xf borderId="0" fillId="2" fontId="7" numFmtId="49" xfId="0" applyAlignment="1" applyFont="1" applyNumberForma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10" fillId="5" fontId="1" numFmtId="49" xfId="0" applyAlignment="1" applyBorder="1" applyFont="1" applyNumberFormat="1">
      <alignment horizontal="center" vertical="center"/>
    </xf>
    <xf borderId="22" fillId="7" fontId="1" numFmtId="49" xfId="0" applyAlignment="1" applyBorder="1" applyFont="1" applyNumberFormat="1">
      <alignment horizontal="center" readingOrder="0" vertical="center"/>
    </xf>
    <xf borderId="7" fillId="5" fontId="13" numFmtId="165" xfId="0" applyAlignment="1" applyBorder="1" applyFont="1" applyNumberFormat="1">
      <alignment horizontal="center"/>
    </xf>
    <xf borderId="1" fillId="6" fontId="1" numFmtId="49" xfId="0" applyAlignment="1" applyBorder="1" applyFont="1" applyNumberFormat="1">
      <alignment horizontal="center" readingOrder="0"/>
    </xf>
    <xf borderId="7" fillId="5" fontId="13" numFmtId="0" xfId="0" applyAlignment="1" applyBorder="1" applyFont="1">
      <alignment horizontal="center"/>
    </xf>
    <xf borderId="12" fillId="8" fontId="1" numFmtId="49" xfId="0" applyAlignment="1" applyBorder="1" applyFont="1" applyNumberFormat="1">
      <alignment horizontal="center" readingOrder="0" vertical="bottom"/>
    </xf>
    <xf borderId="24" fillId="8" fontId="1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readingOrder="0" vertical="top"/>
    </xf>
    <xf borderId="6" fillId="7" fontId="1" numFmtId="49" xfId="0" applyAlignment="1" applyBorder="1" applyFont="1" applyNumberFormat="1">
      <alignment horizontal="center" readingOrder="0" vertical="center"/>
    </xf>
    <xf borderId="3" fillId="7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5" fillId="7" fontId="1" numFmtId="49" xfId="0" applyAlignment="1" applyBorder="1" applyFont="1" applyNumberFormat="1">
      <alignment horizontal="center" readingOrder="0" vertical="center"/>
    </xf>
    <xf borderId="1" fillId="2" fontId="13" numFmtId="49" xfId="0" applyAlignment="1" applyBorder="1" applyFont="1" applyNumberFormat="1">
      <alignment horizontal="center" readingOrder="0"/>
    </xf>
    <xf borderId="13" fillId="7" fontId="1" numFmtId="49" xfId="0" applyAlignment="1" applyBorder="1" applyFont="1" applyNumberFormat="1">
      <alignment horizontal="center" readingOrder="0"/>
    </xf>
    <xf borderId="12" fillId="8" fontId="1" numFmtId="49" xfId="0" applyAlignment="1" applyBorder="1" applyFont="1" applyNumberFormat="1">
      <alignment horizontal="center" readingOrder="0"/>
    </xf>
    <xf borderId="23" fillId="8" fontId="1" numFmtId="0" xfId="0" applyAlignment="1" applyBorder="1" applyFont="1">
      <alignment horizontal="center" vertical="bottom"/>
    </xf>
    <xf borderId="1" fillId="8" fontId="1" numFmtId="49" xfId="0" applyAlignment="1" applyBorder="1" applyFont="1" applyNumberFormat="1">
      <alignment horizontal="center" readingOrder="0" vertical="top"/>
    </xf>
    <xf borderId="7" fillId="7" fontId="1" numFmtId="49" xfId="0" applyAlignment="1" applyBorder="1" applyFont="1" applyNumberFormat="1">
      <alignment horizontal="center" vertical="center"/>
    </xf>
    <xf borderId="10" fillId="7" fontId="1" numFmtId="49" xfId="0" applyAlignment="1" applyBorder="1" applyFont="1" applyNumberFormat="1">
      <alignment horizontal="center" vertical="center"/>
    </xf>
    <xf borderId="1" fillId="7" fontId="1" numFmtId="49" xfId="0" applyAlignment="1" applyBorder="1" applyFont="1" applyNumberFormat="1">
      <alignment horizontal="center" vertical="center"/>
    </xf>
    <xf borderId="25" fillId="7" fontId="1" numFmtId="49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10" fillId="7" fontId="1" numFmtId="49" xfId="0" applyAlignment="1" applyBorder="1" applyFont="1" applyNumberFormat="1">
      <alignment horizontal="center" readingOrder="0" vertical="center"/>
    </xf>
    <xf borderId="25" fillId="5" fontId="1" numFmtId="49" xfId="0" applyAlignment="1" applyBorder="1" applyFont="1" applyNumberFormat="1">
      <alignment horizontal="center" readingOrder="0"/>
    </xf>
    <xf borderId="1" fillId="8" fontId="33" numFmtId="0" xfId="0" applyAlignment="1" applyBorder="1" applyFont="1">
      <alignment horizontal="center" readingOrder="0" shrinkToFit="0" vertical="bottom" wrapText="0"/>
    </xf>
    <xf borderId="23" fillId="8" fontId="34" numFmtId="4" xfId="0" applyAlignment="1" applyBorder="1" applyFont="1" applyNumberFormat="1">
      <alignment horizontal="center" vertical="bottom"/>
    </xf>
    <xf borderId="25" fillId="8" fontId="1" numFmtId="49" xfId="0" applyAlignment="1" applyBorder="1" applyFont="1" applyNumberFormat="1">
      <alignment horizontal="center" readingOrder="0"/>
    </xf>
    <xf borderId="27" fillId="2" fontId="1" numFmtId="49" xfId="0" applyAlignment="1" applyBorder="1" applyFont="1" applyNumberFormat="1">
      <alignment horizontal="center" readingOrder="0" vertical="bottom"/>
    </xf>
    <xf borderId="18" fillId="8" fontId="13" numFmtId="49" xfId="0" applyAlignment="1" applyBorder="1" applyFont="1" applyNumberFormat="1">
      <alignment horizontal="center" readingOrder="0" vertical="bottom"/>
    </xf>
    <xf borderId="18" fillId="8" fontId="13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/>
    </xf>
    <xf borderId="1" fillId="4" fontId="1" numFmtId="49" xfId="0" applyAlignment="1" applyBorder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 vertical="center"/>
    </xf>
    <xf borderId="25" fillId="2" fontId="13" numFmtId="49" xfId="0" applyAlignment="1" applyBorder="1" applyFont="1" applyNumberFormat="1">
      <alignment horizontal="center" readingOrder="0"/>
    </xf>
    <xf borderId="12" fillId="3" fontId="1" numFmtId="49" xfId="0" applyAlignment="1" applyBorder="1" applyFont="1" applyNumberFormat="1">
      <alignment horizontal="center" readingOrder="0"/>
    </xf>
    <xf borderId="25" fillId="2" fontId="13" numFmtId="49" xfId="0" applyAlignment="1" applyBorder="1" applyFont="1" applyNumberFormat="1">
      <alignment horizontal="center" readingOrder="0" vertical="center"/>
    </xf>
    <xf borderId="10" fillId="5" fontId="1" numFmtId="49" xfId="0" applyAlignment="1" applyBorder="1" applyFont="1" applyNumberFormat="1">
      <alignment horizontal="center" readingOrder="0" vertical="center"/>
    </xf>
    <xf borderId="7" fillId="5" fontId="13" numFmtId="165" xfId="0" applyAlignment="1" applyBorder="1" applyFont="1" applyNumberFormat="1">
      <alignment horizontal="center" vertical="center"/>
    </xf>
    <xf borderId="1" fillId="4" fontId="1" numFmtId="49" xfId="0" applyAlignment="1" applyBorder="1" applyFont="1" applyNumberFormat="1">
      <alignment horizontal="center" readingOrder="0" vertical="center"/>
    </xf>
    <xf borderId="12" fillId="3" fontId="1" numFmtId="49" xfId="0" applyAlignment="1" applyBorder="1" applyFont="1" applyNumberFormat="1">
      <alignment horizontal="center" readingOrder="0" vertical="center"/>
    </xf>
    <xf borderId="7" fillId="5" fontId="13" numFmtId="0" xfId="0" applyAlignment="1" applyBorder="1" applyFont="1">
      <alignment horizontal="center" readingOrder="0"/>
    </xf>
    <xf borderId="0" fillId="5" fontId="1" numFmtId="49" xfId="0" applyAlignment="1" applyFont="1" applyNumberFormat="1">
      <alignment readingOrder="0"/>
    </xf>
    <xf borderId="1" fillId="3" fontId="13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readingOrder="0" vertical="center"/>
    </xf>
    <xf borderId="21" fillId="2" fontId="13" numFmtId="49" xfId="0" applyAlignment="1" applyBorder="1" applyFont="1" applyNumberFormat="1">
      <alignment horizontal="center" readingOrder="0"/>
    </xf>
    <xf borderId="7" fillId="2" fontId="13" numFmtId="49" xfId="0" applyAlignment="1" applyBorder="1" applyFont="1" applyNumberFormat="1">
      <alignment horizontal="center" readingOrder="0"/>
    </xf>
    <xf borderId="12" fillId="3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shrinkToFit="0" vertical="bottom" wrapText="1"/>
    </xf>
    <xf borderId="10" fillId="5" fontId="13" numFmtId="165" xfId="0" applyAlignment="1" applyBorder="1" applyFont="1" applyNumberFormat="1">
      <alignment horizontal="center" vertical="center"/>
    </xf>
    <xf borderId="25" fillId="7" fontId="13" numFmtId="0" xfId="0" applyAlignment="1" applyBorder="1" applyFont="1">
      <alignment horizontal="center" readingOrder="0" vertical="center"/>
    </xf>
    <xf borderId="7" fillId="7" fontId="13" numFmtId="0" xfId="0" applyAlignment="1" applyBorder="1" applyFont="1">
      <alignment horizontal="center" readingOrder="0" vertical="center"/>
    </xf>
    <xf borderId="1" fillId="9" fontId="13" numFmtId="49" xfId="0" applyAlignment="1" applyBorder="1" applyFont="1" applyNumberFormat="1">
      <alignment horizontal="center" readingOrder="0" vertical="center"/>
    </xf>
    <xf borderId="1" fillId="9" fontId="1" numFmtId="49" xfId="0" applyAlignment="1" applyBorder="1" applyFont="1" applyNumberFormat="1">
      <alignment horizontal="center" readingOrder="0" vertical="bottom"/>
    </xf>
    <xf borderId="25" fillId="9" fontId="13" numFmtId="49" xfId="0" applyAlignment="1" applyBorder="1" applyFont="1" applyNumberFormat="1">
      <alignment horizontal="center" readingOrder="0" vertical="center"/>
    </xf>
    <xf borderId="7" fillId="7" fontId="13" numFmtId="165" xfId="0" applyAlignment="1" applyBorder="1" applyFont="1" applyNumberFormat="1">
      <alignment horizontal="center" vertical="center"/>
    </xf>
    <xf borderId="10" fillId="7" fontId="13" numFmtId="165" xfId="0" applyAlignment="1" applyBorder="1" applyFont="1" applyNumberFormat="1">
      <alignment horizontal="center" vertical="center"/>
    </xf>
    <xf borderId="1" fillId="7" fontId="13" numFmtId="165" xfId="0" applyAlignment="1" applyBorder="1" applyFont="1" applyNumberFormat="1">
      <alignment horizontal="center" vertical="center"/>
    </xf>
    <xf borderId="25" fillId="7" fontId="13" numFmtId="165" xfId="0" applyAlignment="1" applyBorder="1" applyFont="1" applyNumberFormat="1">
      <alignment horizontal="center" vertical="center"/>
    </xf>
    <xf borderId="0" fillId="2" fontId="13" numFmtId="165" xfId="0" applyAlignment="1" applyFont="1" applyNumberFormat="1">
      <alignment horizontal="center" vertical="center"/>
    </xf>
    <xf borderId="23" fillId="9" fontId="1" numFmtId="49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horizontal="center" vertical="bottom"/>
    </xf>
    <xf borderId="12" fillId="9" fontId="1" numFmtId="49" xfId="0" applyAlignment="1" applyBorder="1" applyFont="1" applyNumberFormat="1">
      <alignment horizontal="center"/>
    </xf>
    <xf borderId="27" fillId="9" fontId="1" numFmtId="49" xfId="0" applyAlignment="1" applyBorder="1" applyFont="1" applyNumberFormat="1">
      <alignment horizontal="center" readingOrder="0" vertical="bottom"/>
    </xf>
    <xf borderId="1" fillId="10" fontId="1" numFmtId="49" xfId="0" applyAlignment="1" applyBorder="1" applyFont="1" applyNumberFormat="1">
      <alignment horizontal="center" readingOrder="0" vertical="center"/>
    </xf>
    <xf borderId="1" fillId="4" fontId="13" numFmtId="49" xfId="0" applyAlignment="1" applyBorder="1" applyFont="1" applyNumberFormat="1">
      <alignment horizontal="center" readingOrder="0" vertical="center"/>
    </xf>
    <xf borderId="1" fillId="0" fontId="64" numFmtId="0" xfId="0" applyAlignment="1" applyBorder="1" applyFont="1">
      <alignment horizontal="center" readingOrder="0"/>
    </xf>
    <xf borderId="10" fillId="7" fontId="13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bottom" wrapText="1"/>
    </xf>
    <xf borderId="1" fillId="2" fontId="64" numFmtId="49" xfId="0" applyAlignment="1" applyBorder="1" applyFont="1" applyNumberFormat="1">
      <alignment horizontal="center" readingOrder="0"/>
    </xf>
    <xf borderId="0" fillId="2" fontId="65" numFmtId="0" xfId="0" applyAlignment="1" applyFont="1">
      <alignment horizontal="center" readingOrder="0"/>
    </xf>
    <xf borderId="25" fillId="2" fontId="13" numFmtId="49" xfId="0" applyAlignment="1" applyBorder="1" applyFont="1" applyNumberFormat="1">
      <alignment horizontal="center" readingOrder="0" vertical="bottom"/>
    </xf>
    <xf borderId="1" fillId="2" fontId="13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66" numFmtId="49" xfId="0" applyAlignment="1" applyBorder="1" applyFont="1" applyNumberFormat="1">
      <alignment horizontal="center" readingOrder="0"/>
    </xf>
    <xf borderId="12" fillId="4" fontId="1" numFmtId="49" xfId="0" applyAlignment="1" applyBorder="1" applyFont="1" applyNumberFormat="1">
      <alignment horizontal="center" readingOrder="0" vertical="bottom"/>
    </xf>
    <xf borderId="25" fillId="2" fontId="64" numFmtId="49" xfId="0" applyAlignment="1" applyBorder="1" applyFont="1" applyNumberFormat="1">
      <alignment horizontal="center" readingOrder="0"/>
    </xf>
    <xf borderId="28" fillId="3" fontId="1" numFmtId="49" xfId="0" applyAlignment="1" applyBorder="1" applyFont="1" applyNumberFormat="1">
      <alignment horizontal="center" readingOrder="0" vertical="center"/>
    </xf>
    <xf borderId="23" fillId="4" fontId="1" numFmtId="49" xfId="0" applyAlignment="1" applyBorder="1" applyFont="1" applyNumberFormat="1">
      <alignment horizontal="center" readingOrder="0" vertical="bottom"/>
    </xf>
    <xf borderId="29" fillId="4" fontId="1" numFmtId="49" xfId="0" applyAlignment="1" applyBorder="1" applyFont="1" applyNumberFormat="1">
      <alignment horizontal="center" readingOrder="0" vertical="center"/>
    </xf>
    <xf borderId="8" fillId="5" fontId="1" numFmtId="49" xfId="0" applyAlignment="1" applyBorder="1" applyFont="1" applyNumberFormat="1">
      <alignment horizontal="center" vertical="center"/>
    </xf>
    <xf borderId="21" fillId="5" fontId="67" numFmtId="49" xfId="0" applyAlignment="1" applyBorder="1" applyFont="1" applyNumberFormat="1">
      <alignment horizontal="center"/>
    </xf>
    <xf borderId="42" fillId="2" fontId="1" numFmtId="49" xfId="0" applyAlignment="1" applyBorder="1" applyFont="1" applyNumberFormat="1">
      <alignment horizontal="center" readingOrder="0" vertical="center"/>
    </xf>
    <xf borderId="29" fillId="5" fontId="13" numFmtId="0" xfId="0" applyAlignment="1" applyBorder="1" applyFont="1">
      <alignment horizontal="center" readingOrder="0"/>
    </xf>
    <xf borderId="8" fillId="5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shrinkToFit="0" vertical="bottom" wrapText="1"/>
    </xf>
    <xf borderId="25" fillId="11" fontId="1" numFmtId="49" xfId="0" applyAlignment="1" applyBorder="1" applyFont="1" applyNumberFormat="1">
      <alignment horizontal="center" readingOrder="0" vertical="bottom"/>
    </xf>
    <xf borderId="29" fillId="5" fontId="13" numFmtId="165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 readingOrder="0" shrinkToFit="0" vertical="center" wrapText="1"/>
    </xf>
    <xf borderId="25" fillId="12" fontId="1" numFmtId="49" xfId="0" applyAlignment="1" applyBorder="1" applyFont="1" applyNumberFormat="1">
      <alignment horizontal="center" readingOrder="0" vertical="center"/>
    </xf>
    <xf borderId="14" fillId="12" fontId="13" numFmtId="49" xfId="0" applyAlignment="1" applyBorder="1" applyFont="1" applyNumberFormat="1">
      <alignment horizontal="center" readingOrder="0" vertical="center"/>
    </xf>
    <xf borderId="1" fillId="12" fontId="13" numFmtId="49" xfId="0" applyAlignment="1" applyBorder="1" applyFont="1" applyNumberFormat="1">
      <alignment horizontal="center" readingOrder="0" shrinkToFit="0" vertical="center" wrapText="1"/>
    </xf>
    <xf borderId="18" fillId="12" fontId="13" numFmtId="49" xfId="0" applyAlignment="1" applyBorder="1" applyFont="1" applyNumberFormat="1">
      <alignment horizontal="center" readingOrder="0" vertical="center"/>
    </xf>
    <xf borderId="29" fillId="5" fontId="13" numFmtId="165" xfId="0" applyAlignment="1" applyBorder="1" applyFont="1" applyNumberFormat="1">
      <alignment horizontal="center" vertical="center"/>
    </xf>
    <xf borderId="18" fillId="12" fontId="1" numFmtId="49" xfId="0" applyAlignment="1" applyBorder="1" applyFont="1" applyNumberFormat="1">
      <alignment horizontal="center" readingOrder="0" vertical="center"/>
    </xf>
    <xf borderId="31" fillId="12" fontId="13" numFmtId="49" xfId="0" applyAlignment="1" applyBorder="1" applyFont="1" applyNumberForma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shrinkToFit="0" wrapText="1"/>
    </xf>
    <xf borderId="37" fillId="12" fontId="1" numFmtId="49" xfId="0" applyAlignment="1" applyBorder="1" applyFont="1" applyNumberFormat="1">
      <alignment horizontal="center" readingOrder="0" vertical="center"/>
    </xf>
    <xf borderId="96" fillId="12" fontId="1" numFmtId="49" xfId="0" applyAlignment="1" applyBorder="1" applyFont="1" applyNumberFormat="1">
      <alignment horizontal="center" readingOrder="0"/>
    </xf>
    <xf borderId="15" fillId="5" fontId="1" numFmtId="49" xfId="0" applyAlignment="1" applyBorder="1" applyFont="1" applyNumberFormat="1">
      <alignment horizontal="center" vertical="center"/>
    </xf>
    <xf borderId="30" fillId="5" fontId="13" numFmtId="165" xfId="0" applyAlignment="1" applyBorder="1" applyFont="1" applyNumberFormat="1">
      <alignment horizontal="center"/>
    </xf>
    <xf borderId="32" fillId="12" fontId="1" numFmtId="49" xfId="0" applyAlignment="1" applyBorder="1" applyFont="1" applyNumberFormat="1">
      <alignment horizontal="center" readingOrder="0"/>
    </xf>
    <xf borderId="37" fillId="12" fontId="1" numFmtId="49" xfId="0" applyAlignment="1" applyBorder="1" applyFont="1" applyNumberFormat="1">
      <alignment horizontal="center" readingOrder="0" vertical="bottom"/>
    </xf>
    <xf borderId="32" fillId="12" fontId="1" numFmtId="0" xfId="0" applyAlignment="1" applyBorder="1" applyFont="1">
      <alignment horizontal="center" vertical="bottom"/>
    </xf>
    <xf borderId="31" fillId="12" fontId="1" numFmtId="49" xfId="0" applyAlignment="1" applyBorder="1" applyFont="1" applyNumberFormat="1">
      <alignment horizontal="center" readingOrder="0" vertical="center"/>
    </xf>
    <xf borderId="39" fillId="1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readingOrder="0" vertical="center"/>
    </xf>
    <xf borderId="15" fillId="7" fontId="1" numFmtId="49" xfId="0" applyAlignment="1" applyBorder="1" applyFont="1" applyNumberFormat="1">
      <alignment horizontal="center" readingOrder="0" vertical="center"/>
    </xf>
    <xf borderId="9" fillId="7" fontId="1" numFmtId="49" xfId="0" applyAlignment="1" applyBorder="1" applyFont="1" applyNumberFormat="1">
      <alignment horizontal="center" readingOrder="0" vertical="center"/>
    </xf>
    <xf borderId="31" fillId="3" fontId="1" numFmtId="49" xfId="0" applyAlignment="1" applyBorder="1" applyFont="1" applyNumberFormat="1">
      <alignment horizontal="center" readingOrder="0"/>
    </xf>
    <xf borderId="37" fillId="2" fontId="1" numFmtId="0" xfId="0" applyAlignment="1" applyBorder="1" applyFont="1">
      <alignment horizontal="center" readingOrder="0"/>
    </xf>
    <xf borderId="37" fillId="2" fontId="1" numFmtId="49" xfId="0" applyAlignment="1" applyBorder="1" applyFont="1" applyNumberFormat="1">
      <alignment horizontal="center" readingOrder="0" vertical="bottom"/>
    </xf>
    <xf borderId="37" fillId="2" fontId="1" numFmtId="49" xfId="0" applyAlignment="1" applyBorder="1" applyFont="1" applyNumberFormat="1">
      <alignment horizontal="center" readingOrder="0"/>
    </xf>
    <xf borderId="39" fillId="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vertical="center"/>
    </xf>
    <xf borderId="15" fillId="7" fontId="1" numFmtId="49" xfId="0" applyAlignment="1" applyBorder="1" applyFont="1" applyNumberFormat="1">
      <alignment horizontal="center" vertical="center"/>
    </xf>
    <xf borderId="31" fillId="7" fontId="1" numFmtId="49" xfId="0" applyAlignment="1" applyBorder="1" applyFont="1" applyNumberFormat="1">
      <alignment horizontal="center" vertical="center"/>
    </xf>
    <xf borderId="9" fillId="7" fontId="1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40" fillId="2" fontId="5" numFmtId="49" xfId="0" applyAlignment="1" applyBorder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vertical="bottom"/>
    </xf>
    <xf borderId="0" fillId="5" fontId="1" numFmtId="165" xfId="0" applyAlignment="1" applyFont="1" applyNumberFormat="1">
      <alignment horizontal="center" vertical="bottom"/>
    </xf>
    <xf borderId="0" fillId="5" fontId="1" numFmtId="49" xfId="0" applyAlignment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42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2" fontId="42" numFmtId="0" xfId="0" applyAlignment="1" applyFont="1">
      <alignment horizontal="center" readingOrder="0" vertical="center"/>
    </xf>
    <xf borderId="0" fillId="0" fontId="42" numFmtId="0" xfId="0" applyAlignment="1" applyFont="1">
      <alignment readingOrder="0"/>
    </xf>
    <xf borderId="43" fillId="2" fontId="68" numFmtId="166" xfId="0" applyAlignment="1" applyBorder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2" fillId="4" fontId="11" numFmtId="49" xfId="0" applyAlignment="1" applyBorder="1" applyFont="1" applyNumberFormat="1">
      <alignment horizontal="center" readingOrder="0" vertical="center"/>
    </xf>
    <xf borderId="0" fillId="2" fontId="11" numFmtId="49" xfId="0" applyAlignment="1" applyFont="1" applyNumberFormat="1">
      <alignment horizontal="center" readingOrder="0" vertical="center"/>
    </xf>
    <xf borderId="45" fillId="2" fontId="13" numFmtId="0" xfId="0" applyAlignment="1" applyBorder="1" applyFont="1">
      <alignment horizontal="center" readingOrder="0" vertical="center"/>
    </xf>
    <xf borderId="97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9" fillId="3" fontId="1" numFmtId="0" xfId="0" applyAlignment="1" applyBorder="1" applyFont="1">
      <alignment horizontal="center" readingOrder="0" shrinkToFit="0" vertical="center" wrapText="1"/>
    </xf>
    <xf borderId="5" fillId="6" fontId="65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horizontal="center" readingOrder="0" vertical="center"/>
    </xf>
    <xf borderId="48" fillId="2" fontId="1" numFmtId="0" xfId="0" applyAlignment="1" applyBorder="1" applyFont="1">
      <alignment horizontal="center" readingOrder="0" shrinkToFit="0" vertical="center" wrapText="1"/>
    </xf>
    <xf borderId="51" fillId="3" fontId="1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vertical="center"/>
    </xf>
    <xf borderId="5" fillId="12" fontId="1" numFmtId="0" xfId="0" applyAlignment="1" applyBorder="1" applyFont="1">
      <alignment horizontal="center" readingOrder="0" vertical="center"/>
    </xf>
    <xf borderId="20" fillId="12" fontId="1" numFmtId="0" xfId="0" applyAlignment="1" applyBorder="1" applyFont="1">
      <alignment horizontal="center" readingOrder="0" vertical="center"/>
    </xf>
    <xf borderId="4" fillId="12" fontId="42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1" fillId="2" fontId="69" numFmtId="0" xfId="0" applyAlignment="1" applyBorder="1" applyFont="1">
      <alignment vertical="bottom"/>
    </xf>
    <xf borderId="23" fillId="10" fontId="1" numFmtId="0" xfId="0" applyAlignment="1" applyBorder="1" applyFont="1">
      <alignment horizontal="center" readingOrder="0" shrinkToFit="0" vertical="bottom" wrapText="1"/>
    </xf>
    <xf borderId="12" fillId="7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shrinkToFit="0" vertical="center" wrapText="1"/>
    </xf>
    <xf borderId="52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bottom"/>
    </xf>
    <xf borderId="0" fillId="13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7" fillId="4" fontId="7" numFmtId="49" xfId="0" applyAlignment="1" applyBorder="1" applyFont="1" applyNumberFormat="1">
      <alignment horizontal="center" readingOrder="0" vertical="center"/>
    </xf>
    <xf borderId="10" fillId="4" fontId="7" numFmtId="49" xfId="0" applyAlignment="1" applyBorder="1" applyFont="1" applyNumberFormat="1">
      <alignment horizontal="center" readingOrder="0" vertical="center"/>
    </xf>
    <xf borderId="18" fillId="4" fontId="7" numFmtId="49" xfId="0" applyAlignment="1" applyBorder="1" applyFont="1" applyNumberFormat="1">
      <alignment horizontal="center" readingOrder="0" vertical="center"/>
    </xf>
    <xf borderId="17" fillId="4" fontId="7" numFmtId="49" xfId="0" applyAlignment="1" applyBorder="1" applyFont="1" applyNumberFormat="1">
      <alignment horizontal="center" readingOrder="0" vertical="center"/>
    </xf>
    <xf borderId="10" fillId="10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shrinkToFit="0" vertical="bottom" wrapText="1"/>
    </xf>
    <xf borderId="54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vertical="bottom"/>
    </xf>
    <xf borderId="12" fillId="12" fontId="1" numFmtId="0" xfId="0" applyAlignment="1" applyBorder="1" applyFont="1">
      <alignment horizontal="center" readingOrder="0" vertical="bottom"/>
    </xf>
    <xf borderId="53" fillId="12" fontId="13" numFmtId="49" xfId="0" applyAlignment="1" applyBorder="1" applyFont="1" applyNumberFormat="1">
      <alignment horizontal="center" readingOrder="0" vertical="center"/>
    </xf>
    <xf borderId="12" fillId="7" fontId="1" numFmtId="49" xfId="0" applyAlignment="1" applyBorder="1" applyFont="1" applyNumberFormat="1">
      <alignment horizontal="center" readingOrder="0" vertical="center"/>
    </xf>
    <xf borderId="13" fillId="7" fontId="1" numFmtId="49" xfId="0" applyAlignment="1" applyBorder="1" applyFont="1" applyNumberFormat="1">
      <alignment horizontal="center" readingOrder="0" vertical="center"/>
    </xf>
    <xf borderId="23" fillId="7" fontId="1" numFmtId="49" xfId="0" applyAlignment="1" applyBorder="1" applyFont="1" applyNumberFormat="1">
      <alignment horizontal="center" readingOrder="0" vertical="center"/>
    </xf>
    <xf borderId="53" fillId="7" fontId="1" numFmtId="49" xfId="0" applyAlignment="1" applyBorder="1" applyFont="1" applyNumberForma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10" fillId="7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bottom"/>
    </xf>
    <xf borderId="54" fillId="4" fontId="1" numFmtId="0" xfId="0" applyAlignment="1" applyBorder="1" applyFont="1">
      <alignment horizontal="center" readingOrder="0" vertical="bottom"/>
    </xf>
    <xf borderId="0" fillId="13" fontId="13" numFmtId="0" xfId="0" applyAlignment="1" applyFont="1">
      <alignment horizontal="center" readingOrder="0" vertical="center"/>
    </xf>
    <xf borderId="28" fillId="6" fontId="1" numFmtId="49" xfId="0" applyAlignment="1" applyBorder="1" applyFont="1" applyNumberFormat="1">
      <alignment horizontal="center" readingOrder="0" vertical="bottom"/>
    </xf>
    <xf borderId="25" fillId="6" fontId="1" numFmtId="49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6" fontId="1" numFmtId="49" xfId="0" applyAlignment="1" applyBorder="1" applyFont="1" applyNumberFormat="1">
      <alignment horizontal="center" readingOrder="0"/>
    </xf>
    <xf borderId="23" fillId="6" fontId="1" numFmtId="49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 vertical="bottom"/>
    </xf>
    <xf borderId="10" fillId="6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/>
    </xf>
    <xf borderId="54" fillId="9" fontId="1" numFmtId="0" xfId="0" applyAlignment="1" applyBorder="1" applyFont="1">
      <alignment horizontal="center" readingOrder="0" vertical="bottom"/>
    </xf>
    <xf borderId="1" fillId="9" fontId="13" numFmtId="0" xfId="0" applyAlignment="1" applyBorder="1" applyFont="1">
      <alignment horizontal="center" readingOrder="0" vertical="bottom"/>
    </xf>
    <xf borderId="10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0" fillId="5" fontId="1" numFmtId="0" xfId="0" applyAlignment="1" applyFont="1">
      <alignment horizontal="center" vertical="center"/>
    </xf>
    <xf borderId="55" fillId="7" fontId="1" numFmtId="0" xfId="0" applyAlignment="1" applyBorder="1" applyFont="1">
      <alignment horizontal="center"/>
    </xf>
    <xf borderId="31" fillId="7" fontId="13" numFmtId="0" xfId="0" applyAlignment="1" applyBorder="1" applyFont="1">
      <alignment horizontal="center"/>
    </xf>
    <xf borderId="9" fillId="7" fontId="1" numFmtId="0" xfId="0" applyAlignment="1" applyBorder="1" applyFont="1">
      <alignment horizontal="center" readingOrder="0"/>
    </xf>
    <xf borderId="12" fillId="4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28" fillId="4" fontId="1" numFmtId="49" xfId="0" applyAlignment="1" applyBorder="1" applyFont="1" applyNumberFormat="1">
      <alignment horizontal="center" readingOrder="0"/>
    </xf>
    <xf borderId="1" fillId="2" fontId="69" numFmtId="0" xfId="0" applyAlignment="1" applyBorder="1" applyFont="1">
      <alignment vertical="bottom"/>
    </xf>
    <xf borderId="54" fillId="2" fontId="65" numFmtId="0" xfId="0" applyAlignment="1" applyBorder="1" applyFont="1">
      <alignment horizontal="center" readingOrder="0" vertical="bottom"/>
    </xf>
    <xf borderId="1" fillId="2" fontId="70" numFmtId="0" xfId="0" applyAlignment="1" applyBorder="1" applyFont="1">
      <alignment horizontal="center" readingOrder="0" vertical="bottom"/>
    </xf>
    <xf borderId="53" fillId="2" fontId="1" numFmtId="0" xfId="0" applyAlignment="1" applyBorder="1" applyFont="1">
      <alignment horizontal="center" vertical="bottom"/>
    </xf>
    <xf borderId="25" fillId="2" fontId="13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38" fillId="2" fontId="1" numFmtId="0" xfId="0" applyAlignment="1" applyBorder="1" applyFont="1">
      <alignment horizontal="center" readingOrder="0" vertical="center"/>
    </xf>
    <xf borderId="54" fillId="2" fontId="1" numFmtId="0" xfId="0" applyAlignment="1" applyBorder="1" applyFont="1">
      <alignment horizontal="center" vertical="bottom"/>
    </xf>
    <xf borderId="56" fillId="8" fontId="1" numFmtId="0" xfId="0" applyAlignment="1" applyBorder="1" applyFont="1">
      <alignment horizontal="center" readingOrder="0" vertical="center"/>
    </xf>
    <xf borderId="50" fillId="3" fontId="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/>
    </xf>
    <xf borderId="38" fillId="7" fontId="31" numFmtId="0" xfId="0" applyBorder="1" applyFont="1"/>
    <xf borderId="98" fillId="8" fontId="1" numFmtId="0" xfId="0" applyAlignment="1" applyBorder="1" applyFont="1">
      <alignment horizontal="center" readingOrder="0" vertical="bottom"/>
    </xf>
    <xf borderId="99" fillId="0" fontId="3" numFmtId="0" xfId="0" applyBorder="1" applyFont="1"/>
    <xf borderId="100" fillId="8" fontId="34" numFmtId="4" xfId="0" applyAlignment="1" applyBorder="1" applyFont="1" applyNumberFormat="1">
      <alignment horizontal="center" vertical="bottom"/>
    </xf>
    <xf borderId="0" fillId="8" fontId="1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0" fillId="2" fontId="65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54" fillId="8" fontId="1" numFmtId="0" xfId="0" applyAlignment="1" applyBorder="1" applyFont="1">
      <alignment horizontal="center" readingOrder="0" vertical="bottom"/>
    </xf>
    <xf borderId="25" fillId="8" fontId="1" numFmtId="0" xfId="0" applyAlignment="1" applyBorder="1" applyFont="1">
      <alignment horizontal="center" readingOrder="0" vertical="bottom"/>
    </xf>
    <xf borderId="0" fillId="8" fontId="13" numFmtId="0" xfId="0" applyAlignment="1" applyFont="1">
      <alignment horizontal="center" readingOrder="0" vertical="center"/>
    </xf>
    <xf borderId="0" fillId="2" fontId="65" numFmtId="0" xfId="0" applyAlignment="1" applyFont="1">
      <alignment horizontal="center"/>
    </xf>
    <xf borderId="1" fillId="2" fontId="71" numFmtId="0" xfId="0" applyAlignment="1" applyBorder="1" applyFont="1">
      <alignment vertical="bottom"/>
    </xf>
    <xf borderId="0" fillId="0" fontId="9" numFmtId="0" xfId="0" applyAlignment="1" applyFont="1">
      <alignment horizontal="center" readingOrder="0" vertical="center"/>
    </xf>
    <xf borderId="18" fillId="8" fontId="33" numFmtId="0" xfId="0" applyAlignment="1" applyBorder="1" applyFont="1">
      <alignment horizontal="center" readingOrder="0"/>
    </xf>
    <xf borderId="0" fillId="8" fontId="1" numFmtId="0" xfId="0" applyAlignment="1" applyFont="1">
      <alignment horizontal="center" readingOrder="0"/>
    </xf>
    <xf borderId="7" fillId="4" fontId="1" numFmtId="49" xfId="0" applyAlignment="1" applyBorder="1" applyFont="1" applyNumberFormat="1">
      <alignment horizontal="center" readingOrder="0" vertical="bottom"/>
    </xf>
    <xf borderId="25" fillId="2" fontId="1" numFmtId="0" xfId="0" applyAlignment="1" applyBorder="1" applyFont="1">
      <alignment horizontal="center" shrinkToFit="0" vertical="bottom" wrapText="1"/>
    </xf>
    <xf borderId="0" fillId="2" fontId="70" numFmtId="0" xfId="0" applyAlignment="1" applyFont="1">
      <alignment horizontal="center"/>
    </xf>
    <xf borderId="54" fillId="8" fontId="1" numFmtId="0" xfId="0" applyAlignment="1" applyBorder="1" applyFont="1">
      <alignment horizontal="center" readingOrder="0"/>
    </xf>
    <xf borderId="58" fillId="4" fontId="1" numFmtId="49" xfId="0" applyAlignment="1" applyBorder="1" applyFont="1" applyNumberFormat="1">
      <alignment horizontal="center" readingOrder="0"/>
    </xf>
    <xf borderId="59" fillId="4" fontId="1" numFmtId="49" xfId="0" applyAlignment="1" applyBorder="1" applyFont="1" applyNumberFormat="1">
      <alignment horizontal="center" readingOrder="0"/>
    </xf>
    <xf borderId="60" fillId="2" fontId="1" numFmtId="0" xfId="0" applyAlignment="1" applyBorder="1" applyFont="1">
      <alignment horizontal="center" shrinkToFit="0" vertical="bottom" wrapText="1"/>
    </xf>
    <xf borderId="61" fillId="2" fontId="1" numFmtId="0" xfId="0" applyAlignment="1" applyBorder="1" applyFont="1">
      <alignment horizontal="center" shrinkToFit="0" vertical="bottom" wrapText="1"/>
    </xf>
    <xf borderId="62" fillId="7" fontId="1" numFmtId="49" xfId="0" applyAlignment="1" applyBorder="1" applyFont="1" applyNumberFormat="1">
      <alignment horizontal="center" readingOrder="0" vertical="center"/>
    </xf>
    <xf borderId="63" fillId="7" fontId="1" numFmtId="49" xfId="0" applyAlignment="1" applyBorder="1" applyFont="1" applyNumberFormat="1">
      <alignment horizontal="center" readingOrder="0" vertical="center"/>
    </xf>
    <xf borderId="60" fillId="7" fontId="1" numFmtId="49" xfId="0" applyAlignment="1" applyBorder="1" applyFont="1" applyNumberFormat="1">
      <alignment horizontal="center" readingOrder="0" vertical="center"/>
    </xf>
    <xf borderId="61" fillId="7" fontId="1" numFmtId="49" xfId="0" applyAlignment="1" applyBorder="1" applyFont="1" applyNumberFormat="1">
      <alignment horizontal="center" readingOrder="0" vertical="center"/>
    </xf>
    <xf borderId="64" fillId="3" fontId="15" numFmtId="0" xfId="0" applyAlignment="1" applyBorder="1" applyFont="1">
      <alignment horizontal="center" readingOrder="0" shrinkToFit="0" vertical="center" wrapText="1"/>
    </xf>
    <xf borderId="65" fillId="3" fontId="15" numFmtId="0" xfId="0" applyAlignment="1" applyBorder="1" applyFont="1">
      <alignment horizontal="center" readingOrder="0" vertical="center"/>
    </xf>
    <xf borderId="25" fillId="8" fontId="1" numFmtId="0" xfId="0" applyAlignment="1" applyBorder="1" applyFont="1">
      <alignment horizontal="center" readingOrder="0"/>
    </xf>
    <xf borderId="7" fillId="7" fontId="1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9" numFmtId="0" xfId="0" applyFont="1"/>
    <xf borderId="0" fillId="2" fontId="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0" fillId="9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1" fillId="2" fontId="72" numFmtId="0" xfId="0" applyAlignment="1" applyBorder="1" applyFont="1">
      <alignment vertical="bottom"/>
    </xf>
    <xf borderId="0" fillId="2" fontId="42" numFmtId="0" xfId="0" applyFont="1"/>
    <xf borderId="25" fillId="2" fontId="1" numFmtId="0" xfId="0" applyAlignment="1" applyBorder="1" applyFont="1">
      <alignment horizontal="center" readingOrder="0" vertical="center"/>
    </xf>
    <xf borderId="67" fillId="2" fontId="1" numFmtId="0" xfId="0" applyAlignment="1" applyBorder="1" applyFont="1">
      <alignment horizontal="center" readingOrder="0"/>
    </xf>
    <xf borderId="67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0"/>
    </xf>
    <xf borderId="67" fillId="2" fontId="1" numFmtId="0" xfId="0" applyAlignment="1" applyBorder="1" applyFont="1">
      <alignment horizontal="center"/>
    </xf>
    <xf borderId="68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 readingOrder="0" vertical="bottom"/>
    </xf>
    <xf borderId="25" fillId="2" fontId="67" numFmtId="0" xfId="0" applyAlignment="1" applyBorder="1" applyFont="1">
      <alignment horizontal="center" readingOrder="0"/>
    </xf>
    <xf borderId="0" fillId="0" fontId="42" numFmtId="0" xfId="0" applyAlignment="1" applyFont="1">
      <alignment horizontal="center"/>
    </xf>
    <xf borderId="7" fillId="2" fontId="1" numFmtId="0" xfId="0" applyAlignment="1" applyBorder="1" applyFont="1">
      <alignment horizontal="center" vertical="bottom"/>
    </xf>
    <xf borderId="26" fillId="2" fontId="1" numFmtId="0" xfId="0" applyAlignment="1" applyBorder="1" applyFont="1">
      <alignment horizontal="center" shrinkToFit="0" vertical="bottom" wrapText="1"/>
    </xf>
    <xf borderId="15" fillId="7" fontId="48" numFmtId="0" xfId="0" applyAlignment="1" applyBorder="1" applyFont="1">
      <alignment horizontal="center"/>
    </xf>
    <xf borderId="31" fillId="7" fontId="49" numFmtId="0" xfId="0" applyAlignment="1" applyBorder="1" applyFont="1">
      <alignment horizontal="center"/>
    </xf>
    <xf borderId="9" fillId="7" fontId="13" numFmtId="0" xfId="0" applyAlignment="1" applyBorder="1" applyFont="1">
      <alignment horizontal="center"/>
    </xf>
    <xf borderId="38" fillId="7" fontId="39" numFmtId="0" xfId="0" applyAlignment="1" applyBorder="1" applyFont="1">
      <alignment horizontal="center" vertical="center"/>
    </xf>
    <xf borderId="39" fillId="7" fontId="33" numFmtId="0" xfId="0" applyAlignment="1" applyBorder="1" applyFont="1">
      <alignment horizontal="center" readingOrder="0" vertical="center"/>
    </xf>
    <xf borderId="0" fillId="7" fontId="73" numFmtId="0" xfId="0" applyAlignment="1" applyFont="1">
      <alignment horizontal="left" vertical="center"/>
    </xf>
    <xf borderId="0" fillId="7" fontId="74" numFmtId="0" xfId="0" applyAlignment="1" applyFont="1">
      <alignment horizontal="left" vertical="center"/>
    </xf>
    <xf borderId="0" fillId="7" fontId="39" numFmtId="0" xfId="0" applyAlignment="1" applyFont="1">
      <alignment horizontal="center" readingOrder="0" vertical="center"/>
    </xf>
    <xf borderId="0" fillId="7" fontId="73" numFmtId="0" xfId="0" applyAlignment="1" applyFont="1">
      <alignment horizontal="center" vertical="center"/>
    </xf>
    <xf borderId="0" fillId="2" fontId="48" numFmtId="0" xfId="0" applyAlignment="1" applyFont="1">
      <alignment horizontal="center"/>
    </xf>
    <xf borderId="0" fillId="2" fontId="49" numFmtId="0" xfId="0" applyAlignment="1" applyFont="1">
      <alignment horizontal="center"/>
    </xf>
    <xf borderId="0" fillId="2" fontId="13" numFmtId="0" xfId="0" applyAlignment="1" applyFont="1">
      <alignment horizontal="center"/>
    </xf>
    <xf borderId="0" fillId="2" fontId="39" numFmtId="0" xfId="0" applyAlignment="1" applyFont="1">
      <alignment horizontal="center" vertical="center"/>
    </xf>
    <xf borderId="0" fillId="2" fontId="39" numFmtId="0" xfId="0" applyAlignment="1" applyFont="1">
      <alignment horizontal="left" vertical="center"/>
    </xf>
    <xf borderId="0" fillId="2" fontId="73" numFmtId="0" xfId="0" applyAlignment="1" applyFont="1">
      <alignment horizontal="left" vertical="center"/>
    </xf>
    <xf borderId="0" fillId="2" fontId="74" numFmtId="0" xfId="0" applyAlignment="1" applyFont="1">
      <alignment horizontal="left" vertical="center"/>
    </xf>
    <xf borderId="0" fillId="2" fontId="39" numFmtId="0" xfId="0" applyAlignment="1" applyFont="1">
      <alignment horizontal="center" readingOrder="0" vertical="center"/>
    </xf>
    <xf borderId="0" fillId="2" fontId="7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alcul_mensuel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rdy EYENGA ADJAKO" id="{49899e6d-c876-4b51-b9d7-153558ee0a28}" providerId="google-sheets"/>
  <x18tc:person displayName="Trigger Transport" id="{201bcb9b-0e39-4667-a724-9143af65d2eb}" providerId="google-sheets"/>
  <x18tc:person displayName="Fc Transport" id="{9f5e955f-72c6-4292-9241-c40f09e8b419}" providerId="google-sheets"/>
  <x18tc:person displayName="PF-Alfortville Boulanger" id="{e75da317-b106-48fe-abed-24aea6999893}" providerId="google-sheets"/>
  <x18tc:person displayName="tms dem" id="{649b73ec-3dd3-4ff4-a5b7-c32c218ec407}" providerId="google-sheets"/>
  <x18tc:person displayName="Karim Ben Dhaou" id="{9fadc324-07f3-40d0-9208-0530fd99cce6}" providerId="google-sheets"/>
  <x18tc:person displayName="Nelson PEREIRA" id="{68402756-b024-4a46-8164-e4d893b05164}" providerId="google-sheets"/>
  <x18tc:person displayName="massi mouhoubi" id="{d0f17625-72e0-44e2-9a96-9eec956bd324}" providerId="google-sheets"/>
  <x18tc:person displayName="Moovam Transport et logisqtique" id="{090f5561-7bb0-49b5-982c-003ab00b5d2d}" providerId="google-sheets"/>
  <x18tc:person displayName="Mounir SAYAH" id="{c0e6c5a1-d70d-4c82-bb5f-8168c50e889f}" providerId="google-sheets"/>
  <x18tc:person displayName="Charles AUFRAY" id="{f22d7010-a601-4692-8207-873aba53f3b6}" providerId="google-sheets"/>
  <x18tc:person displayName="AK Transports" id="{46d391f8-b7ab-4afd-b53e-73c9f9d93028}" providerId="google-sheets"/>
  <x18tc:person displayName="relationclient.pflidf Boulanger" id="{03ec3b5a-23c9-4bc4-8174-6d11ed07be29}" providerId="google-sheets"/>
  <x18tc:person displayName="H K Logistiques" id="{08f8ecf9-d5ce-4cf3-924f-2c8148411301}" providerId="google-sheets"/>
  <x18tc:person displayName="Utilisateur supprimé" id="{2bd7e1dd-1eea-4ead-95d4-da29e5c82cdd}" providerId="google-sheets"/>
  <x18tc:person displayName="Mathis LIMA DE SOUSA" id="{d7c529de-dca1-40bb-ad46-c02ff68e886d}" providerId="google-sheets"/>
  <x18tc:person displayName="TPE EXPRESS" id="{a7289446-cbcc-44e1-99ea-50784a890bef}" providerId="google-sheets"/>
  <x18tc:person displayName="Sarl Ent" id="{066700f1-f0d5-481c-8f63-ecf7b91055c6}" providerId="google-sheets"/>
</x18tc:personList>
</file>

<file path=xl/tables/table1.xml><?xml version="1.0" encoding="utf-8"?>
<table xmlns="http://schemas.openxmlformats.org/spreadsheetml/2006/main" headerRowCount="0" ref="A1:Y44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alcul_mensu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02T14:06:10.00" personId="{c0e6c5a1-d70d-4c82-bb5f-8168c50e889f}" id="{2943c5bf-e8ba-4713-8ba4-bc6dccc205b2}" done="0">
    <x18tc:text xml:space="preserve">3</x18tc:text>
  </x18tc:threadedComment>
  <x18tc:threadedComment ref="A1" dT="2023-11-24T16:14:35.00" personId="{f22d7010-a601-4692-8207-873aba53f3b6}" id="{2e13ae34-960d-46d5-ae68-bda835f3efde}" done="1">
    <x18tc:text xml:space="preserve">possibilité de mettre 1GV en normale si pas besoin de 2</x18tc:text>
  </x18tc:threadedComment>
  <x18tc:threadedComment ref="D33" dT="2026-04-16T13:19:37.00" personId="{49899e6d-c876-4b51-b9d7-153558ee0a28}" id="{378f91e1-ab2f-47ac-b699-cd4ffcced293}" done="1">
    <x18tc:text xml:space="preserve">1 camion en moins suite mauvais rangement carton  le 16/04/26</x18tc:text>
  </x18tc:threadedComment>
  <x18tc:threadedComment ref="E52" dT="2025-10-08T14:33:27.00" personId="{68402756-b024-4a46-8164-e4d893b05164}" id="{ec49948a-0ec1-42da-bd37-fc4ba133a4de}" done="1">
    <x18tc:text xml:space="preserve">1 camion en moins le 09/10</x18tc:text>
  </x18tc:threadedComment>
  <x18tc:threadedComment ref="A1" dT="2024-10-07T14:21:31.00" personId="{9f5e955f-72c6-4292-9241-c40f09e8b419}" id="{9ba9eeb8-9705-4d9c-be78-53c5c3fee5d3}" done="1">
    <x18tc:text xml:space="preserve">2</x18tc:text>
  </x18tc:threadedComment>
  <x18tc:threadedComment ref="A1" dT="2024-07-09T06:39:53.00" personId="{e75da317-b106-48fe-abed-24aea6999893}" id="{58df6d4c-1a94-4f5e-8cce-89a945049a20}" done="1">
    <x18tc:text xml:space="preserve">Départ 08h35 suite erreur de chargement autre tournée ref SMEG</x18tc:text>
  </x18tc:threadedComment>
  <x18tc:threadedComment ref="A1" dT="2022-07-11T07:43:54.00" personId="{e75da317-b106-48fe-abed-24aea6999893}" id="{6a78b8cb-7995-49ba-85c3-0c3a66963831}" done="1">
    <x18tc:text xml:space="preserve">9h00</x18tc:text>
  </x18tc:threadedComment>
  <x18tc:threadedComment ref="K5" dT="2026-03-05T06:27:18.00" personId="{d7c529de-dca1-40bb-ad46-c02ff68e886d}" id="{27cbb8d3-abd6-484d-b127-a03184c4a046}" done="1">
    <x18tc:text xml:space="preserve">9</x18tc:text>
  </x18tc:threadedComment>
  <x18tc:threadedComment ref="A1" dT="2022-07-11T07:59:27.00" personId="{e75da317-b106-48fe-abed-24aea6999893}" id="{6472b00a-6a5d-485d-8516-6b84747cfc49}" done="1">
    <x18tc:text xml:space="preserve">Amar s'est planté - pensais 11h30 - arrivée équipe 10:30</x18tc:text>
  </x18tc:threadedComment>
  <x18tc:threadedComment ref="A1" dT="2022-07-11T11:44:58.00" personId="{e75da317-b106-48fe-abed-24aea6999893}" id="{4e737632-aaae-408b-a484-9067691b4e87}" parentId="{6472b00a-6a5d-485d-8516-6b84747cfc49}">
    <x18tc:text xml:space="preserve">Marquée comme fermée</x18tc:text>
  </x18tc:threadedComment>
  <x18tc:threadedComment ref="A1" dT="2023-04-19T12:38:20.00" personId="{d0f17625-72e0-44e2-9a96-9eec956bd324}" id="{9f25f1e3-4749-4205-a316-fff80f0e4f47}" parentId="{6472b00a-6a5d-485d-8516-6b84747cfc49}">
    <x18tc:text xml:space="preserve">Rouverte</x18tc:text>
  </x18tc:threadedComment>
  <x18tc:threadedComment ref="E47" dT="2025-10-11T14:58:28.00" personId="{e75da317-b106-48fe-abed-24aea6999893}" id="{f653ccac-4e6b-439c-9ad0-1a129f68cbce}" done="1">
    <x18tc:text xml:space="preserve">tournée suspendu jusqu'à mercredi</x18tc:text>
  </x18tc:threadedComment>
  <x18tc:threadedComment ref="E44" dT="2025-10-11T14:58:10.00" personId="{e75da317-b106-48fe-abed-24aea6999893}" id="{0cb13f72-7c49-48bd-8194-8989e0df1fbe}" done="1">
    <x18tc:text xml:space="preserve">tournée suspendu jusqu'à mercredi</x18tc:text>
  </x18tc:threadedComment>
  <x18tc:threadedComment ref="E45" dT="2025-10-11T14:57:35.00" personId="{e75da317-b106-48fe-abed-24aea6999893}" id="{45b903a0-05ca-4916-8703-c816474fd0ef}" done="1">
    <x18tc:text xml:space="preserve">tournée suspendu jusqu'à mercredi</x18tc:text>
  </x18tc:threadedComment>
  <x18tc:threadedComment ref="A1" dT="2024-07-10T16:27:33.00" personId="{c0e6c5a1-d70d-4c82-bb5f-8168c50e889f}" id="{86c3b3fe-8852-4019-9216-5ac7abb3d941}" done="1">
    <x18tc:text xml:space="preserve">. In good en.......d cf fed ex cffrff de tr fwd tr fwd 'tn' de soucis je</x18tc:text>
  </x18tc:threadedComment>
  <x18tc:threadedComment ref="D40" dT="2026-04-16T13:23:10.00" personId="{49899e6d-c876-4b51-b9d7-153558ee0a28}" id="{880a0aa4-9337-49eb-b5c8-a4a2ae093ad0}" done="1">
    <x18tc:text xml:space="preserve">1 camion en moins suite mauvais rangement des cartons</x18tc:text>
  </x18tc:threadedComment>
  <x18tc:threadedComment ref="H23" dT="2025-07-25T05:14:17.00" personId="{2bd7e1dd-1eea-4ead-95d4-da29e5c82cdd}" id="{f1216831-e30b-4368-b9d7-2b65bfc1bf41}" done="1">
    <x18tc:text xml:space="preserve">14</x18tc:text>
  </x18tc:threadedComment>
  <x18tc:threadedComment ref="D35" dT="2026-04-16T13:21:55.00" personId="{49899e6d-c876-4b51-b9d7-153558ee0a28}" id="{1ac921db-3bc7-40c1-95dc-b6d6bb19e5be}" done="1">
    <x18tc:text xml:space="preserve">1 camion en moins suite mauvais rangement des cartons</x18tc:text>
  </x18tc:threadedComment>
  <x18tc:threadedComment ref="E43" dT="2025-10-17T12:08:18.00" personId="{68402756-b024-4a46-8164-e4d893b05164}" id="{1c734e2f-d877-4350-90b9-c35bbdaa8f6e}" done="1">
    <x18tc:text xml:space="preserve">suspension de tournée vu Nelson</x18tc:text>
  </x18tc:threadedComment>
  <x18tc:threadedComment ref="D14" dT="2026-04-07T06:23:15.00" personId="{49899e6d-c876-4b51-b9d7-153558ee0a28}" id="{4c2d4219-3511-4ee9-890f-55fe1f5bbedb}" done="1">
    <x18tc:text xml:space="preserve">Tournée manquante erreur F166</x18tc:text>
  </x18tc:threadedComment>
  <x18tc:threadedComment ref="A1" dT="2024-11-27T10:42:55.00" personId="{090f5561-7bb0-49b5-982c-003ab00b5d2d}" id="{1d77e77c-1e98-46b3-aa13-d54c4a8a486c}" done="1">
    <x18tc:text xml:space="preserve">1</x18tc:text>
  </x18tc:threadedComment>
  <x18tc:threadedComment ref="A1" dT="2025-02-10T14:26:06.00" personId="{68402756-b024-4a46-8164-e4d893b05164}" id="{652ac2f7-cc61-4378-88be-d0463a7fdeb5}" done="0">
    <x18tc:text xml:space="preserve">-1 camion sur les 4 jours car RH le mercredi</x18tc:text>
  </x18tc:threadedComment>
  <x18tc:threadedComment ref="A1" dT="2024-06-07T13:49:06.00" personId="{46d391f8-b7ab-4afd-b53e-73c9f9d93028}" id="{d195fc9e-70fe-49c8-a759-53fdaa23a20a}" done="1">
    <x18tc:text xml:space="preserve">2</x18tc:text>
  </x18tc:threadedComment>
  <x18tc:threadedComment ref="E54" dT="2025-10-08T14:13:46.00" personId="{68402756-b024-4a46-8164-e4d893b05164}" id="{4d8d4b21-7170-4ea2-b59e-4ad7adacc282}" done="1">
    <x18tc:text xml:space="preserve">1 camion en moins le 09/10</x18tc:text>
  </x18tc:threadedComment>
  <x18tc:threadedComment ref="A1" dT="2024-12-10T15:30:52.00" personId="{201bcb9b-0e39-4667-a724-9143af65d2eb}" id="{a94f85fb-47eb-4964-bd7b-04c870bc4cc7}" done="1">
    <x18tc:text xml:space="preserve">2</x18tc:text>
  </x18tc:threadedComment>
  <x18tc:threadedComment ref="A1" dT="2025-02-05T18:22:57.00" personId="{c0e6c5a1-d70d-4c82-bb5f-8168c50e889f}" id="{57e640f5-7930-4c83-b587-6e180e8ba18e}" done="1">
    <x18tc:text xml:space="preserve">Ff774rx</x18tc:text>
  </x18tc:threadedComment>
  <x18tc:threadedComment ref="A1" dT="2024-03-04T18:43:12.00" personId="{f22d7010-a601-4692-8207-873aba53f3b6}" id="{8ffceac9-52d5-40c5-a2fd-cb354afdd153}" done="1">
    <x18tc:text xml:space="preserve">TDS devient B9 Transport à partir du 01 mars 2024</x18tc:text>
  </x18tc:threadedComment>
  <x18tc:threadedComment ref="E40" dT="2025-10-08T07:05:53.00" personId="{e75da317-b106-48fe-abed-24aea6999893}" id="{80bb0af2-5b86-426e-8b0c-ba8a8ae0a9b7}" done="1">
    <x18tc:text xml:space="preserve">1 seul camion vu Nelson</x18tc:text>
  </x18tc:threadedComment>
  <x18tc:threadedComment ref="A1" dT="2024-09-25T16:22:39.00" personId="{649b73ec-3dd3-4ff4-a5b7-c32c218ec407}" id="{191f9b27-e8ea-4a52-8393-24664bd7eba1}" done="1">
    <x18tc:text xml:space="preserve">3</x18tc:text>
  </x18tc:threadedComment>
  <x18tc:threadedComment ref="A1" dT="2024-09-26T13:43:17.00" personId="{68402756-b024-4a46-8164-e4d893b05164}" id="{63d2df6a-2468-4762-a412-480934bbc7a6}" parentId="{191f9b27-e8ea-4a52-8393-24664bd7eba1}">
    <x18tc:text xml:space="preserve">Marquée comme fermée</x18tc:text>
  </x18tc:threadedComment>
  <x18tc:threadedComment ref="A1" dT="2024-12-26T16:07:35.00" personId="{649b73ec-3dd3-4ff4-a5b7-c32c218ec407}" id="{9826b925-a346-412d-9296-755ca9efbd96}" parentId="{191f9b27-e8ea-4a52-8393-24664bd7eba1}">
    <x18tc:text xml:space="preserve">Rouverte</x18tc:text>
  </x18tc:threadedComment>
  <x18tc:threadedComment ref="H6" dT="2025-04-05T05:32:27.00" personId="{e75da317-b106-48fe-abed-24aea6999893}" id="{ce69a62e-79fe-4309-8b45-62d7264b49da}" done="1">
    <x18tc:text xml:space="preserve">3</x18tc:text>
  </x18tc:threadedComment>
  <x18tc:threadedComment ref="A1" dT="2024-04-30T17:44:03.00" personId="{08f8ecf9-d5ce-4cf3-924f-2c8148411301}" id="{c502e8a8-2652-44f7-90ee-f55724e87fda}" done="0">
    <x18tc:text xml:space="preserve">ABDEL</x18tc:text>
  </x18tc:threadedComment>
  <x18tc:threadedComment ref="A1" dT="2023-08-03T06:26:37.00" personId="{e75da317-b106-48fe-abed-24aea6999893}" id="{f62f7fe1-2198-4caa-92d2-6d81ed97ec54}" done="1">
    <x18tc:text xml:space="preserve">si retard validé par Charles cause F159 2015418</x18tc:text>
  </x18tc:threadedComment>
  <x18tc:threadedComment ref="A1" dT="2023-08-03T16:58:58.00" personId="{9f5e955f-72c6-4292-9241-c40f09e8b419}" id="{68b03c25-b7d3-4595-9005-02c95eff12ce}" parentId="{f62f7fe1-2198-4caa-92d2-6d81ed97ec54}">
    <x18tc:text xml:space="preserve">Marquée comme fermée</x18tc:text>
  </x18tc:threadedComment>
  <x18tc:threadedComment ref="A1" dT="2023-08-03T18:10:30.00" personId="{066700f1-f0d5-481c-8f63-ecf7b91055c6}" id="{5040bc6d-943f-4b2e-b487-ed38a565a9df}" parentId="{f62f7fe1-2198-4caa-92d2-6d81ed97ec54}">
    <x18tc:text xml:space="preserve">Rouverte</x18tc:text>
  </x18tc:threadedComment>
  <x18tc:threadedComment ref="A1" dT="2023-08-03T18:49:30.00" personId="{e75da317-b106-48fe-abed-24aea6999893}" id="{a2ae9905-ecb4-44fb-ba6a-c0b10303fe64}" parentId="{f62f7fe1-2198-4caa-92d2-6d81ed97ec54}">
    <x18tc:text xml:space="preserve">Marquée comme fermée</x18tc:text>
  </x18tc:threadedComment>
  <x18tc:threadedComment ref="A1" dT="2023-09-28T20:08:39.00" personId="{d0f17625-72e0-44e2-9a96-9eec956bd324}" id="{9742edbc-c610-4319-98ec-6fbf43dbbea2}" parentId="{f62f7fe1-2198-4caa-92d2-6d81ed97ec54}">
    <x18tc:text xml:space="preserve">Rouverte</x18tc:text>
  </x18tc:threadedComment>
  <x18tc:threadedComment ref="A1" dT="2024-11-28T11:59:05.00" personId="{090f5561-7bb0-49b5-982c-003ab00b5d2d}" id="{6bf3f9f7-6a92-4661-9351-9afd4b58cf64}" done="1">
    <x18tc:text xml:space="preserve">1</x18tc:text>
  </x18tc:threadedComment>
  <x18tc:threadedComment ref="A1" dT="2025-02-11T08:52:52.00" personId="{68402756-b024-4a46-8164-e4d893b05164}" id="{da951400-e8f6-4e49-805a-c43bfa956414}" done="0">
    <x18tc:text xml:space="preserve">-1 tournée pour non respect des règles au retour le 10/02/2025</x18tc:text>
  </x18tc:threadedComment>
  <x18tc:threadedComment ref="A1" dT="2024-09-04T05:17:19.00" personId="{e75da317-b106-48fe-abed-24aea6999893}" id="{f96206d1-1f22-4a79-bad3-38b0b97481bc}" done="1">
    <x18tc:text xml:space="preserve">Tenue</x18tc:text>
  </x18tc:threadedComment>
  <x18tc:threadedComment ref="P14" dT="2025-09-02T06:45:23.00" personId="{68402756-b024-4a46-8164-e4d893b05164}" id="{a36d4bb1-6d8b-49cb-b2db-1bb1edecb384}" done="1">
    <x18tc:text xml:space="preserve">retard</x18tc:text>
  </x18tc:threadedComment>
  <x18tc:threadedComment ref="V9" dT="2025-09-02T05:25:15.00" personId="{68402756-b024-4a46-8164-e4d893b05164}" id="{ee83ca4b-5ae1-44e5-b7fd-5f1d93590639}" done="1">
    <x18tc:text xml:space="preserve">casquette</x18tc:text>
  </x18tc:threadedComment>
  <x18tc:threadedComment ref="E57" dT="2025-10-22T12:35:53.00" personId="{e75da317-b106-48fe-abed-24aea6999893}" id="{7f637f32-75d8-41a1-b138-096397c49d95}" done="1">
    <x18tc:text xml:space="preserve">Suspendu jusqu'au Lundi 27/10 vol trottinette</x18tc:text>
  </x18tc:threadedComment>
  <x18tc:threadedComment ref="A1" dT="2024-06-28T15:21:16.00" personId="{a7289446-cbcc-44e1-99ea-50784a890bef}" id="{69d0b1b2-0262-46c9-ab71-9ec93fc2ee71}" done="1">
    <x18tc:text xml:space="preserve">2</x18tc:text>
  </x18tc:threadedComment>
  <x18tc:threadedComment ref="A1" dT="2024-06-28T15:34:48.00" personId="{68402756-b024-4a46-8164-e4d893b05164}" id="{628adc2f-3516-4289-9ec9-392825ba514c}" parentId="{69d0b1b2-0262-46c9-ab71-9ec93fc2ee71}">
    <x18tc:text xml:space="preserve">Marquée comme fermée</x18tc:text>
  </x18tc:threadedComment>
  <x18tc:threadedComment ref="A1" dT="2024-07-28T09:08:01.00" personId="{9fadc324-07f3-40d0-9208-0530fd99cce6}" id="{ecab3cff-1ab3-415d-8bb5-3f81ba5df3d3}" parentId="{69d0b1b2-0262-46c9-ab71-9ec93fc2ee71}">
    <x18tc:text xml:space="preserve">Rouverte</x18tc:text>
  </x18tc:threadedComment>
  <x18tc:threadedComment ref="H8" dT="2025-09-18T05:14:00.00" personId="{e75da317-b106-48fe-abed-24aea6999893}" id="{5ec01f17-1304-483e-82a5-64e3ace998b1}" done="1">
    <x18tc:text xml:space="preserve">A</x18tc:text>
  </x18tc:threadedComment>
  <x18tc:threadedComment ref="K5" dT="2026-03-25T06:18:59.00" personId="{d7c529de-dca1-40bb-ad46-c02ff68e886d}" id="{5fd8fb0f-b78f-4d6a-be45-11cff6701db8}" done="1">
    <x18tc:text xml:space="preserve">7</x18tc:text>
  </x18tc:threadedComment>
  <x18tc:threadedComment ref="H7" dT="2025-03-26T08:23:52.00" personId="{e75da317-b106-48fe-abed-24aea6999893}" id="{d0ea33ab-c0a3-40e6-8caa-40b416f22228}" done="1">
    <x18tc:text xml:space="preserve">NC car problème pas de sms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5" dT="2025-06-06T17:00:27.00" personId="{68402756-b024-4a46-8164-e4d893b05164}" id="{c3f7ff3d-5cc9-433f-905d-900d301cd67a}" done="0">
    <x18tc:text xml:space="preserve">suspension Kim SAMY DEEE non jeter dans la benne</x18tc:text>
  </x18tc:threadedComment>
  <x18tc:threadedComment ref="AD13" dT="2025-01-28T14:42:30.00" personId="{68402756-b024-4a46-8164-e4d893b05164}" id="{8c112247-1a09-448f-981e-2b2b67e2c3ae}" done="0">
    <x18tc:text xml:space="preserve">1 tournée // suspension non port des chaussures DREAMTEAM</x18tc:text>
  </x18tc:threadedComment>
  <x18tc:threadedComment ref="W4" dT="2025-01-21T10:47:03.00" personId="{68402756-b024-4a46-8164-e4d893b05164}" id="{dcacd658-4cf1-4a1c-894f-142195474ae9}" done="0">
    <x18tc:text xml:space="preserve">DOUBS (2 équipes) Tournées 806 et 807 du 17/01/2025 -&gt; Pas de tournée le Mercredi 22/01/2025</x18tc:text>
  </x18tc:threadedComment>
  <x18tc:threadedComment ref="X21" dT="2025-01-21T10:49:30.00" personId="{68402756-b024-4a46-8164-e4d893b05164}" id="{953b03ce-8d2f-4c36-bc8a-e5cc1f32c972}" done="0">
    <x18tc:text xml:space="preserve">HK Tournée 827 du 17/01/2025 -&gt; Une équipe ne tournera pas le JEUDI 23/01/2025</x18tc:text>
  </x18tc:threadedComment>
  <x18tc:threadedComment ref="W28" dT="2025-01-21T10:48:57.00" personId="{68402756-b024-4a46-8164-e4d893b05164}" id="{8672ac3a-a313-49a8-8146-613a979c821b}" done="0">
    <x18tc:text xml:space="preserve">FC Tournées 835 du 17/01/2025 -&gt; Une équipe ne tournera pas le MERCREDI 22/01/2025</x18tc:text>
  </x18tc:threadedComment>
  <x18tc:threadedComment ref="Y8" dT="2025-01-21T10:50:24.00" personId="{68402756-b024-4a46-8164-e4d893b05164}" id="{67add2f8-42ee-4f56-b9d6-60d03112434d}" done="0">
    <x18tc:text xml:space="preserve">AGS Tournée du 14/01/2025 -&gt; Une équipe ne tournera pas le VENDREDI 24/01/2025</x18tc:text>
  </x18tc:threadedComment>
  <x18tc:threadedComment ref="G94" dT="2025-03-04T10:42:30.00" personId="{68402756-b024-4a46-8164-e4d893b05164}" id="{8f6d786b-e5b5-4e25-954c-3e131d213d24}" done="0">
    <x18tc:text xml:space="preserve">Tournée 502 / CLS -&gt; pas de chaussures ni au départ de tournée, ni au retour de tournée et pas de gants au retour.
1 tournée de moins le Jeudi 06/03/2025</x18tc:text>
  </x18tc:threadedComment>
  <x18tc:threadedComment ref="M79" dT="2025-03-09T09:10:52.00" personId="{03ec3b5a-23c9-4bc4-8174-6d11ed07be29}" id="{c6a342a5-7e34-4f82-8487-78dec0794bcb}" done="0">
    <x18tc:text xml:space="preserve">Une tournée en moins le 12/03/2025 Dépôt sauvage des emballages</x18tc:text>
  </x18tc:threadedComment>
  <x18tc:threadedComment ref="AD28" dT="2025-01-28T13:44:24.00" personId="{68402756-b024-4a46-8164-e4d893b05164}" id="{a0e315c5-32b1-44fb-b7ba-2393ed93ad36}" done="0">
    <x18tc:text xml:space="preserve">Suspension camion suite tournées non rendues 201 du 25/01 et 205 du 27/01</x18tc:text>
  </x18tc:threadedComment>
  <x18tc:threadedComment ref="AC110" dT="2025-04-26T15:21:03.00" personId="{49899e6d-c876-4b51-b9d7-153558ee0a28}" id="{a68c73a4-9860-4249-8bad-cd96402907dd}" done="0">
    <x18tc:text xml:space="preserve">1 camion en moins suspension tournée 840 du 26/04/2025 Omar</x18tc:text>
  </x18tc:threadedComment>
  <x18tc:threadedComment ref="G101" dT="2025-03-04T11:24:52.00" personId="{68402756-b024-4a46-8164-e4d893b05164}" id="{09b920a0-245a-4f48-977d-033f3415a4b0}" done="0">
    <x18tc:text xml:space="preserve">Tournée 843 / MNS -&gt; dépôts sauvage DEEE
1 tournée de moins le Jeudi 06/03/2025</x18tc:text>
  </x18tc:threadedComment>
  <x18tc:threadedComment ref="G75" dT="2025-03-05T08:45:03.00" personId="{68402756-b024-4a46-8164-e4d893b05164}" id="{cf186a9f-2e77-4be7-ada8-050db70e4f62}" done="0">
    <x18tc:text xml:space="preserve">Tournée 823 / TRIGGER -&gt; dépôts sauvage DEEE
1 tournée de moins le Jeudi 06/03/2025</x18tc:text>
  </x18tc:threadedComment>
  <x18tc:threadedComment ref="B42" dT="2025-01-23T14:08:02.00" personId="{68402756-b024-4a46-8164-e4d893b05164}" id="{76e8a6ba-1dac-4e7e-9296-453595a226fa}" done="0">
    <x18tc:text xml:space="preserve">Suspension d'un camion jusqu'au 2/02/2025 inclus</x18tc:text>
  </x18tc:threadedComment>
  <x18tc:threadedComment ref="Y7" dT="2025-01-23T14:07:52.00" personId="{68402756-b024-4a46-8164-e4d893b05164}" id="{7db5dbd6-5fe6-4c81-a188-702b087ec200}" done="0">
    <x18tc:text xml:space="preserve">Suspension d'un camion jusqu'au 2/02/2025 inclus</x18tc:text>
  </x18tc:threadedComment>
  <x18tc:threadedComment ref="E51" dT="2025-02-01T18:37:20.00" personId="{68402756-b024-4a46-8164-e4d893b05164}" id="{a8602f56-74e2-41ec-9298-ddbb5a01c890}" done="0">
    <x18tc:text xml:space="preserve">suspension tournée mono</x18tc:text>
  </x18tc:threadedComment>
  <x18tc:threadedComment ref="F93" dT="2025-03-04T11:34:00.00" personId="{68402756-b024-4a46-8164-e4d893b05164}" id="{e2cd5f0e-a7ff-4e64-a568-1e4f0d08a489}" done="0">
    <x18tc:text xml:space="preserve">Tournée 818 / ELIT -&gt; dépôts sauvage DEEE
1 tournée de moins le MERCREDI 05/03/2025</x18tc:text>
  </x18tc:threadedComment>
  <x18tc:threadedComment ref="F92" dT="2025-03-04T11:34:22.00" personId="{68402756-b024-4a46-8164-e4d893b05164}" id="{ff4d5100-1c49-41c0-ac33-32739ab7c846}" done="0">
    <x18tc:text xml:space="preserve">Express Polytrans du 03/03/2025 -&gt; dépôts sauvage DEEE
1 tournée de moins le MERCREDI 05/03/2025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sOleoniQtbCRk6aTKy2unvIGIoowmY0WP4GKYis5LK0/edit?gid=0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cUOihx_QrcWcKmD0zLhcYsIz-CfZxEfpYV5I3XYTs4/edit?gid=0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6" width="16.57"/>
    <col customWidth="1" min="7" max="7" width="14.43"/>
    <col customWidth="1" min="8" max="11" width="4.43"/>
    <col customWidth="1" min="12" max="12" width="2.29"/>
    <col customWidth="1" min="13" max="14" width="5.86"/>
    <col customWidth="1" min="15" max="16" width="25.43"/>
    <col customWidth="1" min="17" max="17" width="17.0"/>
    <col customWidth="1" min="18" max="18" width="17.29"/>
    <col customWidth="1" hidden="1" min="19" max="19" width="14.43"/>
    <col customWidth="1" min="20" max="23" width="4.43"/>
    <col customWidth="1" min="24" max="24" width="2.29"/>
    <col customWidth="1" min="25" max="26" width="5.86"/>
    <col customWidth="1" min="27" max="27" width="24.43"/>
    <col customWidth="1" min="28" max="28" width="14.43"/>
    <col customWidth="1" min="29" max="29" width="16.57"/>
    <col customWidth="1" min="30" max="30" width="14.43"/>
    <col customWidth="1" min="31" max="31" width="5.14"/>
    <col customWidth="1" min="32" max="34" width="4.43"/>
    <col customWidth="1" min="35" max="35" width="2.29"/>
    <col customWidth="1" min="36" max="37" width="5.86"/>
    <col customWidth="1" min="38" max="38" width="26.43"/>
    <col customWidth="1" min="39" max="39" width="14.43"/>
    <col customWidth="1" min="40" max="40" width="20.14"/>
    <col customWidth="1" min="41" max="41" width="14.43"/>
    <col customWidth="1" min="42" max="47" width="4.43"/>
  </cols>
  <sheetData>
    <row r="1">
      <c r="A1" s="1"/>
      <c r="B1" s="2">
        <v>46170.0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  <c r="AA1" s="4"/>
      <c r="AB1" s="4"/>
      <c r="AC1" s="4"/>
      <c r="AD1" s="4"/>
      <c r="AE1" s="5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6"/>
      <c r="AT1" s="6"/>
      <c r="AU1" s="6"/>
    </row>
    <row r="2">
      <c r="A2" s="1"/>
      <c r="B2" s="7" t="s">
        <v>0</v>
      </c>
      <c r="C2" s="8"/>
      <c r="D2" s="8"/>
      <c r="E2" s="8"/>
      <c r="F2" s="8"/>
      <c r="G2" s="8"/>
      <c r="H2" s="8"/>
      <c r="I2" s="8"/>
      <c r="J2" s="8"/>
      <c r="K2" s="9"/>
      <c r="L2" s="10"/>
      <c r="M2" s="11" t="s">
        <v>1</v>
      </c>
      <c r="N2" s="8"/>
      <c r="O2" s="8"/>
      <c r="P2" s="8"/>
      <c r="Q2" s="8"/>
      <c r="R2" s="8"/>
      <c r="S2" s="8"/>
      <c r="T2" s="8"/>
      <c r="U2" s="8"/>
      <c r="V2" s="8"/>
      <c r="W2" s="9"/>
      <c r="X2" s="12"/>
      <c r="Y2" s="7" t="s">
        <v>2</v>
      </c>
      <c r="Z2" s="8"/>
      <c r="AA2" s="8"/>
      <c r="AB2" s="8"/>
      <c r="AC2" s="8"/>
      <c r="AD2" s="8"/>
      <c r="AE2" s="8"/>
      <c r="AF2" s="8"/>
      <c r="AG2" s="8"/>
      <c r="AH2" s="9"/>
      <c r="AI2" s="12"/>
      <c r="AJ2" s="13" t="s">
        <v>3</v>
      </c>
      <c r="AK2" s="8"/>
      <c r="AL2" s="8"/>
      <c r="AM2" s="8"/>
      <c r="AN2" s="8"/>
      <c r="AO2" s="8"/>
      <c r="AP2" s="8"/>
      <c r="AQ2" s="8"/>
      <c r="AR2" s="8"/>
      <c r="AS2" s="9"/>
      <c r="AT2" s="14"/>
      <c r="AU2" s="14"/>
    </row>
    <row r="3" ht="19.5" customHeight="1">
      <c r="A3" s="15"/>
      <c r="B3" s="16" t="s">
        <v>4</v>
      </c>
      <c r="C3" s="17" t="s">
        <v>5</v>
      </c>
      <c r="D3" s="17" t="s">
        <v>6</v>
      </c>
      <c r="E3" s="17" t="s">
        <v>7</v>
      </c>
      <c r="F3" s="17" t="s">
        <v>8</v>
      </c>
      <c r="G3" s="17" t="s">
        <v>9</v>
      </c>
      <c r="H3" s="18" t="s">
        <v>10</v>
      </c>
      <c r="I3" s="18" t="s">
        <v>11</v>
      </c>
      <c r="J3" s="18" t="s">
        <v>12</v>
      </c>
      <c r="K3" s="19" t="s">
        <v>13</v>
      </c>
      <c r="L3" s="20"/>
      <c r="M3" s="21" t="s">
        <v>4</v>
      </c>
      <c r="N3" s="22" t="s">
        <v>5</v>
      </c>
      <c r="O3" s="23" t="s">
        <v>6</v>
      </c>
      <c r="P3" s="23" t="s">
        <v>7</v>
      </c>
      <c r="Q3" s="23" t="s">
        <v>8</v>
      </c>
      <c r="R3" s="23" t="s">
        <v>14</v>
      </c>
      <c r="S3" s="24" t="s">
        <v>14</v>
      </c>
      <c r="T3" s="25" t="s">
        <v>10</v>
      </c>
      <c r="U3" s="26" t="s">
        <v>11</v>
      </c>
      <c r="V3" s="27" t="s">
        <v>12</v>
      </c>
      <c r="W3" s="28" t="s">
        <v>13</v>
      </c>
      <c r="X3" s="29"/>
      <c r="Y3" s="16" t="s">
        <v>4</v>
      </c>
      <c r="Z3" s="17" t="s">
        <v>5</v>
      </c>
      <c r="AA3" s="17" t="s">
        <v>6</v>
      </c>
      <c r="AB3" s="17" t="s">
        <v>7</v>
      </c>
      <c r="AC3" s="17" t="s">
        <v>8</v>
      </c>
      <c r="AD3" s="17" t="s">
        <v>9</v>
      </c>
      <c r="AE3" s="18" t="s">
        <v>10</v>
      </c>
      <c r="AF3" s="18" t="s">
        <v>11</v>
      </c>
      <c r="AG3" s="18" t="s">
        <v>12</v>
      </c>
      <c r="AH3" s="19" t="s">
        <v>13</v>
      </c>
      <c r="AI3" s="29"/>
      <c r="AJ3" s="30" t="s">
        <v>4</v>
      </c>
      <c r="AK3" s="30" t="s">
        <v>5</v>
      </c>
      <c r="AL3" s="30" t="s">
        <v>6</v>
      </c>
      <c r="AM3" s="30" t="s">
        <v>7</v>
      </c>
      <c r="AN3" s="30" t="s">
        <v>8</v>
      </c>
      <c r="AO3" s="31" t="s">
        <v>15</v>
      </c>
      <c r="AP3" s="32" t="s">
        <v>10</v>
      </c>
      <c r="AQ3" s="33" t="s">
        <v>11</v>
      </c>
      <c r="AR3" s="33" t="s">
        <v>12</v>
      </c>
      <c r="AS3" s="34" t="s">
        <v>13</v>
      </c>
      <c r="AT3" s="35"/>
      <c r="AU3" s="35"/>
    </row>
    <row r="4">
      <c r="A4" s="36" t="s">
        <v>16</v>
      </c>
      <c r="B4" s="37" t="s">
        <v>17</v>
      </c>
      <c r="C4" s="38" t="s">
        <v>18</v>
      </c>
      <c r="D4" s="39" t="s">
        <v>19</v>
      </c>
      <c r="E4" s="40" t="s">
        <v>20</v>
      </c>
      <c r="F4" s="41" t="s">
        <v>21</v>
      </c>
      <c r="G4" s="42" t="s">
        <v>22</v>
      </c>
      <c r="H4" s="43"/>
      <c r="I4" s="44"/>
      <c r="J4" s="44"/>
      <c r="K4" s="45"/>
      <c r="L4" s="20"/>
      <c r="M4" s="46" t="s">
        <v>17</v>
      </c>
      <c r="N4" s="47" t="s">
        <v>23</v>
      </c>
      <c r="O4" s="48" t="s">
        <v>24</v>
      </c>
      <c r="P4" s="48"/>
      <c r="Q4" s="49"/>
      <c r="R4" s="49"/>
      <c r="S4" s="50"/>
      <c r="T4" s="43"/>
      <c r="U4" s="44"/>
      <c r="V4" s="44"/>
      <c r="W4" s="51"/>
      <c r="X4" s="52"/>
      <c r="Y4" s="38" t="s">
        <v>17</v>
      </c>
      <c r="Z4" s="38" t="s">
        <v>25</v>
      </c>
      <c r="AA4" s="53"/>
      <c r="AB4" s="15"/>
      <c r="AC4" s="54"/>
      <c r="AD4" s="55"/>
      <c r="AE4" s="56"/>
      <c r="AF4" s="44"/>
      <c r="AG4" s="44"/>
      <c r="AH4" s="51"/>
      <c r="AI4" s="57"/>
      <c r="AJ4" s="58" t="s">
        <v>17</v>
      </c>
      <c r="AK4" s="59" t="s">
        <v>26</v>
      </c>
      <c r="AL4" s="60"/>
      <c r="AM4" s="61"/>
      <c r="AN4" s="62"/>
      <c r="AO4" s="63"/>
      <c r="AP4" s="64"/>
      <c r="AQ4" s="65"/>
      <c r="AR4" s="66"/>
      <c r="AS4" s="67"/>
      <c r="AT4" s="68"/>
      <c r="AU4" s="68"/>
    </row>
    <row r="5">
      <c r="A5" s="49" t="s">
        <v>27</v>
      </c>
      <c r="B5" s="37" t="s">
        <v>28</v>
      </c>
      <c r="C5" s="38" t="s">
        <v>29</v>
      </c>
      <c r="D5" s="39" t="s">
        <v>30</v>
      </c>
      <c r="E5" s="41" t="s">
        <v>31</v>
      </c>
      <c r="F5" s="41" t="s">
        <v>32</v>
      </c>
      <c r="G5" s="42" t="s">
        <v>33</v>
      </c>
      <c r="H5" s="69"/>
      <c r="I5" s="70"/>
      <c r="J5" s="70"/>
      <c r="K5" s="45"/>
      <c r="L5" s="20"/>
      <c r="M5" s="46" t="s">
        <v>28</v>
      </c>
      <c r="N5" s="47" t="s">
        <v>34</v>
      </c>
      <c r="O5" s="48"/>
      <c r="P5" s="48"/>
      <c r="Q5" s="71"/>
      <c r="R5" s="1"/>
      <c r="S5" s="50"/>
      <c r="T5" s="69"/>
      <c r="U5" s="70"/>
      <c r="V5" s="70"/>
      <c r="W5" s="72"/>
      <c r="X5" s="52"/>
      <c r="Y5" s="38" t="s">
        <v>28</v>
      </c>
      <c r="Z5" s="38" t="s">
        <v>35</v>
      </c>
      <c r="AA5" s="48"/>
      <c r="AB5" s="73"/>
      <c r="AC5" s="40"/>
      <c r="AD5" s="74"/>
      <c r="AE5" s="75"/>
      <c r="AF5" s="70"/>
      <c r="AG5" s="70"/>
      <c r="AH5" s="72"/>
      <c r="AI5" s="52"/>
      <c r="AJ5" s="59" t="s">
        <v>28</v>
      </c>
      <c r="AK5" s="59" t="s">
        <v>36</v>
      </c>
      <c r="AL5" s="76"/>
      <c r="AM5" s="61"/>
      <c r="AN5" s="62"/>
      <c r="AO5" s="63"/>
      <c r="AP5" s="77"/>
      <c r="AQ5" s="78"/>
      <c r="AR5" s="79"/>
      <c r="AS5" s="80"/>
      <c r="AT5" s="68"/>
      <c r="AU5" s="68"/>
    </row>
    <row r="6">
      <c r="A6" s="49" t="s">
        <v>37</v>
      </c>
      <c r="B6" s="37" t="s">
        <v>38</v>
      </c>
      <c r="C6" s="38" t="s">
        <v>39</v>
      </c>
      <c r="D6" s="39" t="s">
        <v>40</v>
      </c>
      <c r="E6" s="40"/>
      <c r="F6" s="41"/>
      <c r="G6" s="42"/>
      <c r="H6" s="69"/>
      <c r="I6" s="70"/>
      <c r="J6" s="70"/>
      <c r="K6" s="72"/>
      <c r="L6" s="20"/>
      <c r="M6" s="46" t="s">
        <v>38</v>
      </c>
      <c r="N6" s="47" t="s">
        <v>41</v>
      </c>
      <c r="O6" s="48"/>
      <c r="P6" s="48"/>
      <c r="Q6" s="49"/>
      <c r="R6" s="49"/>
      <c r="S6" s="49"/>
      <c r="T6" s="69"/>
      <c r="U6" s="70"/>
      <c r="V6" s="70"/>
      <c r="W6" s="72"/>
      <c r="X6" s="52"/>
      <c r="Y6" s="81" t="s">
        <v>38</v>
      </c>
      <c r="Z6" s="81" t="s">
        <v>42</v>
      </c>
      <c r="AA6" s="82"/>
      <c r="AB6" s="83"/>
      <c r="AC6" s="40"/>
      <c r="AD6" s="84"/>
      <c r="AE6" s="75"/>
      <c r="AF6" s="70"/>
      <c r="AG6" s="70"/>
      <c r="AH6" s="72"/>
      <c r="AI6" s="85"/>
      <c r="AJ6" s="59" t="s">
        <v>38</v>
      </c>
      <c r="AK6" s="59" t="s">
        <v>43</v>
      </c>
      <c r="AL6" s="86"/>
      <c r="AM6" s="87"/>
      <c r="AN6" s="62"/>
      <c r="AO6" s="63"/>
      <c r="AP6" s="77"/>
      <c r="AQ6" s="78"/>
      <c r="AR6" s="79"/>
      <c r="AS6" s="80"/>
      <c r="AT6" s="68"/>
      <c r="AU6" s="68"/>
    </row>
    <row r="7">
      <c r="A7" s="49" t="s">
        <v>44</v>
      </c>
      <c r="B7" s="88" t="s">
        <v>45</v>
      </c>
      <c r="C7" s="58" t="s">
        <v>46</v>
      </c>
      <c r="D7" s="89" t="s">
        <v>47</v>
      </c>
      <c r="E7" s="90"/>
      <c r="F7" s="91"/>
      <c r="G7" s="92"/>
      <c r="H7" s="69"/>
      <c r="I7" s="70"/>
      <c r="J7" s="70"/>
      <c r="K7" s="45"/>
      <c r="L7" s="20"/>
      <c r="M7" s="93" t="s">
        <v>45</v>
      </c>
      <c r="N7" s="94" t="s">
        <v>48</v>
      </c>
      <c r="O7" s="95"/>
      <c r="P7" s="96"/>
      <c r="Q7" s="97"/>
      <c r="R7" s="97"/>
      <c r="S7" s="98"/>
      <c r="T7" s="69"/>
      <c r="U7" s="70"/>
      <c r="V7" s="70"/>
      <c r="W7" s="72"/>
      <c r="X7" s="99"/>
      <c r="Y7" s="58" t="s">
        <v>45</v>
      </c>
      <c r="Z7" s="58" t="s">
        <v>49</v>
      </c>
      <c r="AA7" s="58"/>
      <c r="AB7" s="100"/>
      <c r="AC7" s="101"/>
      <c r="AD7" s="102"/>
      <c r="AE7" s="75"/>
      <c r="AF7" s="70"/>
      <c r="AG7" s="70"/>
      <c r="AH7" s="72"/>
      <c r="AI7" s="52"/>
      <c r="AJ7" s="103" t="s">
        <v>45</v>
      </c>
      <c r="AK7" s="103" t="s">
        <v>50</v>
      </c>
      <c r="AL7" s="104"/>
      <c r="AM7" s="105"/>
      <c r="AN7" s="105"/>
      <c r="AO7" s="106"/>
      <c r="AP7" s="107"/>
      <c r="AQ7" s="108"/>
      <c r="AR7" s="109"/>
      <c r="AS7" s="110"/>
      <c r="AT7" s="111"/>
      <c r="AU7" s="111"/>
    </row>
    <row r="8">
      <c r="A8" s="49" t="s">
        <v>51</v>
      </c>
      <c r="B8" s="88" t="s">
        <v>52</v>
      </c>
      <c r="C8" s="112" t="s">
        <v>53</v>
      </c>
      <c r="D8" s="96" t="s">
        <v>54</v>
      </c>
      <c r="E8" s="90"/>
      <c r="F8" s="91"/>
      <c r="G8" s="92"/>
      <c r="H8" s="69"/>
      <c r="I8" s="70"/>
      <c r="J8" s="70"/>
      <c r="K8" s="45"/>
      <c r="L8" s="20"/>
      <c r="M8" s="93" t="s">
        <v>52</v>
      </c>
      <c r="N8" s="90" t="s">
        <v>55</v>
      </c>
      <c r="O8" s="91"/>
      <c r="P8" s="91"/>
      <c r="Q8" s="113"/>
      <c r="R8" s="113"/>
      <c r="S8" s="114"/>
      <c r="T8" s="69"/>
      <c r="U8" s="70"/>
      <c r="V8" s="70"/>
      <c r="W8" s="72"/>
      <c r="X8" s="52"/>
      <c r="Y8" s="58" t="s">
        <v>52</v>
      </c>
      <c r="Z8" s="58" t="s">
        <v>56</v>
      </c>
      <c r="AA8" s="115"/>
      <c r="AB8" s="62"/>
      <c r="AC8" s="86"/>
      <c r="AD8" s="116"/>
      <c r="AE8" s="75"/>
      <c r="AF8" s="70"/>
      <c r="AG8" s="70"/>
      <c r="AH8" s="72"/>
      <c r="AI8" s="52"/>
      <c r="AJ8" s="103" t="s">
        <v>52</v>
      </c>
      <c r="AK8" s="103" t="s">
        <v>57</v>
      </c>
      <c r="AL8" s="117"/>
      <c r="AM8" s="118"/>
      <c r="AN8" s="118"/>
      <c r="AO8" s="119"/>
      <c r="AP8" s="77"/>
      <c r="AQ8" s="78"/>
      <c r="AR8" s="79"/>
      <c r="AS8" s="80"/>
      <c r="AT8" s="68"/>
      <c r="AU8" s="68"/>
    </row>
    <row r="9">
      <c r="A9" s="36" t="s">
        <v>58</v>
      </c>
      <c r="B9" s="16" t="s">
        <v>59</v>
      </c>
      <c r="C9" s="120" t="s">
        <v>60</v>
      </c>
      <c r="D9" s="121"/>
      <c r="E9" s="121"/>
      <c r="F9" s="122"/>
      <c r="G9" s="123"/>
      <c r="H9" s="69"/>
      <c r="I9" s="70"/>
      <c r="J9" s="70"/>
      <c r="K9" s="45"/>
      <c r="L9" s="20"/>
      <c r="M9" s="124" t="s">
        <v>59</v>
      </c>
      <c r="N9" s="125" t="s">
        <v>61</v>
      </c>
      <c r="O9" s="121"/>
      <c r="P9" s="121"/>
      <c r="Q9" s="121"/>
      <c r="R9" s="122"/>
      <c r="S9" s="126"/>
      <c r="T9" s="69"/>
      <c r="U9" s="70"/>
      <c r="V9" s="70"/>
      <c r="W9" s="72"/>
      <c r="X9" s="57"/>
      <c r="Y9" s="120" t="s">
        <v>59</v>
      </c>
      <c r="Z9" s="120" t="s">
        <v>62</v>
      </c>
      <c r="AA9" s="121"/>
      <c r="AB9" s="121"/>
      <c r="AC9" s="122"/>
      <c r="AD9" s="127"/>
      <c r="AE9" s="128"/>
      <c r="AF9" s="70"/>
      <c r="AG9" s="70"/>
      <c r="AH9" s="72"/>
      <c r="AI9" s="52"/>
      <c r="AJ9" s="103" t="s">
        <v>59</v>
      </c>
      <c r="AK9" s="103" t="s">
        <v>63</v>
      </c>
      <c r="AL9" s="117"/>
      <c r="AM9" s="129"/>
      <c r="AN9" s="130"/>
      <c r="AO9" s="131"/>
      <c r="AP9" s="77"/>
      <c r="AQ9" s="78"/>
      <c r="AR9" s="79"/>
      <c r="AS9" s="80"/>
      <c r="AT9" s="68"/>
      <c r="AU9" s="68"/>
    </row>
    <row r="10">
      <c r="A10" s="36" t="s">
        <v>64</v>
      </c>
      <c r="B10" s="16" t="s">
        <v>65</v>
      </c>
      <c r="C10" s="120" t="s">
        <v>66</v>
      </c>
      <c r="D10" s="41" t="s">
        <v>67</v>
      </c>
      <c r="E10" s="41" t="s">
        <v>68</v>
      </c>
      <c r="F10" s="41" t="s">
        <v>69</v>
      </c>
      <c r="G10" s="132" t="s">
        <v>70</v>
      </c>
      <c r="H10" s="69"/>
      <c r="I10" s="70"/>
      <c r="J10" s="70"/>
      <c r="K10" s="45"/>
      <c r="L10" s="20"/>
      <c r="M10" s="124" t="s">
        <v>65</v>
      </c>
      <c r="N10" s="125" t="s">
        <v>71</v>
      </c>
      <c r="O10" s="133" t="s">
        <v>72</v>
      </c>
      <c r="P10" s="134" t="s">
        <v>73</v>
      </c>
      <c r="Q10" s="40" t="s">
        <v>74</v>
      </c>
      <c r="R10" s="50" t="s">
        <v>75</v>
      </c>
      <c r="S10" s="50"/>
      <c r="T10" s="69"/>
      <c r="U10" s="70"/>
      <c r="V10" s="70"/>
      <c r="W10" s="72"/>
      <c r="X10" s="29"/>
      <c r="Y10" s="135" t="s">
        <v>65</v>
      </c>
      <c r="Z10" s="135" t="s">
        <v>76</v>
      </c>
      <c r="AA10" s="133"/>
      <c r="AB10" s="41"/>
      <c r="AC10" s="71"/>
      <c r="AD10" s="42"/>
      <c r="AE10" s="128"/>
      <c r="AF10" s="70"/>
      <c r="AG10" s="70"/>
      <c r="AH10" s="72"/>
      <c r="AI10" s="29"/>
      <c r="AJ10" s="136" t="s">
        <v>65</v>
      </c>
      <c r="AK10" s="136" t="s">
        <v>77</v>
      </c>
      <c r="AL10" s="117"/>
      <c r="AM10" s="137"/>
      <c r="AN10" s="138"/>
      <c r="AO10" s="131"/>
      <c r="AP10" s="77"/>
      <c r="AQ10" s="78"/>
      <c r="AR10" s="79"/>
      <c r="AS10" s="80"/>
      <c r="AT10" s="68"/>
      <c r="AU10" s="68"/>
    </row>
    <row r="11" ht="15.75" customHeight="1">
      <c r="A11" s="36" t="s">
        <v>78</v>
      </c>
      <c r="B11" s="16" t="s">
        <v>79</v>
      </c>
      <c r="C11" s="120" t="s">
        <v>80</v>
      </c>
      <c r="D11" s="104" t="s">
        <v>67</v>
      </c>
      <c r="E11" s="40" t="s">
        <v>81</v>
      </c>
      <c r="F11" s="41" t="s">
        <v>82</v>
      </c>
      <c r="G11" s="139" t="s">
        <v>83</v>
      </c>
      <c r="H11" s="69"/>
      <c r="I11" s="70"/>
      <c r="J11" s="70"/>
      <c r="K11" s="45"/>
      <c r="L11" s="20"/>
      <c r="M11" s="124" t="s">
        <v>79</v>
      </c>
      <c r="N11" s="140" t="s">
        <v>84</v>
      </c>
      <c r="O11" s="141" t="s">
        <v>72</v>
      </c>
      <c r="P11" s="134" t="s">
        <v>85</v>
      </c>
      <c r="Q11" s="71" t="s">
        <v>86</v>
      </c>
      <c r="R11" s="50" t="s">
        <v>87</v>
      </c>
      <c r="S11" s="50"/>
      <c r="T11" s="69"/>
      <c r="U11" s="70"/>
      <c r="V11" s="70"/>
      <c r="W11" s="72"/>
      <c r="X11" s="99"/>
      <c r="Y11" s="120" t="s">
        <v>79</v>
      </c>
      <c r="Z11" s="120" t="s">
        <v>88</v>
      </c>
      <c r="AA11" s="104"/>
      <c r="AB11" s="142"/>
      <c r="AC11" s="142"/>
      <c r="AD11" s="42"/>
      <c r="AE11" s="128"/>
      <c r="AF11" s="70"/>
      <c r="AG11" s="70"/>
      <c r="AH11" s="72"/>
      <c r="AI11" s="143"/>
      <c r="AJ11" s="103" t="s">
        <v>79</v>
      </c>
      <c r="AK11" s="144" t="s">
        <v>89</v>
      </c>
      <c r="AL11" s="117"/>
      <c r="AM11" s="137"/>
      <c r="AN11" s="138"/>
      <c r="AO11" s="131"/>
      <c r="AP11" s="77"/>
      <c r="AQ11" s="78"/>
      <c r="AR11" s="79"/>
      <c r="AS11" s="80"/>
      <c r="AT11" s="68"/>
      <c r="AU11" s="68"/>
    </row>
    <row r="12">
      <c r="A12" s="36" t="s">
        <v>90</v>
      </c>
      <c r="B12" s="16" t="s">
        <v>91</v>
      </c>
      <c r="C12" s="120" t="s">
        <v>92</v>
      </c>
      <c r="D12" s="104" t="s">
        <v>93</v>
      </c>
      <c r="E12" s="40" t="s">
        <v>94</v>
      </c>
      <c r="F12" s="40" t="s">
        <v>95</v>
      </c>
      <c r="G12" s="145" t="s">
        <v>96</v>
      </c>
      <c r="H12" s="69"/>
      <c r="I12" s="70"/>
      <c r="J12" s="70"/>
      <c r="K12" s="45"/>
      <c r="L12" s="20"/>
      <c r="M12" s="124" t="s">
        <v>91</v>
      </c>
      <c r="N12" s="140" t="s">
        <v>97</v>
      </c>
      <c r="O12" s="141" t="s">
        <v>98</v>
      </c>
      <c r="P12" s="104" t="s">
        <v>99</v>
      </c>
      <c r="Q12" s="41" t="s">
        <v>100</v>
      </c>
      <c r="R12" s="132" t="s">
        <v>101</v>
      </c>
      <c r="S12" s="42" t="s">
        <v>101</v>
      </c>
      <c r="T12" s="69"/>
      <c r="U12" s="70"/>
      <c r="V12" s="70"/>
      <c r="W12" s="72"/>
      <c r="X12" s="52"/>
      <c r="Y12" s="120" t="s">
        <v>91</v>
      </c>
      <c r="Z12" s="120" t="s">
        <v>102</v>
      </c>
      <c r="AA12" s="104"/>
      <c r="AB12" s="40"/>
      <c r="AC12" s="49"/>
      <c r="AD12" s="42"/>
      <c r="AE12" s="128"/>
      <c r="AF12" s="70"/>
      <c r="AG12" s="70"/>
      <c r="AH12" s="72"/>
      <c r="AI12" s="52"/>
      <c r="AJ12" s="103" t="s">
        <v>91</v>
      </c>
      <c r="AK12" s="146" t="s">
        <v>103</v>
      </c>
      <c r="AL12" s="117"/>
      <c r="AM12" s="137"/>
      <c r="AN12" s="147"/>
      <c r="AO12" s="119"/>
      <c r="AP12" s="77"/>
      <c r="AQ12" s="78"/>
      <c r="AR12" s="79"/>
      <c r="AS12" s="80"/>
      <c r="AT12" s="68"/>
      <c r="AU12" s="68"/>
    </row>
    <row r="13" ht="15.0" customHeight="1">
      <c r="A13" s="36" t="s">
        <v>104</v>
      </c>
      <c r="B13" s="16" t="s">
        <v>105</v>
      </c>
      <c r="C13" s="120" t="s">
        <v>106</v>
      </c>
      <c r="D13" s="104" t="s">
        <v>93</v>
      </c>
      <c r="E13" s="40" t="s">
        <v>107</v>
      </c>
      <c r="F13" s="41" t="s">
        <v>108</v>
      </c>
      <c r="G13" s="148" t="s">
        <v>109</v>
      </c>
      <c r="H13" s="69"/>
      <c r="I13" s="70"/>
      <c r="J13" s="70"/>
      <c r="K13" s="45"/>
      <c r="L13" s="20"/>
      <c r="M13" s="124" t="s">
        <v>105</v>
      </c>
      <c r="N13" s="140" t="s">
        <v>110</v>
      </c>
      <c r="O13" s="141" t="s">
        <v>98</v>
      </c>
      <c r="P13" s="104" t="s">
        <v>111</v>
      </c>
      <c r="Q13" s="142" t="s">
        <v>112</v>
      </c>
      <c r="R13" s="149" t="s">
        <v>113</v>
      </c>
      <c r="S13" s="150" t="s">
        <v>113</v>
      </c>
      <c r="T13" s="69"/>
      <c r="U13" s="70"/>
      <c r="V13" s="70"/>
      <c r="W13" s="151"/>
      <c r="X13" s="57"/>
      <c r="Y13" s="120" t="s">
        <v>105</v>
      </c>
      <c r="Z13" s="120" t="s">
        <v>114</v>
      </c>
      <c r="AA13" s="104"/>
      <c r="AB13" s="41"/>
      <c r="AC13" s="152"/>
      <c r="AD13" s="42"/>
      <c r="AE13" s="128"/>
      <c r="AF13" s="70"/>
      <c r="AG13" s="70"/>
      <c r="AH13" s="72"/>
      <c r="AI13" s="52"/>
      <c r="AJ13" s="153">
        <v>55.0</v>
      </c>
      <c r="AK13" s="146" t="s">
        <v>115</v>
      </c>
      <c r="AL13" s="117"/>
      <c r="AM13" s="137"/>
      <c r="AN13" s="147"/>
      <c r="AO13" s="119"/>
      <c r="AP13" s="77"/>
      <c r="AQ13" s="78"/>
      <c r="AR13" s="79"/>
      <c r="AS13" s="80"/>
      <c r="AT13" s="68"/>
      <c r="AU13" s="68"/>
    </row>
    <row r="14" ht="15.0" customHeight="1">
      <c r="A14" s="36" t="s">
        <v>116</v>
      </c>
      <c r="B14" s="16" t="s">
        <v>117</v>
      </c>
      <c r="C14" s="120" t="s">
        <v>118</v>
      </c>
      <c r="D14" s="104" t="s">
        <v>119</v>
      </c>
      <c r="E14" s="41" t="s">
        <v>120</v>
      </c>
      <c r="F14" s="40" t="s">
        <v>121</v>
      </c>
      <c r="G14" s="154" t="s">
        <v>122</v>
      </c>
      <c r="H14" s="69"/>
      <c r="I14" s="70"/>
      <c r="J14" s="70"/>
      <c r="K14" s="45"/>
      <c r="L14" s="20"/>
      <c r="M14" s="124" t="s">
        <v>117</v>
      </c>
      <c r="N14" s="140" t="s">
        <v>123</v>
      </c>
      <c r="O14" s="155" t="s">
        <v>124</v>
      </c>
      <c r="P14" s="134"/>
      <c r="Q14" s="40"/>
      <c r="R14" s="50"/>
      <c r="S14" s="42"/>
      <c r="T14" s="69"/>
      <c r="U14" s="70"/>
      <c r="V14" s="70"/>
      <c r="W14" s="72"/>
      <c r="X14" s="99"/>
      <c r="Y14" s="120" t="s">
        <v>117</v>
      </c>
      <c r="Z14" s="120" t="s">
        <v>125</v>
      </c>
      <c r="AA14" s="104"/>
      <c r="AB14" s="156"/>
      <c r="AC14" s="104"/>
      <c r="AD14" s="42"/>
      <c r="AE14" s="128"/>
      <c r="AF14" s="70"/>
      <c r="AG14" s="70"/>
      <c r="AH14" s="72"/>
      <c r="AI14" s="157">
        <v>17.0</v>
      </c>
      <c r="AJ14" s="103" t="s">
        <v>117</v>
      </c>
      <c r="AK14" s="158" t="s">
        <v>126</v>
      </c>
      <c r="AL14" s="117"/>
      <c r="AM14" s="138"/>
      <c r="AN14" s="138"/>
      <c r="AO14" s="159"/>
      <c r="AP14" s="77"/>
      <c r="AQ14" s="78"/>
      <c r="AR14" s="79"/>
      <c r="AS14" s="80"/>
      <c r="AT14" s="68"/>
      <c r="AU14" s="68"/>
    </row>
    <row r="15" ht="15.0" customHeight="1">
      <c r="A15" s="36" t="s">
        <v>127</v>
      </c>
      <c r="B15" s="16" t="s">
        <v>128</v>
      </c>
      <c r="C15" s="120" t="s">
        <v>129</v>
      </c>
      <c r="D15" s="104" t="s">
        <v>119</v>
      </c>
      <c r="E15" s="42" t="s">
        <v>130</v>
      </c>
      <c r="F15" s="40" t="s">
        <v>131</v>
      </c>
      <c r="G15" s="40" t="s">
        <v>132</v>
      </c>
      <c r="H15" s="69"/>
      <c r="I15" s="70"/>
      <c r="J15" s="70"/>
      <c r="K15" s="45"/>
      <c r="L15" s="160"/>
      <c r="M15" s="124" t="s">
        <v>128</v>
      </c>
      <c r="N15" s="140" t="s">
        <v>133</v>
      </c>
      <c r="O15" s="155" t="s">
        <v>124</v>
      </c>
      <c r="P15" s="134"/>
      <c r="Q15" s="161"/>
      <c r="R15" s="42"/>
      <c r="S15" s="42"/>
      <c r="T15" s="69"/>
      <c r="U15" s="70"/>
      <c r="V15" s="70"/>
      <c r="W15" s="72"/>
      <c r="X15" s="52"/>
      <c r="Y15" s="135" t="s">
        <v>128</v>
      </c>
      <c r="Z15" s="120" t="s">
        <v>134</v>
      </c>
      <c r="AA15" s="104"/>
      <c r="AB15" s="156"/>
      <c r="AC15" s="104"/>
      <c r="AD15" s="162"/>
      <c r="AE15" s="128"/>
      <c r="AF15" s="70"/>
      <c r="AG15" s="70"/>
      <c r="AH15" s="72"/>
      <c r="AI15" s="52"/>
      <c r="AJ15" s="163" t="s">
        <v>128</v>
      </c>
      <c r="AK15" s="144" t="s">
        <v>135</v>
      </c>
      <c r="AL15" s="117"/>
      <c r="AM15" s="164"/>
      <c r="AN15" s="164"/>
      <c r="AO15" s="131"/>
      <c r="AP15" s="165"/>
      <c r="AQ15" s="166"/>
      <c r="AR15" s="167"/>
      <c r="AS15" s="168"/>
      <c r="AT15" s="169"/>
      <c r="AU15" s="169"/>
    </row>
    <row r="16">
      <c r="A16" s="36" t="s">
        <v>136</v>
      </c>
      <c r="B16" s="16" t="s">
        <v>137</v>
      </c>
      <c r="C16" s="120" t="s">
        <v>138</v>
      </c>
      <c r="D16" s="170" t="s">
        <v>139</v>
      </c>
      <c r="E16" s="171" t="s">
        <v>140</v>
      </c>
      <c r="F16" s="40" t="s">
        <v>141</v>
      </c>
      <c r="G16" s="40" t="s">
        <v>142</v>
      </c>
      <c r="H16" s="69"/>
      <c r="I16" s="70"/>
      <c r="J16" s="70"/>
      <c r="K16" s="45"/>
      <c r="L16" s="172"/>
      <c r="M16" s="124" t="s">
        <v>137</v>
      </c>
      <c r="N16" s="173" t="s">
        <v>143</v>
      </c>
      <c r="O16" s="155" t="s">
        <v>144</v>
      </c>
      <c r="P16" s="134"/>
      <c r="Q16" s="1"/>
      <c r="R16" s="50"/>
      <c r="S16" s="42"/>
      <c r="T16" s="69"/>
      <c r="U16" s="70"/>
      <c r="V16" s="70"/>
      <c r="W16" s="72"/>
      <c r="X16" s="52"/>
      <c r="Y16" s="135" t="s">
        <v>137</v>
      </c>
      <c r="Z16" s="174"/>
      <c r="AA16" s="175"/>
      <c r="AB16" s="176"/>
      <c r="AC16" s="175"/>
      <c r="AD16" s="177"/>
      <c r="AE16" s="75"/>
      <c r="AF16" s="70"/>
      <c r="AG16" s="70"/>
      <c r="AH16" s="72"/>
      <c r="AI16" s="52"/>
      <c r="AJ16" s="163" t="s">
        <v>137</v>
      </c>
      <c r="AK16" s="174"/>
      <c r="AL16" s="178"/>
      <c r="AM16" s="174"/>
      <c r="AN16" s="179"/>
      <c r="AO16" s="180"/>
      <c r="AP16" s="77"/>
      <c r="AQ16" s="78"/>
      <c r="AR16" s="79"/>
      <c r="AS16" s="80"/>
      <c r="AT16" s="68"/>
      <c r="AU16" s="68"/>
    </row>
    <row r="17">
      <c r="A17" s="36" t="s">
        <v>145</v>
      </c>
      <c r="B17" s="16" t="s">
        <v>146</v>
      </c>
      <c r="C17" s="120" t="s">
        <v>147</v>
      </c>
      <c r="D17" s="170" t="s">
        <v>139</v>
      </c>
      <c r="E17" s="41" t="s">
        <v>148</v>
      </c>
      <c r="F17" s="40" t="s">
        <v>149</v>
      </c>
      <c r="G17" s="40" t="s">
        <v>150</v>
      </c>
      <c r="H17" s="69"/>
      <c r="I17" s="70"/>
      <c r="J17" s="70"/>
      <c r="K17" s="45"/>
      <c r="L17" s="20"/>
      <c r="M17" s="124" t="s">
        <v>146</v>
      </c>
      <c r="N17" s="125" t="s">
        <v>151</v>
      </c>
      <c r="O17" s="104" t="s">
        <v>144</v>
      </c>
      <c r="P17" s="104"/>
      <c r="Q17" s="104"/>
      <c r="R17" s="139"/>
      <c r="S17" s="42"/>
      <c r="T17" s="69"/>
      <c r="U17" s="70"/>
      <c r="V17" s="70"/>
      <c r="W17" s="72"/>
      <c r="X17" s="52"/>
      <c r="Y17" s="135" t="s">
        <v>146</v>
      </c>
      <c r="Z17" s="120" t="s">
        <v>152</v>
      </c>
      <c r="AA17" s="104"/>
      <c r="AB17" s="104"/>
      <c r="AC17" s="104"/>
      <c r="AD17" s="181"/>
      <c r="AE17" s="75"/>
      <c r="AF17" s="70"/>
      <c r="AG17" s="70"/>
      <c r="AH17" s="72"/>
      <c r="AI17" s="52"/>
      <c r="AJ17" s="163" t="s">
        <v>146</v>
      </c>
      <c r="AK17" s="182"/>
      <c r="AL17" s="175"/>
      <c r="AM17" s="174"/>
      <c r="AN17" s="174"/>
      <c r="AO17" s="177"/>
      <c r="AP17" s="77"/>
      <c r="AQ17" s="78"/>
      <c r="AR17" s="79"/>
      <c r="AS17" s="80"/>
      <c r="AT17" s="68"/>
      <c r="AU17" s="68"/>
    </row>
    <row r="18" ht="15.0" customHeight="1">
      <c r="A18" s="36" t="s">
        <v>153</v>
      </c>
      <c r="B18" s="16" t="s">
        <v>154</v>
      </c>
      <c r="C18" s="120" t="s">
        <v>155</v>
      </c>
      <c r="D18" s="170" t="s">
        <v>156</v>
      </c>
      <c r="E18" s="183" t="s">
        <v>157</v>
      </c>
      <c r="F18" s="40" t="s">
        <v>158</v>
      </c>
      <c r="G18" s="40" t="s">
        <v>159</v>
      </c>
      <c r="H18" s="69"/>
      <c r="I18" s="70"/>
      <c r="J18" s="70"/>
      <c r="K18" s="45"/>
      <c r="L18" s="172"/>
      <c r="M18" s="124" t="s">
        <v>154</v>
      </c>
      <c r="N18" s="125" t="s">
        <v>160</v>
      </c>
      <c r="O18" s="104"/>
      <c r="P18" s="104"/>
      <c r="Q18" s="134"/>
      <c r="R18" s="139"/>
      <c r="S18" s="42"/>
      <c r="T18" s="69"/>
      <c r="U18" s="70"/>
      <c r="V18" s="70"/>
      <c r="W18" s="72"/>
      <c r="X18" s="52"/>
      <c r="Y18" s="135" t="s">
        <v>154</v>
      </c>
      <c r="Z18" s="184" t="s">
        <v>161</v>
      </c>
      <c r="AA18" s="133"/>
      <c r="AB18" s="104"/>
      <c r="AC18" s="104"/>
      <c r="AD18" s="181"/>
      <c r="AE18" s="75"/>
      <c r="AF18" s="70"/>
      <c r="AG18" s="70"/>
      <c r="AH18" s="72"/>
      <c r="AI18" s="185"/>
      <c r="AJ18" s="163" t="s">
        <v>154</v>
      </c>
      <c r="AK18" s="144" t="s">
        <v>162</v>
      </c>
      <c r="AL18" s="117"/>
      <c r="AM18" s="164"/>
      <c r="AN18" s="129"/>
      <c r="AO18" s="131"/>
      <c r="AP18" s="165"/>
      <c r="AQ18" s="166"/>
      <c r="AR18" s="167"/>
      <c r="AS18" s="168"/>
      <c r="AT18" s="169"/>
      <c r="AU18" s="169"/>
    </row>
    <row r="19" ht="14.25" customHeight="1">
      <c r="A19" s="36" t="s">
        <v>163</v>
      </c>
      <c r="B19" s="16" t="s">
        <v>164</v>
      </c>
      <c r="C19" s="120" t="s">
        <v>165</v>
      </c>
      <c r="D19" s="170" t="s">
        <v>156</v>
      </c>
      <c r="E19" s="40" t="s">
        <v>166</v>
      </c>
      <c r="F19" s="41" t="s">
        <v>167</v>
      </c>
      <c r="G19" s="40" t="s">
        <v>168</v>
      </c>
      <c r="H19" s="69"/>
      <c r="I19" s="70"/>
      <c r="J19" s="70"/>
      <c r="K19" s="45"/>
      <c r="L19" s="20"/>
      <c r="M19" s="124" t="s">
        <v>164</v>
      </c>
      <c r="N19" s="125" t="s">
        <v>169</v>
      </c>
      <c r="O19" s="104"/>
      <c r="P19" s="104"/>
      <c r="Q19" s="40"/>
      <c r="R19" s="40"/>
      <c r="S19" s="186"/>
      <c r="T19" s="69"/>
      <c r="U19" s="70"/>
      <c r="V19" s="70"/>
      <c r="W19" s="72"/>
      <c r="X19" s="52"/>
      <c r="Y19" s="135" t="s">
        <v>164</v>
      </c>
      <c r="Z19" s="120" t="s">
        <v>170</v>
      </c>
      <c r="AA19" s="104"/>
      <c r="AB19" s="187"/>
      <c r="AC19" s="104"/>
      <c r="AD19" s="188"/>
      <c r="AE19" s="75"/>
      <c r="AF19" s="70"/>
      <c r="AG19" s="70"/>
      <c r="AH19" s="72"/>
      <c r="AI19" s="52"/>
      <c r="AJ19" s="163" t="s">
        <v>164</v>
      </c>
      <c r="AK19" s="144" t="s">
        <v>171</v>
      </c>
      <c r="AL19" s="117"/>
      <c r="AM19" s="138"/>
      <c r="AN19" s="138"/>
      <c r="AO19" s="159"/>
      <c r="AP19" s="77"/>
      <c r="AQ19" s="78"/>
      <c r="AR19" s="79"/>
      <c r="AS19" s="80"/>
      <c r="AT19" s="68"/>
      <c r="AU19" s="68"/>
    </row>
    <row r="20" ht="13.5" customHeight="1">
      <c r="A20" s="36" t="s">
        <v>172</v>
      </c>
      <c r="B20" s="16" t="s">
        <v>173</v>
      </c>
      <c r="C20" s="120" t="s">
        <v>174</v>
      </c>
      <c r="D20" s="170" t="s">
        <v>175</v>
      </c>
      <c r="E20" s="40" t="s">
        <v>176</v>
      </c>
      <c r="F20" s="40" t="s">
        <v>177</v>
      </c>
      <c r="G20" s="40" t="s">
        <v>178</v>
      </c>
      <c r="H20" s="69"/>
      <c r="I20" s="70"/>
      <c r="J20" s="70"/>
      <c r="K20" s="45"/>
      <c r="L20" s="20"/>
      <c r="M20" s="124" t="s">
        <v>173</v>
      </c>
      <c r="N20" s="125" t="s">
        <v>179</v>
      </c>
      <c r="O20" s="104"/>
      <c r="P20" s="104"/>
      <c r="Q20" s="49"/>
      <c r="R20" s="50"/>
      <c r="S20" s="42"/>
      <c r="T20" s="69"/>
      <c r="U20" s="70"/>
      <c r="V20" s="70"/>
      <c r="W20" s="72"/>
      <c r="X20" s="52"/>
      <c r="Y20" s="120" t="s">
        <v>173</v>
      </c>
      <c r="Z20" s="135" t="s">
        <v>180</v>
      </c>
      <c r="AA20" s="189"/>
      <c r="AB20" s="190"/>
      <c r="AC20" s="190"/>
      <c r="AD20" s="154"/>
      <c r="AE20" s="75"/>
      <c r="AF20" s="70"/>
      <c r="AG20" s="70"/>
      <c r="AH20" s="72"/>
      <c r="AI20" s="52"/>
      <c r="AJ20" s="163" t="s">
        <v>173</v>
      </c>
      <c r="AK20" s="144" t="s">
        <v>181</v>
      </c>
      <c r="AL20" s="117"/>
      <c r="AM20" s="164"/>
      <c r="AN20" s="138"/>
      <c r="AO20" s="191"/>
      <c r="AP20" s="77"/>
      <c r="AQ20" s="78"/>
      <c r="AR20" s="79"/>
      <c r="AS20" s="80"/>
      <c r="AT20" s="68"/>
      <c r="AU20" s="68"/>
    </row>
    <row r="21" ht="15.0" customHeight="1">
      <c r="A21" s="36" t="s">
        <v>182</v>
      </c>
      <c r="B21" s="192">
        <v>68.0</v>
      </c>
      <c r="C21" s="120" t="s">
        <v>183</v>
      </c>
      <c r="D21" s="170" t="s">
        <v>175</v>
      </c>
      <c r="E21" s="156" t="s">
        <v>184</v>
      </c>
      <c r="F21" s="40" t="s">
        <v>185</v>
      </c>
      <c r="G21" s="154" t="s">
        <v>186</v>
      </c>
      <c r="H21" s="69"/>
      <c r="I21" s="70"/>
      <c r="J21" s="70"/>
      <c r="K21" s="45"/>
      <c r="L21" s="20"/>
      <c r="M21" s="124" t="s">
        <v>187</v>
      </c>
      <c r="N21" s="125" t="s">
        <v>188</v>
      </c>
      <c r="O21" s="104"/>
      <c r="P21" s="104"/>
      <c r="Q21" s="134"/>
      <c r="R21" s="42"/>
      <c r="S21" s="42"/>
      <c r="T21" s="69"/>
      <c r="U21" s="70"/>
      <c r="V21" s="70"/>
      <c r="W21" s="72"/>
      <c r="X21" s="52"/>
      <c r="Y21" s="120" t="s">
        <v>187</v>
      </c>
      <c r="Z21" s="193" t="s">
        <v>189</v>
      </c>
      <c r="AA21" s="104"/>
      <c r="AB21" s="190"/>
      <c r="AC21" s="194"/>
      <c r="AD21" s="154"/>
      <c r="AE21" s="75"/>
      <c r="AF21" s="70"/>
      <c r="AG21" s="70"/>
      <c r="AH21" s="72"/>
      <c r="AI21" s="52"/>
      <c r="AJ21" s="125" t="s">
        <v>187</v>
      </c>
      <c r="AK21" s="144" t="s">
        <v>190</v>
      </c>
      <c r="AL21" s="117"/>
      <c r="AM21" s="138"/>
      <c r="AN21" s="164"/>
      <c r="AO21" s="159"/>
      <c r="AP21" s="77"/>
      <c r="AQ21" s="78"/>
      <c r="AR21" s="79"/>
      <c r="AS21" s="80"/>
      <c r="AT21" s="68"/>
      <c r="AU21" s="68"/>
    </row>
    <row r="22" ht="15.75" customHeight="1">
      <c r="A22" s="36" t="s">
        <v>191</v>
      </c>
      <c r="B22" s="16" t="s">
        <v>192</v>
      </c>
      <c r="C22" s="120" t="s">
        <v>193</v>
      </c>
      <c r="D22" s="170" t="s">
        <v>194</v>
      </c>
      <c r="E22" s="41" t="s">
        <v>195</v>
      </c>
      <c r="F22" s="40" t="s">
        <v>196</v>
      </c>
      <c r="G22" s="154" t="s">
        <v>197</v>
      </c>
      <c r="H22" s="69"/>
      <c r="I22" s="70"/>
      <c r="J22" s="70"/>
      <c r="K22" s="45"/>
      <c r="L22" s="20"/>
      <c r="M22" s="195" t="s">
        <v>192</v>
      </c>
      <c r="N22" s="140" t="s">
        <v>198</v>
      </c>
      <c r="O22" s="141"/>
      <c r="P22" s="133"/>
      <c r="Q22" s="104"/>
      <c r="R22" s="42"/>
      <c r="S22" s="42"/>
      <c r="T22" s="69"/>
      <c r="U22" s="70"/>
      <c r="V22" s="70"/>
      <c r="W22" s="72"/>
      <c r="X22" s="196">
        <v>4.0</v>
      </c>
      <c r="Y22" s="197" t="s">
        <v>192</v>
      </c>
      <c r="Z22" s="184" t="s">
        <v>199</v>
      </c>
      <c r="AA22" s="104"/>
      <c r="AB22" s="198"/>
      <c r="AC22" s="134"/>
      <c r="AD22" s="154"/>
      <c r="AE22" s="75"/>
      <c r="AF22" s="70"/>
      <c r="AG22" s="70"/>
      <c r="AH22" s="72"/>
      <c r="AI22" s="52"/>
      <c r="AJ22" s="144" t="s">
        <v>192</v>
      </c>
      <c r="AK22" s="163" t="s">
        <v>200</v>
      </c>
      <c r="AL22" s="117"/>
      <c r="AM22" s="164"/>
      <c r="AN22" s="164"/>
      <c r="AO22" s="159"/>
      <c r="AP22" s="77"/>
      <c r="AQ22" s="78"/>
      <c r="AR22" s="79"/>
      <c r="AS22" s="80"/>
      <c r="AT22" s="68"/>
      <c r="AU22" s="68"/>
    </row>
    <row r="23" ht="15.75" customHeight="1">
      <c r="A23" s="36" t="s">
        <v>201</v>
      </c>
      <c r="B23" s="199" t="s">
        <v>202</v>
      </c>
      <c r="C23" s="120" t="s">
        <v>203</v>
      </c>
      <c r="D23" s="170" t="s">
        <v>194</v>
      </c>
      <c r="E23" s="161" t="s">
        <v>204</v>
      </c>
      <c r="F23" s="161" t="s">
        <v>205</v>
      </c>
      <c r="G23" s="148" t="s">
        <v>206</v>
      </c>
      <c r="H23" s="69"/>
      <c r="I23" s="70"/>
      <c r="J23" s="70"/>
      <c r="K23" s="45"/>
      <c r="L23" s="200"/>
      <c r="M23" s="195" t="s">
        <v>202</v>
      </c>
      <c r="N23" s="140" t="s">
        <v>207</v>
      </c>
      <c r="O23" s="141"/>
      <c r="P23" s="133"/>
      <c r="Q23" s="49"/>
      <c r="R23" s="50"/>
      <c r="S23" s="50"/>
      <c r="T23" s="69"/>
      <c r="U23" s="70"/>
      <c r="V23" s="70"/>
      <c r="W23" s="72"/>
      <c r="X23" s="201"/>
      <c r="Y23" s="197" t="s">
        <v>202</v>
      </c>
      <c r="Z23" s="193" t="s">
        <v>208</v>
      </c>
      <c r="AA23" s="104"/>
      <c r="AB23" s="104"/>
      <c r="AC23" s="104"/>
      <c r="AD23" s="154"/>
      <c r="AE23" s="75"/>
      <c r="AF23" s="70"/>
      <c r="AG23" s="70"/>
      <c r="AH23" s="72"/>
      <c r="AI23" s="202"/>
      <c r="AJ23" s="144" t="s">
        <v>202</v>
      </c>
      <c r="AK23" s="163" t="s">
        <v>209</v>
      </c>
      <c r="AL23" s="117"/>
      <c r="AM23" s="164"/>
      <c r="AN23" s="138"/>
      <c r="AO23" s="191"/>
      <c r="AP23" s="77"/>
      <c r="AQ23" s="78"/>
      <c r="AR23" s="79"/>
      <c r="AS23" s="80"/>
      <c r="AT23" s="68"/>
      <c r="AU23" s="68"/>
    </row>
    <row r="24" ht="15.0" customHeight="1">
      <c r="A24" s="36" t="s">
        <v>210</v>
      </c>
      <c r="B24" s="16" t="s">
        <v>211</v>
      </c>
      <c r="C24" s="120" t="s">
        <v>212</v>
      </c>
      <c r="D24" s="203" t="s">
        <v>213</v>
      </c>
      <c r="E24" s="156" t="s">
        <v>214</v>
      </c>
      <c r="F24" s="161" t="s">
        <v>215</v>
      </c>
      <c r="G24" s="148" t="s">
        <v>216</v>
      </c>
      <c r="H24" s="69"/>
      <c r="I24" s="70"/>
      <c r="J24" s="70"/>
      <c r="K24" s="45"/>
      <c r="L24" s="200"/>
      <c r="M24" s="195" t="s">
        <v>211</v>
      </c>
      <c r="N24" s="140" t="s">
        <v>217</v>
      </c>
      <c r="O24" s="141"/>
      <c r="P24" s="133"/>
      <c r="Q24" s="152"/>
      <c r="R24" s="50"/>
      <c r="S24" s="50"/>
      <c r="T24" s="69"/>
      <c r="U24" s="70"/>
      <c r="V24" s="70"/>
      <c r="W24" s="72"/>
      <c r="X24" s="52"/>
      <c r="Y24" s="197" t="s">
        <v>211</v>
      </c>
      <c r="Z24" s="193" t="s">
        <v>218</v>
      </c>
      <c r="AA24" s="133"/>
      <c r="AB24" s="134"/>
      <c r="AC24" s="134"/>
      <c r="AD24" s="154"/>
      <c r="AE24" s="75"/>
      <c r="AF24" s="70"/>
      <c r="AG24" s="70"/>
      <c r="AH24" s="72"/>
      <c r="AI24" s="52"/>
      <c r="AJ24" s="144" t="s">
        <v>211</v>
      </c>
      <c r="AK24" s="163" t="s">
        <v>219</v>
      </c>
      <c r="AL24" s="204"/>
      <c r="AM24" s="164"/>
      <c r="AN24" s="129"/>
      <c r="AO24" s="159"/>
      <c r="AP24" s="77"/>
      <c r="AQ24" s="78"/>
      <c r="AR24" s="79"/>
      <c r="AS24" s="80"/>
      <c r="AT24" s="68"/>
      <c r="AU24" s="68"/>
    </row>
    <row r="25">
      <c r="A25" s="36" t="s">
        <v>220</v>
      </c>
      <c r="B25" s="16" t="s">
        <v>221</v>
      </c>
      <c r="C25" s="120" t="s">
        <v>222</v>
      </c>
      <c r="D25" s="133" t="s">
        <v>223</v>
      </c>
      <c r="E25" s="194" t="s">
        <v>224</v>
      </c>
      <c r="F25" s="41" t="s">
        <v>225</v>
      </c>
      <c r="G25" s="154" t="s">
        <v>226</v>
      </c>
      <c r="H25" s="69"/>
      <c r="I25" s="70"/>
      <c r="J25" s="70"/>
      <c r="K25" s="45"/>
      <c r="L25" s="20"/>
      <c r="M25" s="195" t="s">
        <v>221</v>
      </c>
      <c r="N25" s="140" t="s">
        <v>227</v>
      </c>
      <c r="O25" s="205"/>
      <c r="P25" s="206"/>
      <c r="Q25" s="207"/>
      <c r="R25" s="127"/>
      <c r="S25" s="127"/>
      <c r="T25" s="69"/>
      <c r="U25" s="70"/>
      <c r="V25" s="70"/>
      <c r="W25" s="72"/>
      <c r="X25" s="52"/>
      <c r="Y25" s="197" t="s">
        <v>221</v>
      </c>
      <c r="Z25" s="193" t="s">
        <v>228</v>
      </c>
      <c r="AA25" s="104"/>
      <c r="AB25" s="134"/>
      <c r="AC25" s="134"/>
      <c r="AD25" s="154"/>
      <c r="AE25" s="75"/>
      <c r="AF25" s="70"/>
      <c r="AG25" s="70"/>
      <c r="AH25" s="72"/>
      <c r="AI25" s="157" t="s">
        <v>229</v>
      </c>
      <c r="AJ25" s="144" t="s">
        <v>221</v>
      </c>
      <c r="AK25" s="163" t="s">
        <v>230</v>
      </c>
      <c r="AL25" s="204"/>
      <c r="AM25" s="164"/>
      <c r="AN25" s="164"/>
      <c r="AO25" s="208"/>
      <c r="AP25" s="77"/>
      <c r="AQ25" s="78"/>
      <c r="AR25" s="79"/>
      <c r="AS25" s="80"/>
      <c r="AT25" s="68"/>
      <c r="AU25" s="68"/>
    </row>
    <row r="26" ht="13.5" customHeight="1">
      <c r="A26" s="36" t="s">
        <v>231</v>
      </c>
      <c r="B26" s="199" t="s">
        <v>232</v>
      </c>
      <c r="C26" s="120" t="s">
        <v>233</v>
      </c>
      <c r="D26" s="133" t="s">
        <v>234</v>
      </c>
      <c r="E26" s="194"/>
      <c r="F26" s="41"/>
      <c r="G26" s="154"/>
      <c r="H26" s="69"/>
      <c r="I26" s="70"/>
      <c r="J26" s="70"/>
      <c r="K26" s="45"/>
      <c r="L26" s="200"/>
      <c r="M26" s="209" t="s">
        <v>232</v>
      </c>
      <c r="N26" s="158" t="s">
        <v>235</v>
      </c>
      <c r="O26" s="210"/>
      <c r="P26" s="53"/>
      <c r="Q26" s="40"/>
      <c r="R26" s="50"/>
      <c r="S26" s="50"/>
      <c r="T26" s="69"/>
      <c r="U26" s="70"/>
      <c r="V26" s="70"/>
      <c r="W26" s="72"/>
      <c r="X26" s="211"/>
      <c r="Y26" s="197" t="s">
        <v>232</v>
      </c>
      <c r="Z26" s="193" t="s">
        <v>236</v>
      </c>
      <c r="AA26" s="133"/>
      <c r="AB26" s="134"/>
      <c r="AC26" s="134"/>
      <c r="AD26" s="154"/>
      <c r="AE26" s="75"/>
      <c r="AF26" s="70"/>
      <c r="AG26" s="70"/>
      <c r="AH26" s="72"/>
      <c r="AI26" s="211"/>
      <c r="AJ26" s="144" t="s">
        <v>232</v>
      </c>
      <c r="AK26" s="163" t="s">
        <v>237</v>
      </c>
      <c r="AL26" s="212"/>
      <c r="AM26" s="164"/>
      <c r="AN26" s="164"/>
      <c r="AO26" s="159"/>
      <c r="AP26" s="77"/>
      <c r="AQ26" s="78"/>
      <c r="AR26" s="79"/>
      <c r="AS26" s="80"/>
      <c r="AT26" s="68"/>
      <c r="AU26" s="68"/>
    </row>
    <row r="27" ht="15.0" customHeight="1">
      <c r="A27" s="36" t="s">
        <v>238</v>
      </c>
      <c r="B27" s="213" t="s">
        <v>239</v>
      </c>
      <c r="C27" s="214" t="s">
        <v>240</v>
      </c>
      <c r="D27" s="215" t="s">
        <v>241</v>
      </c>
      <c r="E27" s="216"/>
      <c r="F27" s="216"/>
      <c r="G27" s="217"/>
      <c r="H27" s="69"/>
      <c r="I27" s="70"/>
      <c r="J27" s="70"/>
      <c r="K27" s="45"/>
      <c r="L27" s="200"/>
      <c r="M27" s="218" t="s">
        <v>239</v>
      </c>
      <c r="N27" s="219" t="s">
        <v>242</v>
      </c>
      <c r="O27" s="215" t="s">
        <v>243</v>
      </c>
      <c r="P27" s="215"/>
      <c r="Q27" s="220"/>
      <c r="R27" s="221"/>
      <c r="S27" s="222"/>
      <c r="T27" s="69"/>
      <c r="U27" s="70"/>
      <c r="V27" s="70"/>
      <c r="W27" s="72"/>
      <c r="X27" s="223"/>
      <c r="Y27" s="224" t="s">
        <v>239</v>
      </c>
      <c r="Z27" s="225" t="s">
        <v>244</v>
      </c>
      <c r="AA27" s="226" t="s">
        <v>241</v>
      </c>
      <c r="AB27" s="227"/>
      <c r="AC27" s="228"/>
      <c r="AD27" s="229"/>
      <c r="AE27" s="128"/>
      <c r="AF27" s="70"/>
      <c r="AG27" s="70"/>
      <c r="AH27" s="72"/>
      <c r="AI27" s="223"/>
      <c r="AJ27" s="230" t="s">
        <v>239</v>
      </c>
      <c r="AK27" s="103" t="s">
        <v>245</v>
      </c>
      <c r="AL27" s="212"/>
      <c r="AM27" s="231"/>
      <c r="AN27" s="232"/>
      <c r="AO27" s="131"/>
      <c r="AP27" s="77"/>
      <c r="AQ27" s="78"/>
      <c r="AR27" s="79"/>
      <c r="AS27" s="80"/>
      <c r="AT27" s="68"/>
      <c r="AU27" s="68"/>
    </row>
    <row r="28" ht="15.0" customHeight="1">
      <c r="A28" s="36" t="s">
        <v>246</v>
      </c>
      <c r="B28" s="233" t="s">
        <v>247</v>
      </c>
      <c r="C28" s="234" t="s">
        <v>248</v>
      </c>
      <c r="D28" s="235" t="s">
        <v>249</v>
      </c>
      <c r="E28" s="236" t="s">
        <v>250</v>
      </c>
      <c r="F28" s="237" t="s">
        <v>251</v>
      </c>
      <c r="G28" s="238" t="s">
        <v>252</v>
      </c>
      <c r="H28" s="239"/>
      <c r="I28" s="240"/>
      <c r="J28" s="240"/>
      <c r="K28" s="241"/>
      <c r="L28" s="242"/>
      <c r="M28" s="243" t="s">
        <v>247</v>
      </c>
      <c r="N28" s="244" t="s">
        <v>253</v>
      </c>
      <c r="O28" s="245" t="s">
        <v>254</v>
      </c>
      <c r="P28" s="246" t="s">
        <v>255</v>
      </c>
      <c r="Q28" s="247" t="s">
        <v>256</v>
      </c>
      <c r="R28" s="248" t="s">
        <v>257</v>
      </c>
      <c r="S28" s="249" t="s">
        <v>257</v>
      </c>
      <c r="T28" s="239"/>
      <c r="U28" s="240"/>
      <c r="V28" s="240"/>
      <c r="W28" s="250"/>
      <c r="X28" s="251"/>
      <c r="Y28" s="252" t="s">
        <v>247</v>
      </c>
      <c r="Z28" s="253" t="s">
        <v>258</v>
      </c>
      <c r="AA28" s="254"/>
      <c r="AB28" s="247"/>
      <c r="AC28" s="255"/>
      <c r="AD28" s="256"/>
      <c r="AE28" s="257"/>
      <c r="AF28" s="258"/>
      <c r="AG28" s="258"/>
      <c r="AH28" s="259"/>
      <c r="AI28" s="251"/>
      <c r="AJ28" s="260" t="s">
        <v>247</v>
      </c>
      <c r="AK28" s="260" t="s">
        <v>259</v>
      </c>
      <c r="AL28" s="261"/>
      <c r="AM28" s="262"/>
      <c r="AN28" s="262"/>
      <c r="AO28" s="263"/>
      <c r="AP28" s="264"/>
      <c r="AQ28" s="265"/>
      <c r="AR28" s="266"/>
      <c r="AS28" s="267"/>
      <c r="AT28" s="68"/>
      <c r="AU28" s="68"/>
    </row>
    <row r="29" ht="15.0" customHeight="1">
      <c r="A29" s="40"/>
      <c r="B29" s="268"/>
      <c r="C29" s="268"/>
      <c r="D29" s="269"/>
      <c r="E29" s="268"/>
      <c r="F29" s="270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2"/>
      <c r="AD29" s="273"/>
      <c r="AE29" s="274"/>
      <c r="AF29" s="275"/>
      <c r="AG29" s="275"/>
      <c r="AH29" s="275"/>
      <c r="AI29" s="276"/>
      <c r="AJ29" s="143"/>
      <c r="AK29" s="143"/>
      <c r="AL29" s="277"/>
      <c r="AM29" s="277"/>
      <c r="AN29" s="277"/>
      <c r="AO29" s="278" t="s">
        <v>260</v>
      </c>
      <c r="AP29" s="277"/>
      <c r="AQ29" s="277"/>
      <c r="AR29" s="277"/>
      <c r="AS29" s="277"/>
      <c r="AT29" s="277"/>
      <c r="AU29" s="277"/>
    </row>
    <row r="30" ht="137.25" customHeight="1">
      <c r="A30" s="279"/>
      <c r="B30" s="280"/>
      <c r="C30" s="269"/>
      <c r="D30" s="281"/>
      <c r="E30" s="280"/>
      <c r="F30" s="282" t="s">
        <v>261</v>
      </c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2"/>
      <c r="AD30" s="283"/>
      <c r="AE30" s="284"/>
      <c r="AF30" s="285"/>
      <c r="AG30" s="285"/>
      <c r="AH30" s="285"/>
      <c r="AI30" s="286"/>
      <c r="AJ30" s="287" t="s">
        <v>262</v>
      </c>
      <c r="AK30" s="3"/>
      <c r="AL30" s="3"/>
      <c r="AM30" s="3"/>
      <c r="AN30" s="3"/>
      <c r="AO30" s="3"/>
      <c r="AP30" s="3"/>
      <c r="AQ30" s="3"/>
      <c r="AR30" s="3"/>
      <c r="AS30" s="288"/>
      <c r="AT30" s="289"/>
      <c r="AU30" s="289"/>
    </row>
    <row r="31" ht="42.0" customHeight="1">
      <c r="A31" s="290"/>
      <c r="B31" s="291" t="s">
        <v>263</v>
      </c>
      <c r="C31" s="292"/>
      <c r="D31" s="292"/>
      <c r="E31" s="293"/>
      <c r="F31" s="294" t="s">
        <v>264</v>
      </c>
      <c r="G31" s="295" t="s">
        <v>265</v>
      </c>
      <c r="H31" s="285"/>
      <c r="I31" s="285"/>
      <c r="J31" s="285"/>
      <c r="K31" s="285"/>
      <c r="L31" s="285"/>
      <c r="M31" s="296"/>
      <c r="N31" s="297"/>
      <c r="O31" s="298"/>
      <c r="P31" s="299" t="s">
        <v>266</v>
      </c>
      <c r="Q31" s="300"/>
      <c r="R31" s="294" t="s">
        <v>264</v>
      </c>
      <c r="S31" s="301" t="s">
        <v>265</v>
      </c>
      <c r="T31" s="285"/>
      <c r="U31" s="285"/>
      <c r="V31" s="285"/>
      <c r="W31" s="285"/>
      <c r="X31" s="285"/>
      <c r="Y31" s="302"/>
      <c r="Z31" s="297"/>
      <c r="AA31" s="303" t="s">
        <v>266</v>
      </c>
      <c r="AB31" s="304"/>
      <c r="AC31" s="305" t="s">
        <v>264</v>
      </c>
      <c r="AD31" s="306" t="s">
        <v>265</v>
      </c>
      <c r="AE31" s="307"/>
      <c r="AF31" s="285"/>
      <c r="AG31" s="285"/>
      <c r="AH31" s="285"/>
      <c r="AI31" s="286"/>
      <c r="AJ31" s="308"/>
      <c r="AK31" s="308"/>
      <c r="AL31" s="308"/>
      <c r="AM31" s="308"/>
      <c r="AN31" s="308"/>
      <c r="AO31" s="308"/>
      <c r="AP31" s="308"/>
      <c r="AQ31" s="308"/>
      <c r="AR31" s="308"/>
      <c r="AS31" s="309"/>
      <c r="AT31" s="289"/>
      <c r="AU31" s="289"/>
    </row>
    <row r="32" ht="15.75" customHeight="1">
      <c r="A32" s="310"/>
      <c r="B32" s="311">
        <v>1.0</v>
      </c>
      <c r="C32" s="312"/>
      <c r="D32" s="313" t="s">
        <v>144</v>
      </c>
      <c r="E32" s="314">
        <v>2.0</v>
      </c>
      <c r="F32" s="315"/>
      <c r="G32" s="316">
        <v>2.0</v>
      </c>
      <c r="H32" s="317"/>
      <c r="I32" s="317"/>
      <c r="J32" s="317"/>
      <c r="K32" s="317"/>
      <c r="L32" s="317"/>
      <c r="M32" s="318">
        <v>1.0</v>
      </c>
      <c r="N32" s="312"/>
      <c r="O32" s="319"/>
      <c r="P32" s="320" t="s">
        <v>19</v>
      </c>
      <c r="Q32" s="321">
        <v>1.0</v>
      </c>
      <c r="R32" s="322"/>
      <c r="S32" s="323">
        <v>1.0</v>
      </c>
      <c r="T32" s="317"/>
      <c r="U32" s="317"/>
      <c r="V32" s="317"/>
      <c r="W32" s="317"/>
      <c r="X32" s="317"/>
      <c r="Y32" s="318">
        <v>1.0</v>
      </c>
      <c r="Z32" s="312"/>
      <c r="AA32" s="324" t="s">
        <v>241</v>
      </c>
      <c r="AB32" s="325">
        <v>2.0</v>
      </c>
      <c r="AC32" s="322">
        <v>2.0</v>
      </c>
      <c r="AD32" s="323">
        <v>1.0</v>
      </c>
      <c r="AE32" s="326"/>
      <c r="AF32" s="327"/>
      <c r="AG32" s="327"/>
      <c r="AH32" s="327"/>
      <c r="AI32" s="277"/>
      <c r="AJ32" s="328" t="s">
        <v>4</v>
      </c>
      <c r="AK32" s="329" t="s">
        <v>5</v>
      </c>
      <c r="AL32" s="329" t="s">
        <v>6</v>
      </c>
      <c r="AM32" s="329" t="s">
        <v>7</v>
      </c>
      <c r="AN32" s="329" t="s">
        <v>8</v>
      </c>
      <c r="AO32" s="329" t="s">
        <v>9</v>
      </c>
      <c r="AP32" s="330" t="s">
        <v>10</v>
      </c>
      <c r="AQ32" s="330" t="s">
        <v>11</v>
      </c>
      <c r="AR32" s="330" t="s">
        <v>12</v>
      </c>
      <c r="AS32" s="19" t="s">
        <v>13</v>
      </c>
      <c r="AT32" s="287"/>
      <c r="AU32" s="331"/>
    </row>
    <row r="33" ht="15.75" customHeight="1">
      <c r="A33" s="332"/>
      <c r="B33" s="333">
        <v>2.0</v>
      </c>
      <c r="C33" s="334"/>
      <c r="D33" s="335" t="s">
        <v>72</v>
      </c>
      <c r="E33" s="314">
        <v>2.0</v>
      </c>
      <c r="F33" s="315">
        <v>3.0</v>
      </c>
      <c r="G33" s="316">
        <v>2.0</v>
      </c>
      <c r="H33" s="317"/>
      <c r="I33" s="317"/>
      <c r="J33" s="317"/>
      <c r="K33" s="317"/>
      <c r="L33" s="317"/>
      <c r="M33" s="336">
        <v>2.0</v>
      </c>
      <c r="N33" s="334"/>
      <c r="O33" s="337"/>
      <c r="P33" s="338" t="s">
        <v>267</v>
      </c>
      <c r="Q33" s="339"/>
      <c r="R33" s="322"/>
      <c r="S33" s="323">
        <v>1.0</v>
      </c>
      <c r="T33" s="340"/>
      <c r="U33" s="340"/>
      <c r="V33" s="340"/>
      <c r="W33" s="340"/>
      <c r="X33" s="268"/>
      <c r="Y33" s="318">
        <v>2.0</v>
      </c>
      <c r="Z33" s="312"/>
      <c r="AA33" s="324" t="s">
        <v>249</v>
      </c>
      <c r="AB33" s="325">
        <v>1.0</v>
      </c>
      <c r="AC33" s="322"/>
      <c r="AD33" s="323">
        <v>1.0</v>
      </c>
      <c r="AE33" s="326"/>
      <c r="AF33" s="327"/>
      <c r="AG33" s="327"/>
      <c r="AH33" s="327"/>
      <c r="AI33" s="277"/>
      <c r="AJ33" s="341" t="s">
        <v>247</v>
      </c>
      <c r="AK33" s="342" t="s">
        <v>258</v>
      </c>
      <c r="AL33" s="343"/>
      <c r="AM33" s="343"/>
      <c r="AN33" s="343"/>
      <c r="AO33" s="343"/>
      <c r="AP33" s="344"/>
      <c r="AQ33" s="345"/>
      <c r="AR33" s="345"/>
      <c r="AS33" s="346"/>
      <c r="AT33" s="347"/>
      <c r="AU33" s="348"/>
    </row>
    <row r="34" ht="15.75" customHeight="1">
      <c r="A34" s="310"/>
      <c r="B34" s="333">
        <v>3.0</v>
      </c>
      <c r="C34" s="334"/>
      <c r="D34" s="335" t="s">
        <v>98</v>
      </c>
      <c r="E34" s="314">
        <v>2.0</v>
      </c>
      <c r="F34" s="315"/>
      <c r="G34" s="316">
        <v>2.0</v>
      </c>
      <c r="H34" s="317"/>
      <c r="I34" s="317"/>
      <c r="J34" s="280"/>
      <c r="K34" s="317"/>
      <c r="L34" s="317"/>
      <c r="M34" s="336">
        <v>3.0</v>
      </c>
      <c r="N34" s="334"/>
      <c r="O34" s="337"/>
      <c r="P34" s="338" t="s">
        <v>30</v>
      </c>
      <c r="Q34" s="321">
        <v>1.0</v>
      </c>
      <c r="R34" s="322"/>
      <c r="S34" s="323">
        <v>1.0</v>
      </c>
      <c r="T34" s="340"/>
      <c r="U34" s="340"/>
      <c r="V34" s="340"/>
      <c r="W34" s="340"/>
      <c r="X34" s="268"/>
      <c r="Y34" s="349">
        <v>3.0</v>
      </c>
      <c r="Z34" s="334"/>
      <c r="AA34" s="350" t="s">
        <v>268</v>
      </c>
      <c r="AB34" s="339"/>
      <c r="AC34" s="322">
        <v>1.0</v>
      </c>
      <c r="AD34" s="323">
        <v>1.0</v>
      </c>
      <c r="AE34" s="326"/>
      <c r="AF34" s="327"/>
      <c r="AG34" s="327"/>
      <c r="AH34" s="327"/>
      <c r="AI34" s="277"/>
      <c r="AJ34" s="351" t="s">
        <v>28</v>
      </c>
      <c r="AK34" s="352" t="s">
        <v>269</v>
      </c>
      <c r="AL34" s="133"/>
      <c r="AM34" s="49"/>
      <c r="AN34" s="49"/>
      <c r="AO34" s="154"/>
      <c r="AP34" s="353"/>
      <c r="AQ34" s="354"/>
      <c r="AR34" s="354"/>
      <c r="AS34" s="355"/>
      <c r="AT34" s="356"/>
      <c r="AU34" s="356"/>
    </row>
    <row r="35" ht="15.75" customHeight="1">
      <c r="A35" s="310"/>
      <c r="B35" s="357">
        <v>4.0</v>
      </c>
      <c r="C35" s="334"/>
      <c r="D35" s="335" t="s">
        <v>270</v>
      </c>
      <c r="E35" s="358"/>
      <c r="F35" s="315">
        <v>1.0</v>
      </c>
      <c r="G35" s="316">
        <v>2.0</v>
      </c>
      <c r="H35" s="317"/>
      <c r="I35" s="317"/>
      <c r="J35" s="317"/>
      <c r="K35" s="317"/>
      <c r="L35" s="317"/>
      <c r="M35" s="349">
        <v>4.0</v>
      </c>
      <c r="N35" s="334"/>
      <c r="O35" s="359"/>
      <c r="P35" s="360" t="s">
        <v>40</v>
      </c>
      <c r="Q35" s="321">
        <v>1.0</v>
      </c>
      <c r="R35" s="322">
        <v>2.0</v>
      </c>
      <c r="S35" s="323">
        <v>1.0</v>
      </c>
      <c r="T35" s="317"/>
      <c r="U35" s="317"/>
      <c r="V35" s="317"/>
      <c r="W35" s="317"/>
      <c r="X35" s="361"/>
      <c r="Y35" s="349">
        <v>4.0</v>
      </c>
      <c r="Z35" s="334"/>
      <c r="AA35" s="350" t="s">
        <v>243</v>
      </c>
      <c r="AB35" s="325">
        <v>1.0</v>
      </c>
      <c r="AC35" s="322"/>
      <c r="AD35" s="323">
        <v>1.0</v>
      </c>
      <c r="AE35" s="362"/>
      <c r="AF35" s="327"/>
      <c r="AG35" s="327"/>
      <c r="AH35" s="327"/>
      <c r="AI35" s="277"/>
      <c r="AJ35" s="351" t="s">
        <v>38</v>
      </c>
      <c r="AK35" s="352" t="s">
        <v>271</v>
      </c>
      <c r="AL35" s="133"/>
      <c r="AM35" s="49"/>
      <c r="AN35" s="49"/>
      <c r="AO35" s="154"/>
      <c r="AP35" s="363"/>
      <c r="AQ35" s="70"/>
      <c r="AR35" s="70"/>
      <c r="AS35" s="72"/>
      <c r="AT35" s="364"/>
      <c r="AU35" s="364"/>
    </row>
    <row r="36" ht="15.75" customHeight="1">
      <c r="A36" s="310"/>
      <c r="B36" s="333">
        <v>5.0</v>
      </c>
      <c r="C36" s="334"/>
      <c r="D36" s="335" t="s">
        <v>124</v>
      </c>
      <c r="E36" s="365">
        <v>2.0</v>
      </c>
      <c r="F36" s="315"/>
      <c r="G36" s="316">
        <v>2.0</v>
      </c>
      <c r="H36" s="317"/>
      <c r="I36" s="366"/>
      <c r="J36" s="366"/>
      <c r="K36" s="366"/>
      <c r="L36" s="366"/>
      <c r="M36" s="349">
        <v>5.0</v>
      </c>
      <c r="N36" s="334"/>
      <c r="O36" s="359"/>
      <c r="P36" s="360" t="s">
        <v>272</v>
      </c>
      <c r="Q36" s="339"/>
      <c r="R36" s="322"/>
      <c r="S36" s="323">
        <v>1.0</v>
      </c>
      <c r="T36" s="317"/>
      <c r="U36" s="317"/>
      <c r="V36" s="317"/>
      <c r="W36" s="317"/>
      <c r="X36" s="361"/>
      <c r="Y36" s="367">
        <v>5.0</v>
      </c>
      <c r="Z36" s="334"/>
      <c r="AA36" s="121" t="s">
        <v>254</v>
      </c>
      <c r="AB36" s="325">
        <v>1.0</v>
      </c>
      <c r="AC36" s="322"/>
      <c r="AD36" s="323">
        <v>1.0</v>
      </c>
      <c r="AE36" s="326"/>
      <c r="AF36" s="327"/>
      <c r="AG36" s="327"/>
      <c r="AH36" s="327"/>
      <c r="AI36" s="277"/>
      <c r="AJ36" s="368" t="s">
        <v>45</v>
      </c>
      <c r="AK36" s="193" t="s">
        <v>273</v>
      </c>
      <c r="AL36" s="133" t="s">
        <v>274</v>
      </c>
      <c r="AM36" s="142"/>
      <c r="AN36" s="1"/>
      <c r="AO36" s="154"/>
      <c r="AP36" s="353"/>
      <c r="AQ36" s="354"/>
      <c r="AR36" s="354"/>
      <c r="AS36" s="355"/>
      <c r="AT36" s="356"/>
      <c r="AU36" s="356"/>
    </row>
    <row r="37" ht="15.75" customHeight="1">
      <c r="A37" s="310"/>
      <c r="B37" s="369">
        <v>6.0</v>
      </c>
      <c r="C37" s="334"/>
      <c r="D37" s="370" t="s">
        <v>67</v>
      </c>
      <c r="E37" s="314">
        <v>2.0</v>
      </c>
      <c r="F37" s="315"/>
      <c r="G37" s="316">
        <v>2.0</v>
      </c>
      <c r="H37" s="317"/>
      <c r="I37" s="371"/>
      <c r="J37" s="371"/>
      <c r="K37" s="371"/>
      <c r="L37" s="371"/>
      <c r="M37" s="372">
        <v>6.0</v>
      </c>
      <c r="N37" s="334"/>
      <c r="O37" s="359"/>
      <c r="P37" s="360" t="s">
        <v>24</v>
      </c>
      <c r="Q37" s="321">
        <v>1.0</v>
      </c>
      <c r="R37" s="322"/>
      <c r="S37" s="373">
        <v>1.0</v>
      </c>
      <c r="T37" s="371"/>
      <c r="U37" s="374"/>
      <c r="V37" s="371"/>
      <c r="W37" s="371"/>
      <c r="X37" s="375"/>
      <c r="Y37" s="367">
        <v>6.0</v>
      </c>
      <c r="Z37" s="334"/>
      <c r="AA37" s="121"/>
      <c r="AB37" s="325"/>
      <c r="AC37" s="322"/>
      <c r="AD37" s="323">
        <v>1.0</v>
      </c>
      <c r="AE37" s="376"/>
      <c r="AF37" s="371"/>
      <c r="AG37" s="371"/>
      <c r="AH37" s="371"/>
      <c r="AI37" s="377"/>
      <c r="AJ37" s="368" t="s">
        <v>52</v>
      </c>
      <c r="AK37" s="193" t="s">
        <v>275</v>
      </c>
      <c r="AL37" s="133" t="s">
        <v>276</v>
      </c>
      <c r="AM37" s="378" t="s">
        <v>277</v>
      </c>
      <c r="AN37" s="142" t="s">
        <v>278</v>
      </c>
      <c r="AO37" s="154" t="s">
        <v>279</v>
      </c>
      <c r="AP37" s="353"/>
      <c r="AQ37" s="354"/>
      <c r="AR37" s="354"/>
      <c r="AS37" s="355"/>
      <c r="AT37" s="356"/>
      <c r="AU37" s="356"/>
    </row>
    <row r="38" ht="15.75" customHeight="1">
      <c r="A38" s="310"/>
      <c r="B38" s="379">
        <v>7.0</v>
      </c>
      <c r="C38" s="334"/>
      <c r="D38" s="370" t="s">
        <v>93</v>
      </c>
      <c r="E38" s="314">
        <v>2.0</v>
      </c>
      <c r="F38" s="315"/>
      <c r="G38" s="154" t="s">
        <v>37</v>
      </c>
      <c r="H38" s="317"/>
      <c r="I38" s="371"/>
      <c r="J38" s="371"/>
      <c r="K38" s="371"/>
      <c r="L38" s="371"/>
      <c r="M38" s="380">
        <v>7.0</v>
      </c>
      <c r="N38" s="334"/>
      <c r="O38" s="381"/>
      <c r="P38" s="382" t="s">
        <v>280</v>
      </c>
      <c r="Q38" s="321"/>
      <c r="R38" s="322"/>
      <c r="S38" s="373">
        <v>1.0</v>
      </c>
      <c r="T38" s="371"/>
      <c r="U38" s="371"/>
      <c r="V38" s="371"/>
      <c r="W38" s="371"/>
      <c r="X38" s="375"/>
      <c r="Y38" s="383" t="s">
        <v>281</v>
      </c>
      <c r="Z38" s="384"/>
      <c r="AA38" s="385"/>
      <c r="AB38" s="386">
        <f>SUM(AB32:AB37)</f>
        <v>5</v>
      </c>
      <c r="AC38" s="374"/>
      <c r="AD38" s="374"/>
      <c r="AE38" s="376"/>
      <c r="AF38" s="371"/>
      <c r="AG38" s="371"/>
      <c r="AH38" s="371"/>
      <c r="AI38" s="377"/>
      <c r="AJ38" s="387" t="s">
        <v>59</v>
      </c>
      <c r="AK38" s="193" t="s">
        <v>282</v>
      </c>
      <c r="AL38" s="133" t="s">
        <v>283</v>
      </c>
      <c r="AM38" s="1"/>
      <c r="AN38" s="1"/>
      <c r="AO38" s="84"/>
      <c r="AP38" s="353"/>
      <c r="AQ38" s="354"/>
      <c r="AR38" s="354"/>
      <c r="AS38" s="355"/>
      <c r="AT38" s="356"/>
      <c r="AU38" s="356"/>
    </row>
    <row r="39" ht="15.0" customHeight="1">
      <c r="A39" s="310"/>
      <c r="B39" s="379">
        <v>8.0</v>
      </c>
      <c r="C39" s="334"/>
      <c r="D39" s="370" t="s">
        <v>119</v>
      </c>
      <c r="E39" s="314">
        <v>2.0</v>
      </c>
      <c r="F39" s="315">
        <v>2.0</v>
      </c>
      <c r="G39" s="154" t="s">
        <v>37</v>
      </c>
      <c r="H39" s="317"/>
      <c r="I39" s="371"/>
      <c r="J39" s="371"/>
      <c r="K39" s="371"/>
      <c r="L39" s="371"/>
      <c r="M39" s="380">
        <v>8.0</v>
      </c>
      <c r="N39" s="334"/>
      <c r="O39" s="381"/>
      <c r="P39" s="382" t="s">
        <v>284</v>
      </c>
      <c r="Q39" s="321"/>
      <c r="R39" s="322"/>
      <c r="S39" s="323">
        <v>1.0</v>
      </c>
      <c r="T39" s="340"/>
      <c r="U39" s="340"/>
      <c r="V39" s="340"/>
      <c r="W39" s="340"/>
      <c r="X39" s="268"/>
      <c r="Y39" s="388"/>
      <c r="Z39" s="371"/>
      <c r="AA39" s="371"/>
      <c r="AB39" s="374"/>
      <c r="AC39" s="371"/>
      <c r="AD39" s="371"/>
      <c r="AE39" s="389"/>
      <c r="AF39" s="340"/>
      <c r="AG39" s="340"/>
      <c r="AH39" s="340"/>
      <c r="AI39" s="143"/>
      <c r="AJ39" s="368" t="s">
        <v>65</v>
      </c>
      <c r="AK39" s="193" t="s">
        <v>285</v>
      </c>
      <c r="AL39" s="133" t="s">
        <v>286</v>
      </c>
      <c r="AM39" s="1" t="s">
        <v>287</v>
      </c>
      <c r="AN39" s="1" t="s">
        <v>288</v>
      </c>
      <c r="AO39" s="154" t="s">
        <v>289</v>
      </c>
      <c r="AP39" s="363"/>
      <c r="AQ39" s="70"/>
      <c r="AR39" s="70"/>
      <c r="AS39" s="72"/>
      <c r="AT39" s="364"/>
      <c r="AU39" s="364"/>
    </row>
    <row r="40" ht="15.75" customHeight="1">
      <c r="A40" s="390"/>
      <c r="B40" s="379">
        <v>9.0</v>
      </c>
      <c r="C40" s="334"/>
      <c r="D40" s="370" t="s">
        <v>139</v>
      </c>
      <c r="E40" s="314">
        <v>2.0</v>
      </c>
      <c r="F40" s="315">
        <v>2.0</v>
      </c>
      <c r="G40" s="316">
        <v>2.0</v>
      </c>
      <c r="H40" s="317"/>
      <c r="I40" s="391"/>
      <c r="J40" s="391"/>
      <c r="K40" s="391"/>
      <c r="L40" s="391"/>
      <c r="M40" s="392" t="s">
        <v>90</v>
      </c>
      <c r="N40" s="334"/>
      <c r="O40" s="381"/>
      <c r="P40" s="382" t="s">
        <v>290</v>
      </c>
      <c r="Q40" s="393"/>
      <c r="R40" s="394"/>
      <c r="S40" s="391"/>
      <c r="T40" s="391"/>
      <c r="U40" s="391"/>
      <c r="V40" s="391"/>
      <c r="W40" s="391"/>
      <c r="X40" s="395"/>
      <c r="Y40" s="391"/>
      <c r="Z40" s="391"/>
      <c r="AA40" s="391"/>
      <c r="AB40" s="391"/>
      <c r="AC40" s="391"/>
      <c r="AD40" s="391"/>
      <c r="AE40" s="376"/>
      <c r="AF40" s="388"/>
      <c r="AG40" s="388"/>
      <c r="AH40" s="388"/>
      <c r="AI40" s="396"/>
      <c r="AJ40" s="387" t="s">
        <v>79</v>
      </c>
      <c r="AK40" s="135" t="s">
        <v>291</v>
      </c>
      <c r="AL40" s="133" t="s">
        <v>292</v>
      </c>
      <c r="AM40" s="49"/>
      <c r="AN40" s="397"/>
      <c r="AO40" s="154"/>
      <c r="AP40" s="398"/>
      <c r="AQ40" s="399"/>
      <c r="AR40" s="400"/>
      <c r="AS40" s="401"/>
      <c r="AT40" s="402"/>
      <c r="AU40" s="402"/>
    </row>
    <row r="41" ht="15.75" customHeight="1">
      <c r="A41" s="403"/>
      <c r="B41" s="379">
        <v>10.0</v>
      </c>
      <c r="C41" s="334"/>
      <c r="D41" s="370" t="s">
        <v>293</v>
      </c>
      <c r="E41" s="404"/>
      <c r="F41" s="315"/>
      <c r="G41" s="154" t="s">
        <v>27</v>
      </c>
      <c r="H41" s="317"/>
      <c r="I41" s="391"/>
      <c r="J41" s="391"/>
      <c r="K41" s="391"/>
      <c r="L41" s="391"/>
      <c r="M41" s="405"/>
      <c r="N41" s="334"/>
      <c r="O41" s="406"/>
      <c r="P41" s="407"/>
      <c r="Q41" s="408"/>
      <c r="R41" s="391"/>
      <c r="S41" s="395"/>
      <c r="T41" s="340"/>
      <c r="U41" s="340"/>
      <c r="V41" s="340"/>
      <c r="W41" s="340"/>
      <c r="X41" s="395"/>
      <c r="Y41" s="409"/>
      <c r="Z41" s="409"/>
      <c r="AA41" s="409"/>
      <c r="AB41" s="409"/>
      <c r="AC41" s="391"/>
      <c r="AD41" s="391"/>
      <c r="AE41" s="362"/>
      <c r="AF41" s="374"/>
      <c r="AG41" s="374"/>
      <c r="AH41" s="374"/>
      <c r="AI41" s="410"/>
      <c r="AJ41" s="368" t="s">
        <v>91</v>
      </c>
      <c r="AK41" s="135" t="s">
        <v>294</v>
      </c>
      <c r="AL41" s="104"/>
      <c r="AM41" s="40"/>
      <c r="AN41" s="40"/>
      <c r="AO41" s="154"/>
      <c r="AP41" s="398"/>
      <c r="AQ41" s="399"/>
      <c r="AR41" s="400"/>
      <c r="AS41" s="411"/>
      <c r="AT41" s="412"/>
      <c r="AU41" s="412"/>
    </row>
    <row r="42" ht="15.75" customHeight="1">
      <c r="A42" s="413"/>
      <c r="B42" s="379">
        <v>11.0</v>
      </c>
      <c r="C42" s="334"/>
      <c r="D42" s="370" t="s">
        <v>156</v>
      </c>
      <c r="E42" s="314">
        <v>2.0</v>
      </c>
      <c r="F42" s="414"/>
      <c r="G42" s="316">
        <v>2.0</v>
      </c>
      <c r="H42" s="317"/>
      <c r="I42" s="317"/>
      <c r="J42" s="317"/>
      <c r="K42" s="317"/>
      <c r="L42" s="317"/>
      <c r="M42" s="415"/>
      <c r="N42" s="334"/>
      <c r="O42" s="416"/>
      <c r="P42" s="416"/>
      <c r="Q42" s="417"/>
      <c r="R42" s="374"/>
      <c r="S42" s="418"/>
      <c r="T42" s="340"/>
      <c r="U42" s="340"/>
      <c r="V42" s="340"/>
      <c r="W42" s="340"/>
      <c r="X42" s="418"/>
      <c r="Y42" s="419" t="s">
        <v>295</v>
      </c>
      <c r="AB42" s="420"/>
      <c r="AC42" s="421" t="s">
        <v>264</v>
      </c>
      <c r="AD42" s="422" t="s">
        <v>265</v>
      </c>
      <c r="AE42" s="362"/>
      <c r="AF42" s="374"/>
      <c r="AG42" s="374"/>
      <c r="AH42" s="374"/>
      <c r="AI42" s="410"/>
      <c r="AJ42" s="368" t="s">
        <v>105</v>
      </c>
      <c r="AK42" s="135" t="s">
        <v>296</v>
      </c>
      <c r="AL42" s="104"/>
      <c r="AM42" s="397"/>
      <c r="AN42" s="423"/>
      <c r="AO42" s="154"/>
      <c r="AP42" s="107"/>
      <c r="AQ42" s="108"/>
      <c r="AR42" s="109"/>
      <c r="AS42" s="110"/>
      <c r="AT42" s="111"/>
      <c r="AU42" s="111"/>
    </row>
    <row r="43">
      <c r="A43" s="310">
        <f>59</f>
        <v>59</v>
      </c>
      <c r="B43" s="379">
        <v>12.0</v>
      </c>
      <c r="C43" s="334"/>
      <c r="D43" s="370" t="s">
        <v>175</v>
      </c>
      <c r="E43" s="314">
        <v>2.0</v>
      </c>
      <c r="F43" s="315">
        <v>2.0</v>
      </c>
      <c r="G43" s="316">
        <v>2.0</v>
      </c>
      <c r="H43" s="317"/>
      <c r="I43" s="317"/>
      <c r="J43" s="317"/>
      <c r="K43" s="317"/>
      <c r="L43" s="317"/>
      <c r="M43" s="415"/>
      <c r="N43" s="334"/>
      <c r="O43" s="118"/>
      <c r="P43" s="117"/>
      <c r="Q43" s="417"/>
      <c r="R43" s="374"/>
      <c r="S43" s="374"/>
      <c r="T43" s="317"/>
      <c r="U43" s="317"/>
      <c r="V43" s="317"/>
      <c r="W43" s="317"/>
      <c r="X43" s="361"/>
      <c r="Y43" s="424"/>
      <c r="AB43" s="420"/>
      <c r="AD43" s="425"/>
      <c r="AE43" s="426"/>
      <c r="AF43" s="317"/>
      <c r="AG43" s="317"/>
      <c r="AH43" s="317"/>
      <c r="AI43" s="427"/>
      <c r="AJ43" s="368" t="s">
        <v>117</v>
      </c>
      <c r="AK43" s="193" t="s">
        <v>297</v>
      </c>
      <c r="AL43" s="104"/>
      <c r="AM43" s="104"/>
      <c r="AN43" s="104"/>
      <c r="AO43" s="188"/>
      <c r="AP43" s="107"/>
      <c r="AQ43" s="108"/>
      <c r="AR43" s="109"/>
      <c r="AS43" s="110"/>
      <c r="AT43" s="111"/>
      <c r="AU43" s="111"/>
    </row>
    <row r="44" ht="15.75" customHeight="1">
      <c r="A44" s="310"/>
      <c r="B44" s="379">
        <v>13.0</v>
      </c>
      <c r="C44" s="334"/>
      <c r="D44" s="370" t="s">
        <v>298</v>
      </c>
      <c r="E44" s="404"/>
      <c r="F44" s="315"/>
      <c r="G44" s="316">
        <v>2.0</v>
      </c>
      <c r="H44" s="317"/>
      <c r="I44" s="317"/>
      <c r="J44" s="317"/>
      <c r="K44" s="317"/>
      <c r="L44" s="317"/>
      <c r="M44" s="415"/>
      <c r="N44" s="334"/>
      <c r="O44" s="118"/>
      <c r="P44" s="117"/>
      <c r="Q44" s="417"/>
      <c r="R44" s="374"/>
      <c r="S44" s="280"/>
      <c r="T44" s="317"/>
      <c r="U44" s="317"/>
      <c r="V44" s="317"/>
      <c r="W44" s="317"/>
      <c r="X44" s="361"/>
      <c r="Y44" s="428"/>
      <c r="Z44" s="429"/>
      <c r="AA44" s="429"/>
      <c r="AB44" s="430"/>
      <c r="AC44" s="280"/>
      <c r="AD44" s="374"/>
      <c r="AE44" s="426"/>
      <c r="AF44" s="317"/>
      <c r="AG44" s="323" t="s">
        <v>299</v>
      </c>
      <c r="AH44" s="317"/>
      <c r="AI44" s="427"/>
      <c r="AJ44" s="431" t="s">
        <v>128</v>
      </c>
      <c r="AK44" s="135" t="s">
        <v>300</v>
      </c>
      <c r="AL44" s="104"/>
      <c r="AM44" s="104"/>
      <c r="AN44" s="104"/>
      <c r="AO44" s="432"/>
      <c r="AP44" s="165"/>
      <c r="AQ44" s="433"/>
      <c r="AR44" s="434"/>
      <c r="AS44" s="168"/>
      <c r="AT44" s="169"/>
      <c r="AU44" s="169"/>
    </row>
    <row r="45" ht="15.75" customHeight="1">
      <c r="A45" s="332"/>
      <c r="B45" s="379">
        <v>14.0</v>
      </c>
      <c r="C45" s="334"/>
      <c r="D45" s="370" t="s">
        <v>194</v>
      </c>
      <c r="E45" s="314">
        <v>2.0</v>
      </c>
      <c r="F45" s="315"/>
      <c r="G45" s="316">
        <v>2.0</v>
      </c>
      <c r="H45" s="317"/>
      <c r="I45" s="374"/>
      <c r="J45" s="374"/>
      <c r="K45" s="374"/>
      <c r="L45" s="374"/>
      <c r="M45" s="435" t="s">
        <v>281</v>
      </c>
      <c r="N45" s="384"/>
      <c r="O45" s="436"/>
      <c r="P45" s="436"/>
      <c r="Q45" s="386">
        <f>SUM(Q32:Q40)</f>
        <v>4</v>
      </c>
      <c r="R45" s="374"/>
      <c r="S45" s="361"/>
      <c r="T45" s="317"/>
      <c r="U45" s="317"/>
      <c r="V45" s="317"/>
      <c r="W45" s="317"/>
      <c r="X45" s="361"/>
      <c r="Y45" s="437">
        <v>1.0</v>
      </c>
      <c r="Z45" s="312"/>
      <c r="AA45" s="89" t="s">
        <v>47</v>
      </c>
      <c r="AB45" s="438">
        <v>1.0</v>
      </c>
      <c r="AC45" s="322"/>
      <c r="AD45" s="323">
        <v>1.0</v>
      </c>
      <c r="AE45" s="426"/>
      <c r="AF45" s="317"/>
      <c r="AG45" s="317"/>
      <c r="AH45" s="317"/>
      <c r="AI45" s="427"/>
      <c r="AJ45" s="439" t="s">
        <v>146</v>
      </c>
      <c r="AK45" s="120" t="s">
        <v>301</v>
      </c>
      <c r="AL45" s="117"/>
      <c r="AM45" s="117"/>
      <c r="AN45" s="117"/>
      <c r="AO45" s="440"/>
      <c r="AP45" s="77"/>
      <c r="AQ45" s="79"/>
      <c r="AR45" s="79"/>
      <c r="AS45" s="80"/>
      <c r="AT45" s="68"/>
      <c r="AU45" s="68"/>
    </row>
    <row r="46" ht="15.75" customHeight="1">
      <c r="A46" s="441"/>
      <c r="B46" s="369">
        <v>15.0</v>
      </c>
      <c r="C46" s="334"/>
      <c r="D46" s="370" t="s">
        <v>302</v>
      </c>
      <c r="E46" s="404"/>
      <c r="F46" s="315"/>
      <c r="G46" s="316">
        <v>2.0</v>
      </c>
      <c r="H46" s="317"/>
      <c r="I46" s="317"/>
      <c r="J46" s="317"/>
      <c r="K46" s="317"/>
      <c r="L46" s="317"/>
      <c r="M46" s="442"/>
      <c r="N46" s="366"/>
      <c r="O46" s="361"/>
      <c r="P46" s="361"/>
      <c r="Q46" s="361"/>
      <c r="R46" s="374"/>
      <c r="S46" s="361"/>
      <c r="T46" s="317"/>
      <c r="U46" s="317"/>
      <c r="V46" s="317"/>
      <c r="W46" s="317"/>
      <c r="X46" s="361"/>
      <c r="Y46" s="443">
        <v>2.0</v>
      </c>
      <c r="Z46" s="334"/>
      <c r="AA46" s="96" t="s">
        <v>54</v>
      </c>
      <c r="AB46" s="438">
        <v>1.0</v>
      </c>
      <c r="AC46" s="322">
        <v>1.0</v>
      </c>
      <c r="AD46" s="323">
        <v>1.0</v>
      </c>
      <c r="AE46" s="426"/>
      <c r="AF46" s="317"/>
      <c r="AG46" s="317"/>
      <c r="AH46" s="317"/>
      <c r="AI46" s="427"/>
      <c r="AJ46" s="439" t="s">
        <v>154</v>
      </c>
      <c r="AK46" s="135" t="s">
        <v>303</v>
      </c>
      <c r="AL46" s="117"/>
      <c r="AM46" s="117"/>
      <c r="AN46" s="117"/>
      <c r="AO46" s="440"/>
      <c r="AP46" s="77"/>
      <c r="AQ46" s="78"/>
      <c r="AR46" s="79"/>
      <c r="AS46" s="80"/>
      <c r="AT46" s="68"/>
      <c r="AU46" s="68"/>
    </row>
    <row r="47" ht="15.75" customHeight="1">
      <c r="A47" s="310"/>
      <c r="B47" s="379">
        <v>16.0</v>
      </c>
      <c r="C47" s="334"/>
      <c r="D47" s="370" t="s">
        <v>274</v>
      </c>
      <c r="E47" s="314">
        <v>1.0</v>
      </c>
      <c r="F47" s="315"/>
      <c r="G47" s="316">
        <v>1.0</v>
      </c>
      <c r="H47" s="317"/>
      <c r="I47" s="317"/>
      <c r="J47" s="317"/>
      <c r="K47" s="317"/>
      <c r="L47" s="317"/>
      <c r="M47" s="366"/>
      <c r="N47" s="366"/>
      <c r="O47" s="361"/>
      <c r="P47" s="361"/>
      <c r="Q47" s="280"/>
      <c r="R47" s="374"/>
      <c r="S47" s="361"/>
      <c r="T47" s="327"/>
      <c r="U47" s="327"/>
      <c r="V47" s="327"/>
      <c r="W47" s="327"/>
      <c r="X47" s="361"/>
      <c r="Y47" s="443">
        <v>3.0</v>
      </c>
      <c r="Z47" s="334"/>
      <c r="AA47" s="96" t="s">
        <v>304</v>
      </c>
      <c r="AB47" s="438"/>
      <c r="AC47" s="322">
        <v>2.0</v>
      </c>
      <c r="AD47" s="323">
        <v>1.0</v>
      </c>
      <c r="AE47" s="426"/>
      <c r="AF47" s="317"/>
      <c r="AG47" s="317"/>
      <c r="AH47" s="317"/>
      <c r="AI47" s="427"/>
      <c r="AJ47" s="439" t="s">
        <v>164</v>
      </c>
      <c r="AK47" s="120" t="s">
        <v>305</v>
      </c>
      <c r="AL47" s="444"/>
      <c r="AM47" s="444"/>
      <c r="AN47" s="444"/>
      <c r="AO47" s="440"/>
      <c r="AP47" s="445"/>
      <c r="AQ47" s="433"/>
      <c r="AR47" s="434"/>
      <c r="AS47" s="446"/>
      <c r="AT47" s="447"/>
      <c r="AU47" s="447"/>
    </row>
    <row r="48">
      <c r="A48" s="332"/>
      <c r="B48" s="379">
        <v>17.0</v>
      </c>
      <c r="C48" s="334"/>
      <c r="D48" s="370" t="s">
        <v>213</v>
      </c>
      <c r="E48" s="448">
        <v>2.0</v>
      </c>
      <c r="F48" s="449">
        <v>2.0</v>
      </c>
      <c r="G48" s="316">
        <v>2.0</v>
      </c>
      <c r="H48" s="317"/>
      <c r="I48" s="317"/>
      <c r="J48" s="317"/>
      <c r="K48" s="317"/>
      <c r="L48" s="317"/>
      <c r="M48" s="442"/>
      <c r="N48" s="366"/>
      <c r="O48" s="450"/>
      <c r="P48" s="450" t="s">
        <v>306</v>
      </c>
      <c r="Q48" s="374"/>
      <c r="R48" s="374"/>
      <c r="S48" s="280"/>
      <c r="T48" s="317"/>
      <c r="U48" s="317"/>
      <c r="V48" s="317"/>
      <c r="W48" s="317"/>
      <c r="X48" s="361"/>
      <c r="Y48" s="443">
        <v>4.0</v>
      </c>
      <c r="Z48" s="334"/>
      <c r="AA48" s="451" t="s">
        <v>307</v>
      </c>
      <c r="AB48" s="438"/>
      <c r="AC48" s="322"/>
      <c r="AD48" s="323">
        <v>1.0</v>
      </c>
      <c r="AE48" s="426"/>
      <c r="AF48" s="317"/>
      <c r="AG48" s="317"/>
      <c r="AH48" s="317"/>
      <c r="AI48" s="427"/>
      <c r="AJ48" s="431" t="s">
        <v>173</v>
      </c>
      <c r="AK48" s="452" t="s">
        <v>308</v>
      </c>
      <c r="AL48" s="280"/>
      <c r="AM48" s="444"/>
      <c r="AN48" s="444"/>
      <c r="AO48" s="453"/>
      <c r="AP48" s="77"/>
      <c r="AQ48" s="78"/>
      <c r="AR48" s="79"/>
      <c r="AS48" s="80"/>
      <c r="AT48" s="68"/>
      <c r="AU48" s="68"/>
    </row>
    <row r="49" ht="15.75" customHeight="1">
      <c r="A49" s="310"/>
      <c r="B49" s="379">
        <v>18.0</v>
      </c>
      <c r="C49" s="334"/>
      <c r="D49" s="370" t="s">
        <v>309</v>
      </c>
      <c r="E49" s="339"/>
      <c r="F49" s="449">
        <v>2.0</v>
      </c>
      <c r="G49" s="316">
        <v>2.0</v>
      </c>
      <c r="H49" s="317"/>
      <c r="I49" s="317"/>
      <c r="J49" s="374"/>
      <c r="K49" s="374"/>
      <c r="L49" s="317"/>
      <c r="M49" s="442"/>
      <c r="N49" s="366"/>
      <c r="O49" s="361"/>
      <c r="P49" s="361"/>
      <c r="Q49" s="280"/>
      <c r="R49" s="374"/>
      <c r="S49" s="361"/>
      <c r="T49" s="317"/>
      <c r="U49" s="317"/>
      <c r="V49" s="317"/>
      <c r="W49" s="317"/>
      <c r="X49" s="361"/>
      <c r="Y49" s="443">
        <v>5.0</v>
      </c>
      <c r="Z49" s="334"/>
      <c r="AA49" s="91" t="s">
        <v>310</v>
      </c>
      <c r="AB49" s="454"/>
      <c r="AC49" s="322"/>
      <c r="AD49" s="323">
        <v>1.0</v>
      </c>
      <c r="AE49" s="426"/>
      <c r="AF49" s="317"/>
      <c r="AG49" s="317"/>
      <c r="AH49" s="317"/>
      <c r="AI49" s="427"/>
      <c r="AJ49" s="368" t="s">
        <v>187</v>
      </c>
      <c r="AK49" s="193" t="s">
        <v>311</v>
      </c>
      <c r="AL49" s="444"/>
      <c r="AM49" s="444"/>
      <c r="AN49" s="444"/>
      <c r="AO49" s="453"/>
      <c r="AP49" s="77"/>
      <c r="AQ49" s="78"/>
      <c r="AR49" s="79"/>
      <c r="AS49" s="80"/>
      <c r="AT49" s="68"/>
      <c r="AU49" s="68"/>
    </row>
    <row r="50" ht="15.75" customHeight="1">
      <c r="A50" s="310"/>
      <c r="B50" s="379">
        <v>19.0</v>
      </c>
      <c r="C50" s="334"/>
      <c r="D50" s="370" t="s">
        <v>312</v>
      </c>
      <c r="E50" s="339"/>
      <c r="F50" s="449"/>
      <c r="G50" s="316">
        <v>1.0</v>
      </c>
      <c r="H50" s="317"/>
      <c r="I50" s="317"/>
      <c r="J50" s="317"/>
      <c r="K50" s="317"/>
      <c r="L50" s="317"/>
      <c r="M50" s="442"/>
      <c r="N50" s="366"/>
      <c r="O50" s="366"/>
      <c r="P50" s="366"/>
      <c r="Q50" s="280"/>
      <c r="R50" s="280"/>
      <c r="S50" s="361"/>
      <c r="T50" s="317"/>
      <c r="U50" s="317"/>
      <c r="V50" s="317"/>
      <c r="W50" s="317"/>
      <c r="X50" s="361"/>
      <c r="Y50" s="443">
        <v>6.0</v>
      </c>
      <c r="Z50" s="334"/>
      <c r="AA50" s="451" t="s">
        <v>313</v>
      </c>
      <c r="AB50" s="455"/>
      <c r="AC50" s="322">
        <v>0.0</v>
      </c>
      <c r="AD50" s="323">
        <v>1.0</v>
      </c>
      <c r="AE50" s="426"/>
      <c r="AF50" s="317"/>
      <c r="AG50" s="317"/>
      <c r="AH50" s="317"/>
      <c r="AI50" s="427"/>
      <c r="AJ50" s="456" t="s">
        <v>192</v>
      </c>
      <c r="AK50" s="457" t="s">
        <v>314</v>
      </c>
      <c r="AL50" s="458"/>
      <c r="AM50" s="458"/>
      <c r="AN50" s="458"/>
      <c r="AO50" s="459"/>
      <c r="AP50" s="460"/>
      <c r="AQ50" s="461"/>
      <c r="AR50" s="462"/>
      <c r="AS50" s="463"/>
      <c r="AT50" s="68"/>
      <c r="AU50" s="68"/>
    </row>
    <row r="51">
      <c r="A51" s="310"/>
      <c r="B51" s="369">
        <v>20.0</v>
      </c>
      <c r="C51" s="334"/>
      <c r="D51" s="370" t="s">
        <v>276</v>
      </c>
      <c r="E51" s="448">
        <v>1.0</v>
      </c>
      <c r="F51" s="449">
        <v>3.0</v>
      </c>
      <c r="G51" s="316">
        <v>3.0</v>
      </c>
      <c r="H51" s="317"/>
      <c r="I51" s="317"/>
      <c r="J51" s="317"/>
      <c r="K51" s="317"/>
      <c r="L51" s="317"/>
      <c r="M51" s="464" t="s">
        <v>315</v>
      </c>
      <c r="N51" s="3"/>
      <c r="O51" s="3"/>
      <c r="P51" s="288"/>
      <c r="Q51" s="465">
        <f>(E69+Q45+AB38+AB52)</f>
        <v>42</v>
      </c>
      <c r="R51" s="280"/>
      <c r="S51" s="361"/>
      <c r="T51" s="317"/>
      <c r="U51" s="317"/>
      <c r="V51" s="317"/>
      <c r="W51" s="317"/>
      <c r="X51" s="361"/>
      <c r="Y51" s="466"/>
      <c r="Z51" s="334"/>
      <c r="AA51" s="115"/>
      <c r="AB51" s="467"/>
      <c r="AC51" s="322"/>
      <c r="AD51" s="361"/>
      <c r="AE51" s="468"/>
      <c r="AF51" s="317"/>
      <c r="AG51" s="317"/>
      <c r="AH51" s="317"/>
      <c r="AI51" s="361"/>
      <c r="AJ51" s="340"/>
      <c r="AK51" s="340"/>
      <c r="AL51" s="374"/>
      <c r="AM51" s="280"/>
      <c r="AN51" s="280"/>
      <c r="AO51" s="280"/>
      <c r="AP51" s="371"/>
      <c r="AQ51" s="371"/>
      <c r="AR51" s="371"/>
      <c r="AS51" s="371"/>
      <c r="AT51" s="371"/>
      <c r="AU51" s="371"/>
    </row>
    <row r="52" ht="15.75" customHeight="1">
      <c r="A52" s="310"/>
      <c r="B52" s="379">
        <v>21.0</v>
      </c>
      <c r="C52" s="334"/>
      <c r="D52" s="370" t="s">
        <v>316</v>
      </c>
      <c r="E52" s="339"/>
      <c r="F52" s="449"/>
      <c r="G52" s="316">
        <v>3.0</v>
      </c>
      <c r="H52" s="317"/>
      <c r="I52" s="317"/>
      <c r="J52" s="317"/>
      <c r="K52" s="317"/>
      <c r="L52" s="317"/>
      <c r="M52" s="428"/>
      <c r="N52" s="429"/>
      <c r="O52" s="429"/>
      <c r="P52" s="430"/>
      <c r="Q52" s="469"/>
      <c r="R52" s="280"/>
      <c r="S52" s="361"/>
      <c r="T52" s="317"/>
      <c r="U52" s="317"/>
      <c r="V52" s="317"/>
      <c r="W52" s="317"/>
      <c r="X52" s="361"/>
      <c r="Y52" s="435" t="s">
        <v>281</v>
      </c>
      <c r="Z52" s="384"/>
      <c r="AA52" s="470"/>
      <c r="AB52" s="386">
        <f>SUM(AB45:AB51)</f>
        <v>2</v>
      </c>
      <c r="AC52" s="361"/>
      <c r="AD52" s="361"/>
      <c r="AE52" s="426"/>
      <c r="AF52" s="317"/>
      <c r="AG52" s="317"/>
      <c r="AH52" s="317"/>
      <c r="AI52" s="361"/>
      <c r="AJ52" s="340"/>
      <c r="AK52" s="340"/>
      <c r="AL52" s="280"/>
      <c r="AM52" s="280"/>
      <c r="AN52" s="280"/>
      <c r="AO52" s="280"/>
      <c r="AP52" s="371"/>
      <c r="AQ52" s="371"/>
      <c r="AR52" s="371"/>
      <c r="AS52" s="371"/>
      <c r="AT52" s="371"/>
      <c r="AU52" s="371"/>
    </row>
    <row r="53" ht="15.0" customHeight="1">
      <c r="A53" s="310"/>
      <c r="B53" s="369">
        <v>22.0</v>
      </c>
      <c r="C53" s="334"/>
      <c r="D53" s="370" t="s">
        <v>283</v>
      </c>
      <c r="E53" s="448">
        <v>1.0</v>
      </c>
      <c r="F53" s="471">
        <v>2.0</v>
      </c>
      <c r="G53" s="316">
        <v>2.0</v>
      </c>
      <c r="H53" s="317"/>
      <c r="I53" s="317"/>
      <c r="J53" s="317"/>
      <c r="K53" s="317"/>
      <c r="L53" s="317"/>
      <c r="M53" s="442"/>
      <c r="N53" s="366"/>
      <c r="O53" s="280"/>
      <c r="P53" s="280"/>
      <c r="Q53" s="280"/>
      <c r="R53" s="418"/>
      <c r="S53" s="361"/>
      <c r="T53" s="317"/>
      <c r="U53" s="317"/>
      <c r="V53" s="317"/>
      <c r="W53" s="317"/>
      <c r="X53" s="361"/>
      <c r="Y53" s="361"/>
      <c r="Z53" s="361"/>
      <c r="AA53" s="361"/>
      <c r="AB53" s="361"/>
      <c r="AC53" s="416"/>
      <c r="AD53" s="416"/>
      <c r="AE53" s="426"/>
      <c r="AF53" s="317"/>
      <c r="AG53" s="317"/>
      <c r="AH53" s="317"/>
      <c r="AI53" s="361"/>
      <c r="AJ53" s="340"/>
      <c r="AK53" s="340"/>
      <c r="AL53" s="280"/>
      <c r="AM53" s="280"/>
      <c r="AN53" s="280"/>
      <c r="AO53" s="280"/>
      <c r="AP53" s="371"/>
      <c r="AQ53" s="371"/>
      <c r="AR53" s="371"/>
      <c r="AS53" s="371"/>
      <c r="AT53" s="371"/>
      <c r="AU53" s="371"/>
    </row>
    <row r="54">
      <c r="A54" s="472"/>
      <c r="B54" s="369">
        <v>23.0</v>
      </c>
      <c r="C54" s="334"/>
      <c r="D54" s="370" t="s">
        <v>317</v>
      </c>
      <c r="E54" s="339"/>
      <c r="F54" s="449"/>
      <c r="G54" s="316">
        <v>3.0</v>
      </c>
      <c r="H54" s="317"/>
      <c r="I54" s="317"/>
      <c r="J54" s="317"/>
      <c r="K54" s="317"/>
      <c r="L54" s="361"/>
      <c r="M54" s="366"/>
      <c r="N54" s="317"/>
      <c r="O54" s="317"/>
      <c r="P54" s="317"/>
      <c r="Q54" s="361"/>
      <c r="R54" s="361"/>
      <c r="S54" s="361"/>
      <c r="T54" s="317"/>
      <c r="U54" s="317"/>
      <c r="V54" s="317"/>
      <c r="W54" s="317"/>
      <c r="X54" s="361"/>
      <c r="Y54" s="361"/>
      <c r="Z54" s="361"/>
      <c r="AA54" s="418"/>
      <c r="AB54" s="361"/>
      <c r="AC54" s="361"/>
      <c r="AD54" s="361"/>
      <c r="AE54" s="426"/>
      <c r="AF54" s="317"/>
      <c r="AG54" s="317"/>
      <c r="AH54" s="317"/>
      <c r="AI54" s="361"/>
      <c r="AJ54" s="340"/>
      <c r="AK54" s="340"/>
      <c r="AL54" s="280"/>
      <c r="AM54" s="280"/>
      <c r="AN54" s="280"/>
      <c r="AO54" s="280"/>
      <c r="AP54" s="371"/>
      <c r="AQ54" s="371"/>
      <c r="AR54" s="371"/>
      <c r="AS54" s="371"/>
      <c r="AT54" s="371"/>
      <c r="AU54" s="371"/>
    </row>
    <row r="55">
      <c r="A55" s="472"/>
      <c r="B55" s="369">
        <v>24.0</v>
      </c>
      <c r="C55" s="334"/>
      <c r="D55" s="370" t="s">
        <v>286</v>
      </c>
      <c r="E55" s="448">
        <v>1.0</v>
      </c>
      <c r="F55" s="449">
        <v>2.0</v>
      </c>
      <c r="G55" s="316">
        <v>3.0</v>
      </c>
      <c r="H55" s="317"/>
      <c r="I55" s="317"/>
      <c r="J55" s="317"/>
      <c r="K55" s="317"/>
      <c r="L55" s="317"/>
      <c r="M55" s="366"/>
      <c r="N55" s="317"/>
      <c r="O55" s="317"/>
      <c r="P55" s="317"/>
      <c r="Q55" s="374"/>
      <c r="R55" s="317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  <c r="AD55" s="317"/>
      <c r="AE55" s="426"/>
      <c r="AF55" s="317"/>
      <c r="AG55" s="317"/>
      <c r="AH55" s="317"/>
      <c r="AI55" s="317"/>
      <c r="AJ55" s="340"/>
      <c r="AK55" s="340"/>
      <c r="AL55" s="327"/>
      <c r="AM55" s="327"/>
      <c r="AN55" s="327"/>
      <c r="AO55" s="327"/>
      <c r="AP55" s="371"/>
      <c r="AQ55" s="371"/>
      <c r="AR55" s="371"/>
      <c r="AS55" s="371"/>
      <c r="AT55" s="371"/>
      <c r="AU55" s="371"/>
    </row>
    <row r="56" ht="15.75" customHeight="1">
      <c r="A56" s="441"/>
      <c r="B56" s="473">
        <v>25.0</v>
      </c>
      <c r="C56" s="334"/>
      <c r="D56" s="474" t="s">
        <v>292</v>
      </c>
      <c r="E56" s="448">
        <v>1.0</v>
      </c>
      <c r="F56" s="471"/>
      <c r="G56" s="316">
        <v>4.0</v>
      </c>
      <c r="H56" s="317"/>
      <c r="I56" s="317"/>
      <c r="J56" s="317"/>
      <c r="K56" s="317"/>
      <c r="L56" s="361"/>
      <c r="M56" s="366"/>
      <c r="N56" s="317"/>
      <c r="O56" s="317"/>
      <c r="P56" s="317"/>
      <c r="Q56" s="317"/>
      <c r="R56" s="317"/>
      <c r="S56" s="475"/>
      <c r="T56" s="317"/>
      <c r="U56" s="317"/>
      <c r="V56" s="317"/>
      <c r="W56" s="317"/>
      <c r="X56" s="317"/>
      <c r="Y56" s="317"/>
      <c r="Z56" s="317"/>
      <c r="AA56" s="317"/>
      <c r="AB56" s="361"/>
      <c r="AC56" s="361"/>
      <c r="AD56" s="361"/>
      <c r="AE56" s="426"/>
      <c r="AF56" s="317"/>
      <c r="AG56" s="317"/>
      <c r="AH56" s="317"/>
      <c r="AI56" s="361"/>
      <c r="AJ56" s="340"/>
      <c r="AK56" s="340"/>
      <c r="AL56" s="280"/>
      <c r="AM56" s="280"/>
      <c r="AN56" s="280"/>
      <c r="AO56" s="280"/>
      <c r="AP56" s="371"/>
      <c r="AQ56" s="371"/>
      <c r="AR56" s="371"/>
      <c r="AS56" s="371"/>
      <c r="AT56" s="371"/>
      <c r="AU56" s="371"/>
    </row>
    <row r="57">
      <c r="A57" s="332"/>
      <c r="B57" s="473">
        <v>26.0</v>
      </c>
      <c r="C57" s="334"/>
      <c r="D57" s="474" t="s">
        <v>223</v>
      </c>
      <c r="E57" s="448">
        <v>1.0</v>
      </c>
      <c r="F57" s="449"/>
      <c r="G57" s="316">
        <v>2.0</v>
      </c>
      <c r="H57" s="317"/>
      <c r="I57" s="317"/>
      <c r="J57" s="317"/>
      <c r="K57" s="317"/>
      <c r="L57" s="361"/>
      <c r="M57" s="366"/>
      <c r="N57" s="317"/>
      <c r="O57" s="476"/>
      <c r="P57" s="476"/>
      <c r="Q57" s="361"/>
      <c r="R57" s="361"/>
      <c r="S57" s="361"/>
      <c r="T57" s="317"/>
      <c r="U57" s="317"/>
      <c r="V57" s="317"/>
      <c r="W57" s="317"/>
      <c r="X57" s="361"/>
      <c r="Y57" s="361"/>
      <c r="Z57" s="361"/>
      <c r="AA57" s="361"/>
      <c r="AB57" s="361"/>
      <c r="AC57" s="361"/>
      <c r="AD57" s="361"/>
      <c r="AE57" s="426"/>
      <c r="AF57" s="317"/>
      <c r="AG57" s="317"/>
      <c r="AH57" s="374"/>
      <c r="AI57" s="361"/>
      <c r="AJ57" s="340"/>
      <c r="AK57" s="340"/>
      <c r="AL57" s="280"/>
      <c r="AM57" s="280"/>
      <c r="AN57" s="269"/>
      <c r="AO57" s="280"/>
      <c r="AP57" s="371"/>
      <c r="AQ57" s="371"/>
      <c r="AR57" s="371"/>
      <c r="AS57" s="371"/>
      <c r="AT57" s="371"/>
      <c r="AU57" s="371"/>
    </row>
    <row r="58">
      <c r="A58" s="477"/>
      <c r="B58" s="473">
        <v>27.0</v>
      </c>
      <c r="C58" s="334"/>
      <c r="D58" s="474" t="s">
        <v>234</v>
      </c>
      <c r="E58" s="448">
        <v>1.0</v>
      </c>
      <c r="F58" s="471">
        <v>3.0</v>
      </c>
      <c r="G58" s="316">
        <v>3.0</v>
      </c>
      <c r="H58" s="317"/>
      <c r="I58" s="317"/>
      <c r="J58" s="317"/>
      <c r="K58" s="317"/>
      <c r="L58" s="361"/>
      <c r="M58" s="366"/>
      <c r="N58" s="323"/>
      <c r="O58" s="317"/>
      <c r="P58" s="317"/>
      <c r="Q58" s="361"/>
      <c r="R58" s="361"/>
      <c r="S58" s="361"/>
      <c r="T58" s="317"/>
      <c r="U58" s="317"/>
      <c r="V58" s="317"/>
      <c r="W58" s="317"/>
      <c r="X58" s="361"/>
      <c r="Y58" s="361"/>
      <c r="Z58" s="361"/>
      <c r="AA58" s="361"/>
      <c r="AB58" s="361"/>
      <c r="AC58" s="361"/>
      <c r="AD58" s="361"/>
      <c r="AE58" s="426"/>
      <c r="AF58" s="317"/>
      <c r="AG58" s="317"/>
      <c r="AH58" s="317"/>
      <c r="AI58" s="361"/>
      <c r="AJ58" s="340"/>
      <c r="AK58" s="340"/>
      <c r="AL58" s="280"/>
      <c r="AM58" s="280"/>
      <c r="AN58" s="280"/>
      <c r="AO58" s="280"/>
      <c r="AP58" s="327"/>
      <c r="AQ58" s="327"/>
      <c r="AR58" s="327"/>
      <c r="AS58" s="327"/>
      <c r="AT58" s="327"/>
      <c r="AU58" s="327"/>
    </row>
    <row r="59">
      <c r="A59" s="478"/>
      <c r="B59" s="473"/>
      <c r="C59" s="334"/>
      <c r="D59" s="474"/>
      <c r="E59" s="448"/>
      <c r="F59" s="471"/>
      <c r="G59" s="316"/>
      <c r="H59" s="317"/>
      <c r="I59" s="317"/>
      <c r="J59" s="317"/>
      <c r="K59" s="317"/>
      <c r="L59" s="361"/>
      <c r="M59" s="366"/>
      <c r="N59" s="323" t="s">
        <v>299</v>
      </c>
      <c r="O59" s="317"/>
      <c r="P59" s="317"/>
      <c r="Q59" s="361"/>
      <c r="R59" s="361"/>
      <c r="S59" s="361"/>
      <c r="T59" s="317"/>
      <c r="U59" s="317"/>
      <c r="V59" s="317"/>
      <c r="W59" s="317"/>
      <c r="X59" s="361"/>
      <c r="Y59" s="361"/>
      <c r="Z59" s="361"/>
      <c r="AA59" s="361"/>
      <c r="AB59" s="361"/>
      <c r="AC59" s="361"/>
      <c r="AD59" s="361"/>
      <c r="AE59" s="426"/>
      <c r="AF59" s="317"/>
      <c r="AG59" s="317"/>
      <c r="AH59" s="317"/>
      <c r="AI59" s="361"/>
      <c r="AJ59" s="340"/>
      <c r="AK59" s="340"/>
      <c r="AL59" s="280"/>
      <c r="AM59" s="280"/>
      <c r="AN59" s="280"/>
      <c r="AO59" s="280"/>
      <c r="AP59" s="327"/>
      <c r="AQ59" s="327"/>
      <c r="AR59" s="327"/>
      <c r="AS59" s="327"/>
      <c r="AT59" s="327"/>
      <c r="AU59" s="327"/>
    </row>
    <row r="60" ht="15.75" customHeight="1">
      <c r="A60" s="48"/>
      <c r="B60" s="479"/>
      <c r="C60" s="334"/>
      <c r="D60" s="175"/>
      <c r="E60" s="480"/>
      <c r="F60" s="165"/>
      <c r="G60" s="481"/>
      <c r="H60" s="317"/>
      <c r="I60" s="317"/>
      <c r="J60" s="317"/>
      <c r="K60" s="317"/>
      <c r="L60" s="361"/>
      <c r="M60" s="482"/>
      <c r="N60" s="483"/>
      <c r="O60" s="374"/>
      <c r="P60" s="374"/>
      <c r="Q60" s="450" t="s">
        <v>299</v>
      </c>
      <c r="R60" s="361"/>
      <c r="S60" s="361"/>
      <c r="T60" s="317"/>
      <c r="U60" s="317"/>
      <c r="V60" s="317"/>
      <c r="W60" s="317"/>
      <c r="X60" s="361"/>
      <c r="Y60" s="361"/>
      <c r="Z60" s="361"/>
      <c r="AA60" s="361"/>
      <c r="AB60" s="361"/>
      <c r="AC60" s="361"/>
      <c r="AD60" s="361"/>
      <c r="AE60" s="426"/>
      <c r="AF60" s="317"/>
      <c r="AG60" s="317"/>
      <c r="AH60" s="317"/>
      <c r="AI60" s="361"/>
      <c r="AJ60" s="340"/>
      <c r="AK60" s="340"/>
      <c r="AL60" s="280"/>
      <c r="AM60" s="280"/>
      <c r="AN60" s="280"/>
      <c r="AO60" s="327"/>
      <c r="AP60" s="327"/>
      <c r="AQ60" s="327"/>
      <c r="AR60" s="327"/>
      <c r="AS60" s="327"/>
      <c r="AT60" s="327"/>
      <c r="AU60" s="327"/>
    </row>
    <row r="61" ht="15.75" customHeight="1">
      <c r="A61" s="48"/>
      <c r="B61" s="479"/>
      <c r="C61" s="334"/>
      <c r="D61" s="175"/>
      <c r="E61" s="480"/>
      <c r="F61" s="165"/>
      <c r="G61" s="481"/>
      <c r="H61" s="374"/>
      <c r="I61" s="317"/>
      <c r="J61" s="317"/>
      <c r="K61" s="317"/>
      <c r="L61" s="361"/>
      <c r="M61" s="484"/>
      <c r="N61" s="485"/>
      <c r="O61" s="317"/>
      <c r="P61" s="317"/>
      <c r="Q61" s="450" t="s">
        <v>299</v>
      </c>
      <c r="R61" s="361"/>
      <c r="S61" s="361"/>
      <c r="T61" s="317"/>
      <c r="U61" s="317"/>
      <c r="V61" s="317"/>
      <c r="W61" s="317"/>
      <c r="X61" s="361"/>
      <c r="Y61" s="361"/>
      <c r="Z61" s="361"/>
      <c r="AA61" s="361"/>
      <c r="AB61" s="361"/>
      <c r="AC61" s="361"/>
      <c r="AD61" s="418"/>
      <c r="AE61" s="426"/>
      <c r="AF61" s="317"/>
      <c r="AG61" s="317"/>
      <c r="AH61" s="317"/>
      <c r="AI61" s="361"/>
      <c r="AJ61" s="340"/>
      <c r="AK61" s="340"/>
      <c r="AL61" s="280"/>
      <c r="AM61" s="280"/>
      <c r="AN61" s="280"/>
      <c r="AO61" s="327"/>
      <c r="AP61" s="327"/>
      <c r="AQ61" s="327"/>
      <c r="AR61" s="327"/>
      <c r="AS61" s="327"/>
      <c r="AT61" s="327"/>
      <c r="AU61" s="327"/>
    </row>
    <row r="62" ht="15.75" customHeight="1">
      <c r="A62" s="48"/>
      <c r="B62" s="479"/>
      <c r="C62" s="334"/>
      <c r="D62" s="175"/>
      <c r="E62" s="486"/>
      <c r="F62" s="165"/>
      <c r="G62" s="481"/>
      <c r="H62" s="374"/>
      <c r="I62" s="317"/>
      <c r="J62" s="317"/>
      <c r="K62" s="317"/>
      <c r="L62" s="361"/>
      <c r="M62" s="484"/>
      <c r="N62" s="485"/>
      <c r="O62" s="317"/>
      <c r="P62" s="317"/>
      <c r="Q62" s="450"/>
      <c r="R62" s="361"/>
      <c r="S62" s="361"/>
      <c r="T62" s="317"/>
      <c r="U62" s="317"/>
      <c r="V62" s="317"/>
      <c r="W62" s="317"/>
      <c r="X62" s="361"/>
      <c r="Y62" s="361"/>
      <c r="Z62" s="361"/>
      <c r="AA62" s="361"/>
      <c r="AB62" s="361"/>
      <c r="AC62" s="361"/>
      <c r="AD62" s="418"/>
      <c r="AE62" s="426"/>
      <c r="AF62" s="317"/>
      <c r="AG62" s="317"/>
      <c r="AH62" s="317"/>
      <c r="AI62" s="361"/>
      <c r="AJ62" s="340"/>
      <c r="AK62" s="340"/>
      <c r="AL62" s="280"/>
      <c r="AM62" s="280"/>
      <c r="AN62" s="280"/>
      <c r="AO62" s="327"/>
      <c r="AP62" s="327"/>
      <c r="AQ62" s="327"/>
      <c r="AR62" s="327"/>
      <c r="AS62" s="327"/>
      <c r="AT62" s="327"/>
      <c r="AU62" s="327"/>
    </row>
    <row r="63" ht="15.75" customHeight="1">
      <c r="A63" s="1"/>
      <c r="B63" s="487"/>
      <c r="C63" s="334"/>
      <c r="D63" s="117"/>
      <c r="E63" s="486"/>
      <c r="F63" s="165"/>
      <c r="G63" s="481"/>
      <c r="H63" s="317"/>
      <c r="I63" s="317"/>
      <c r="J63" s="317"/>
      <c r="K63" s="317"/>
      <c r="L63" s="361"/>
      <c r="M63" s="488"/>
      <c r="N63" s="483"/>
      <c r="O63" s="317"/>
      <c r="P63" s="317"/>
      <c r="Q63" s="361"/>
      <c r="R63" s="361"/>
      <c r="S63" s="361"/>
      <c r="T63" s="317"/>
      <c r="U63" s="317"/>
      <c r="V63" s="317"/>
      <c r="W63" s="317"/>
      <c r="X63" s="361"/>
      <c r="Y63" s="361"/>
      <c r="Z63" s="361"/>
      <c r="AA63" s="280"/>
      <c r="AB63" s="361"/>
      <c r="AC63" s="361"/>
      <c r="AD63" s="361"/>
      <c r="AE63" s="426"/>
      <c r="AF63" s="317"/>
      <c r="AG63" s="317"/>
      <c r="AH63" s="317"/>
      <c r="AI63" s="361"/>
      <c r="AJ63" s="340"/>
      <c r="AK63" s="340"/>
      <c r="AL63" s="280"/>
      <c r="AM63" s="280"/>
      <c r="AN63" s="280"/>
      <c r="AO63" s="327"/>
      <c r="AP63" s="327"/>
      <c r="AQ63" s="327"/>
      <c r="AR63" s="327"/>
      <c r="AS63" s="327"/>
      <c r="AT63" s="327"/>
      <c r="AU63" s="327"/>
    </row>
    <row r="64" ht="15.75" customHeight="1">
      <c r="A64" s="1"/>
      <c r="B64" s="487"/>
      <c r="C64" s="334"/>
      <c r="D64" s="444"/>
      <c r="E64" s="486"/>
      <c r="F64" s="165"/>
      <c r="G64" s="481"/>
      <c r="H64" s="317"/>
      <c r="I64" s="317"/>
      <c r="J64" s="317"/>
      <c r="K64" s="317"/>
      <c r="L64" s="361"/>
      <c r="M64" s="366"/>
      <c r="N64" s="317"/>
      <c r="O64" s="317"/>
      <c r="P64" s="317"/>
      <c r="Q64" s="361"/>
      <c r="R64" s="361"/>
      <c r="S64" s="280"/>
      <c r="T64" s="317"/>
      <c r="U64" s="317"/>
      <c r="V64" s="317"/>
      <c r="W64" s="317"/>
      <c r="X64" s="361"/>
      <c r="Y64" s="361"/>
      <c r="Z64" s="361"/>
      <c r="AA64" s="361"/>
      <c r="AB64" s="361"/>
      <c r="AC64" s="361"/>
      <c r="AD64" s="361"/>
      <c r="AE64" s="426"/>
      <c r="AF64" s="317"/>
      <c r="AG64" s="317"/>
      <c r="AH64" s="317"/>
      <c r="AI64" s="361"/>
      <c r="AJ64" s="340"/>
      <c r="AK64" s="340"/>
      <c r="AL64" s="280"/>
      <c r="AM64" s="280"/>
      <c r="AN64" s="280"/>
      <c r="AO64" s="327"/>
      <c r="AP64" s="327"/>
      <c r="AQ64" s="327"/>
      <c r="AR64" s="327"/>
      <c r="AS64" s="327"/>
      <c r="AT64" s="327"/>
      <c r="AU64" s="327"/>
    </row>
    <row r="65" ht="15.75" customHeight="1">
      <c r="A65" s="1"/>
      <c r="B65" s="487"/>
      <c r="C65" s="334"/>
      <c r="D65" s="444"/>
      <c r="E65" s="417"/>
      <c r="F65" s="165"/>
      <c r="G65" s="481"/>
      <c r="H65" s="317"/>
      <c r="I65" s="317"/>
      <c r="J65" s="317"/>
      <c r="K65" s="317"/>
      <c r="L65" s="361"/>
      <c r="M65" s="366"/>
      <c r="N65" s="317"/>
      <c r="O65" s="317"/>
      <c r="P65" s="317"/>
      <c r="Q65" s="361"/>
      <c r="R65" s="361"/>
      <c r="S65" s="280"/>
      <c r="T65" s="317"/>
      <c r="U65" s="317"/>
      <c r="V65" s="317"/>
      <c r="W65" s="317"/>
      <c r="X65" s="361"/>
      <c r="Y65" s="361"/>
      <c r="Z65" s="361"/>
      <c r="AA65" s="361"/>
      <c r="AB65" s="361"/>
      <c r="AC65" s="361"/>
      <c r="AD65" s="361"/>
      <c r="AE65" s="426"/>
      <c r="AF65" s="317"/>
      <c r="AG65" s="317"/>
      <c r="AH65" s="317"/>
      <c r="AI65" s="361"/>
      <c r="AJ65" s="340"/>
      <c r="AK65" s="340"/>
      <c r="AL65" s="280"/>
      <c r="AM65" s="280"/>
      <c r="AN65" s="280"/>
      <c r="AO65" s="327"/>
      <c r="AP65" s="327"/>
      <c r="AQ65" s="327"/>
      <c r="AR65" s="327"/>
      <c r="AS65" s="327"/>
      <c r="AT65" s="327"/>
      <c r="AU65" s="327"/>
    </row>
    <row r="66" ht="15.75" customHeight="1">
      <c r="A66" s="1"/>
      <c r="B66" s="487"/>
      <c r="C66" s="334"/>
      <c r="D66" s="444"/>
      <c r="E66" s="417"/>
      <c r="F66" s="165"/>
      <c r="G66" s="481"/>
      <c r="H66" s="317"/>
      <c r="I66" s="317"/>
      <c r="J66" s="317"/>
      <c r="K66" s="317"/>
      <c r="L66" s="361"/>
      <c r="M66" s="366"/>
      <c r="N66" s="317"/>
      <c r="O66" s="317"/>
      <c r="P66" s="317"/>
      <c r="Q66" s="361"/>
      <c r="R66" s="361"/>
      <c r="S66" s="418"/>
      <c r="T66" s="317"/>
      <c r="U66" s="317"/>
      <c r="V66" s="317"/>
      <c r="W66" s="317"/>
      <c r="X66" s="361"/>
      <c r="Y66" s="361"/>
      <c r="Z66" s="361"/>
      <c r="AA66" s="361"/>
      <c r="AB66" s="361"/>
      <c r="AC66" s="374"/>
      <c r="AD66" s="361"/>
      <c r="AE66" s="426"/>
      <c r="AF66" s="317"/>
      <c r="AG66" s="317"/>
      <c r="AH66" s="317"/>
      <c r="AI66" s="361"/>
      <c r="AJ66" s="340"/>
      <c r="AK66" s="340"/>
      <c r="AL66" s="280"/>
      <c r="AM66" s="280"/>
      <c r="AN66" s="280"/>
      <c r="AO66" s="327"/>
      <c r="AP66" s="327"/>
      <c r="AQ66" s="327"/>
      <c r="AR66" s="327"/>
      <c r="AS66" s="327"/>
      <c r="AT66" s="327"/>
      <c r="AU66" s="327"/>
    </row>
    <row r="67" ht="15.75" customHeight="1">
      <c r="A67" s="1"/>
      <c r="B67" s="487"/>
      <c r="C67" s="334"/>
      <c r="D67" s="489"/>
      <c r="E67" s="417"/>
      <c r="F67" s="165"/>
      <c r="G67" s="481"/>
      <c r="H67" s="317"/>
      <c r="I67" s="317"/>
      <c r="J67" s="317"/>
      <c r="K67" s="317"/>
      <c r="L67" s="361"/>
      <c r="M67" s="366"/>
      <c r="N67" s="317"/>
      <c r="O67" s="317"/>
      <c r="P67" s="317"/>
      <c r="Q67" s="361"/>
      <c r="R67" s="361"/>
      <c r="S67" s="418"/>
      <c r="T67" s="317"/>
      <c r="U67" s="317"/>
      <c r="V67" s="317"/>
      <c r="W67" s="317"/>
      <c r="X67" s="361"/>
      <c r="Y67" s="361"/>
      <c r="Z67" s="361"/>
      <c r="AA67" s="361"/>
      <c r="AB67" s="361"/>
      <c r="AC67" s="374"/>
      <c r="AD67" s="361"/>
      <c r="AE67" s="426"/>
      <c r="AF67" s="317"/>
      <c r="AG67" s="317"/>
      <c r="AH67" s="317"/>
      <c r="AI67" s="361"/>
      <c r="AJ67" s="340"/>
      <c r="AK67" s="340"/>
      <c r="AL67" s="280"/>
      <c r="AM67" s="280"/>
      <c r="AN67" s="280"/>
      <c r="AO67" s="327"/>
      <c r="AP67" s="327"/>
      <c r="AQ67" s="327"/>
      <c r="AR67" s="327"/>
      <c r="AS67" s="327"/>
      <c r="AT67" s="327"/>
      <c r="AU67" s="327"/>
    </row>
    <row r="68" ht="15.75" customHeight="1">
      <c r="A68" s="1"/>
      <c r="B68" s="487"/>
      <c r="C68" s="334"/>
      <c r="D68" s="490"/>
      <c r="E68" s="417"/>
      <c r="F68" s="165"/>
      <c r="G68" s="481"/>
      <c r="H68" s="317"/>
      <c r="I68" s="317"/>
      <c r="J68" s="317"/>
      <c r="K68" s="317"/>
      <c r="L68" s="361"/>
      <c r="M68" s="366"/>
      <c r="N68" s="317"/>
      <c r="O68" s="374"/>
      <c r="P68" s="374"/>
      <c r="Q68" s="361"/>
      <c r="R68" s="361"/>
      <c r="S68" s="418"/>
      <c r="T68" s="317"/>
      <c r="U68" s="317"/>
      <c r="V68" s="317"/>
      <c r="W68" s="317"/>
      <c r="X68" s="361"/>
      <c r="Y68" s="361"/>
      <c r="Z68" s="361"/>
      <c r="AA68" s="361"/>
      <c r="AB68" s="361"/>
      <c r="AC68" s="374"/>
      <c r="AD68" s="361"/>
      <c r="AE68" s="426"/>
      <c r="AF68" s="317"/>
      <c r="AG68" s="317"/>
      <c r="AH68" s="317"/>
      <c r="AI68" s="361"/>
      <c r="AJ68" s="340"/>
      <c r="AK68" s="340"/>
      <c r="AL68" s="280"/>
      <c r="AM68" s="280"/>
      <c r="AN68" s="280"/>
      <c r="AO68" s="327"/>
      <c r="AP68" s="327"/>
      <c r="AQ68" s="327"/>
      <c r="AR68" s="327"/>
      <c r="AS68" s="327"/>
      <c r="AT68" s="327"/>
      <c r="AU68" s="327"/>
    </row>
    <row r="69" ht="15.75" customHeight="1">
      <c r="A69" s="491"/>
      <c r="B69" s="492" t="s">
        <v>281</v>
      </c>
      <c r="C69" s="384"/>
      <c r="D69" s="470"/>
      <c r="E69" s="386">
        <f>SUM(E32:E68)</f>
        <v>31</v>
      </c>
      <c r="F69" s="493"/>
      <c r="G69" s="494"/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6"/>
      <c r="S69" s="169"/>
      <c r="T69" s="495"/>
      <c r="U69" s="495"/>
      <c r="V69" s="495"/>
      <c r="W69" s="495"/>
      <c r="X69" s="495"/>
      <c r="Y69" s="495"/>
      <c r="Z69" s="495"/>
      <c r="AA69" s="495"/>
      <c r="AB69" s="495"/>
      <c r="AC69" s="495"/>
      <c r="AD69" s="495"/>
      <c r="AE69" s="497"/>
      <c r="AF69" s="495"/>
      <c r="AG69" s="495"/>
      <c r="AH69" s="495"/>
      <c r="AI69" s="495"/>
      <c r="AJ69" s="498"/>
      <c r="AK69" s="498"/>
      <c r="AL69" s="498"/>
      <c r="AM69" s="498"/>
      <c r="AN69" s="499"/>
      <c r="AO69" s="498"/>
      <c r="AP69" s="498"/>
      <c r="AQ69" s="498"/>
      <c r="AR69" s="498"/>
      <c r="AS69" s="498"/>
      <c r="AT69" s="498"/>
      <c r="AU69" s="498"/>
    </row>
  </sheetData>
  <mergeCells count="83"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60:C60"/>
    <mergeCell ref="B61:C61"/>
    <mergeCell ref="B62:C62"/>
    <mergeCell ref="B63:C63"/>
    <mergeCell ref="B64:C64"/>
    <mergeCell ref="B65:C65"/>
    <mergeCell ref="B66:C66"/>
    <mergeCell ref="M32:N32"/>
    <mergeCell ref="M33:N33"/>
    <mergeCell ref="B34:C34"/>
    <mergeCell ref="M34:N34"/>
    <mergeCell ref="Y34:Z34"/>
    <mergeCell ref="M35:N35"/>
    <mergeCell ref="Y35:Z35"/>
    <mergeCell ref="B31:E31"/>
    <mergeCell ref="M31:N31"/>
    <mergeCell ref="Y31:Z31"/>
    <mergeCell ref="B32:C32"/>
    <mergeCell ref="Y32:Z32"/>
    <mergeCell ref="B33:C33"/>
    <mergeCell ref="Y33:Z33"/>
    <mergeCell ref="B2:K2"/>
    <mergeCell ref="Y2:AH2"/>
    <mergeCell ref="AJ2:AS2"/>
    <mergeCell ref="B1:X1"/>
    <mergeCell ref="M2:W2"/>
    <mergeCell ref="F29:AC29"/>
    <mergeCell ref="F30:AC30"/>
    <mergeCell ref="B35:C35"/>
    <mergeCell ref="B36:C36"/>
    <mergeCell ref="M36:N36"/>
    <mergeCell ref="Y36:Z36"/>
    <mergeCell ref="B37:C37"/>
    <mergeCell ref="Y37:Z37"/>
    <mergeCell ref="Y38:Z38"/>
    <mergeCell ref="AC42:AC43"/>
    <mergeCell ref="AD42:AD43"/>
    <mergeCell ref="M43:N43"/>
    <mergeCell ref="M44:N44"/>
    <mergeCell ref="M45:N45"/>
    <mergeCell ref="Q51:Q52"/>
    <mergeCell ref="B52:C52"/>
    <mergeCell ref="M51:P52"/>
    <mergeCell ref="Y45:Z45"/>
    <mergeCell ref="Y46:Z46"/>
    <mergeCell ref="Y47:Z47"/>
    <mergeCell ref="Y48:Z48"/>
    <mergeCell ref="Y49:Z49"/>
    <mergeCell ref="Y50:Z50"/>
    <mergeCell ref="Y51:Z51"/>
    <mergeCell ref="Y52:Z52"/>
    <mergeCell ref="M37:N37"/>
    <mergeCell ref="M38:N38"/>
    <mergeCell ref="M39:N39"/>
    <mergeCell ref="M40:N40"/>
    <mergeCell ref="M41:N41"/>
    <mergeCell ref="M42:N42"/>
    <mergeCell ref="Y42:AB44"/>
    <mergeCell ref="AJ30:AS31"/>
  </mergeCells>
  <conditionalFormatting sqref="H32 I32:I34 J32:L32 T32:X32 H34 L34 N46:N50 N53">
    <cfRule type="notContainsBlanks" dxfId="0" priority="1">
      <formula>LEN(TRIM(H32))&gt;0</formula>
    </cfRule>
  </conditionalFormatting>
  <hyperlinks>
    <hyperlink r:id="rId4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6.57"/>
    <col customWidth="1" min="3" max="6" width="14.43"/>
    <col customWidth="1" min="7" max="7" width="11.14"/>
    <col customWidth="1" min="8" max="8" width="7.29"/>
    <col customWidth="1" min="9" max="9" width="4.43"/>
    <col customWidth="1" min="10" max="10" width="20.0"/>
    <col customWidth="1" min="11" max="15" width="14.43"/>
  </cols>
  <sheetData>
    <row r="1">
      <c r="A1" s="500"/>
      <c r="B1" s="501" t="s">
        <v>318</v>
      </c>
    </row>
    <row r="2">
      <c r="A2" s="500"/>
      <c r="B2" s="502" t="s">
        <v>319</v>
      </c>
    </row>
    <row r="3">
      <c r="A3" s="500"/>
    </row>
    <row r="4">
      <c r="A4" s="500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  <c r="O4" s="503"/>
    </row>
    <row r="5" ht="15.75" customHeight="1">
      <c r="A5" s="504"/>
      <c r="B5" s="505">
        <v>46157.0</v>
      </c>
      <c r="C5" s="506"/>
      <c r="D5" s="506"/>
      <c r="E5" s="506"/>
      <c r="F5" s="506"/>
      <c r="G5" s="334"/>
      <c r="H5" s="507"/>
      <c r="I5" s="503"/>
      <c r="J5" s="508"/>
      <c r="K5" s="509"/>
      <c r="L5" s="510"/>
      <c r="M5" s="510"/>
      <c r="N5" s="510"/>
      <c r="O5" s="508"/>
    </row>
    <row r="6" ht="15.75" customHeight="1">
      <c r="A6" s="511"/>
      <c r="B6" s="512" t="s">
        <v>320</v>
      </c>
      <c r="C6" s="506"/>
      <c r="D6" s="506"/>
      <c r="E6" s="506"/>
      <c r="F6" s="506"/>
      <c r="G6" s="334"/>
      <c r="H6" s="507"/>
      <c r="I6" s="513"/>
      <c r="J6" s="514" t="s">
        <v>321</v>
      </c>
      <c r="K6" s="506"/>
      <c r="L6" s="506"/>
      <c r="M6" s="506"/>
      <c r="N6" s="506"/>
      <c r="O6" s="334"/>
    </row>
    <row r="7" ht="15.75" customHeight="1">
      <c r="A7" s="504"/>
      <c r="B7" s="515" t="s">
        <v>322</v>
      </c>
      <c r="C7" s="516" t="s">
        <v>323</v>
      </c>
      <c r="D7" s="515" t="s">
        <v>324</v>
      </c>
      <c r="E7" s="515" t="s">
        <v>325</v>
      </c>
      <c r="F7" s="515" t="s">
        <v>326</v>
      </c>
      <c r="G7" s="517" t="s">
        <v>327</v>
      </c>
      <c r="H7" s="507"/>
      <c r="I7" s="503"/>
      <c r="J7" s="518" t="s">
        <v>322</v>
      </c>
      <c r="K7" s="519" t="s">
        <v>323</v>
      </c>
      <c r="L7" s="520" t="s">
        <v>324</v>
      </c>
      <c r="M7" s="520" t="s">
        <v>325</v>
      </c>
      <c r="N7" s="520" t="s">
        <v>326</v>
      </c>
      <c r="O7" s="520" t="s">
        <v>327</v>
      </c>
    </row>
    <row r="8" ht="15.75" customHeight="1">
      <c r="A8" s="521">
        <v>1.0</v>
      </c>
      <c r="B8" s="522" t="s">
        <v>283</v>
      </c>
      <c r="C8" s="523">
        <v>100.0</v>
      </c>
      <c r="D8" s="524">
        <v>0.0</v>
      </c>
      <c r="E8" s="524">
        <v>0.0</v>
      </c>
      <c r="F8" s="524">
        <v>1.0</v>
      </c>
      <c r="G8" s="525">
        <v>1.0</v>
      </c>
      <c r="H8" s="507"/>
      <c r="I8" s="526" t="s">
        <v>16</v>
      </c>
      <c r="J8" s="522" t="s">
        <v>19</v>
      </c>
      <c r="K8" s="523">
        <v>100.0</v>
      </c>
      <c r="L8" s="524">
        <v>0.0</v>
      </c>
      <c r="M8" s="524">
        <v>0.0</v>
      </c>
      <c r="N8" s="527">
        <v>1.0</v>
      </c>
      <c r="O8" s="525">
        <v>1.0</v>
      </c>
    </row>
    <row r="9" ht="15.75" customHeight="1">
      <c r="A9" s="521">
        <v>2.0</v>
      </c>
      <c r="B9" s="528" t="s">
        <v>274</v>
      </c>
      <c r="C9" s="529">
        <v>100.0</v>
      </c>
      <c r="D9" s="530">
        <v>0.0</v>
      </c>
      <c r="E9" s="530">
        <v>0.0</v>
      </c>
      <c r="F9" s="530">
        <v>1.0</v>
      </c>
      <c r="G9" s="531">
        <v>1.0</v>
      </c>
      <c r="H9" s="507"/>
      <c r="I9" s="526" t="s">
        <v>27</v>
      </c>
      <c r="J9" s="528" t="s">
        <v>30</v>
      </c>
      <c r="K9" s="532">
        <v>100.0</v>
      </c>
      <c r="L9" s="533">
        <v>0.0</v>
      </c>
      <c r="M9" s="533">
        <v>0.0</v>
      </c>
      <c r="N9" s="534">
        <v>1.0</v>
      </c>
      <c r="O9" s="535">
        <v>1.0</v>
      </c>
    </row>
    <row r="10" ht="15.75" customHeight="1">
      <c r="A10" s="521">
        <v>3.0</v>
      </c>
      <c r="B10" s="528" t="s">
        <v>298</v>
      </c>
      <c r="C10" s="523">
        <v>100.0</v>
      </c>
      <c r="D10" s="524">
        <v>0.0</v>
      </c>
      <c r="E10" s="524">
        <v>0.0</v>
      </c>
      <c r="F10" s="524">
        <v>1.0</v>
      </c>
      <c r="G10" s="525">
        <v>1.0</v>
      </c>
      <c r="H10" s="536"/>
      <c r="I10" s="526" t="s">
        <v>37</v>
      </c>
      <c r="J10" s="528" t="s">
        <v>280</v>
      </c>
      <c r="K10" s="523">
        <v>88.89</v>
      </c>
      <c r="L10" s="524">
        <v>0.0</v>
      </c>
      <c r="M10" s="524">
        <v>0.1111</v>
      </c>
      <c r="N10" s="527">
        <v>0.8889</v>
      </c>
      <c r="O10" s="525">
        <v>3.0</v>
      </c>
    </row>
    <row r="11" ht="15.75" customHeight="1">
      <c r="A11" s="521">
        <v>4.0</v>
      </c>
      <c r="B11" s="528" t="s">
        <v>312</v>
      </c>
      <c r="C11" s="529">
        <v>100.0</v>
      </c>
      <c r="D11" s="530">
        <v>0.0</v>
      </c>
      <c r="E11" s="530">
        <v>0.0</v>
      </c>
      <c r="F11" s="530">
        <v>1.0</v>
      </c>
      <c r="G11" s="531">
        <v>1.0</v>
      </c>
      <c r="H11" s="536"/>
      <c r="I11" s="526" t="s">
        <v>44</v>
      </c>
      <c r="J11" s="537" t="s">
        <v>24</v>
      </c>
      <c r="K11" s="532">
        <v>71.43</v>
      </c>
      <c r="L11" s="533">
        <v>0.1429</v>
      </c>
      <c r="M11" s="533">
        <v>0.0</v>
      </c>
      <c r="N11" s="534">
        <v>0.8571</v>
      </c>
      <c r="O11" s="535">
        <v>4.0</v>
      </c>
    </row>
    <row r="12" ht="15.75" customHeight="1">
      <c r="A12" s="521">
        <v>5.0</v>
      </c>
      <c r="B12" s="528" t="s">
        <v>139</v>
      </c>
      <c r="C12" s="523">
        <v>92.31</v>
      </c>
      <c r="D12" s="524">
        <v>0.0</v>
      </c>
      <c r="E12" s="524">
        <v>0.0769</v>
      </c>
      <c r="F12" s="524">
        <v>0.9231</v>
      </c>
      <c r="G12" s="525">
        <v>5.0</v>
      </c>
      <c r="H12" s="536"/>
      <c r="I12" s="526" t="s">
        <v>51</v>
      </c>
      <c r="J12" s="537" t="s">
        <v>267</v>
      </c>
      <c r="K12" s="523">
        <v>57.14</v>
      </c>
      <c r="L12" s="524">
        <v>0.0</v>
      </c>
      <c r="M12" s="524">
        <v>0.4286</v>
      </c>
      <c r="N12" s="527">
        <v>0.5714</v>
      </c>
      <c r="O12" s="538">
        <v>5.0</v>
      </c>
    </row>
    <row r="13" ht="15.75" customHeight="1">
      <c r="A13" s="521">
        <v>6.0</v>
      </c>
      <c r="B13" s="537" t="s">
        <v>175</v>
      </c>
      <c r="C13" s="529">
        <v>87.5</v>
      </c>
      <c r="D13" s="530">
        <v>0.0</v>
      </c>
      <c r="E13" s="530">
        <v>0.125</v>
      </c>
      <c r="F13" s="530">
        <v>0.875</v>
      </c>
      <c r="G13" s="531">
        <v>6.0</v>
      </c>
      <c r="H13" s="536"/>
      <c r="I13" s="526" t="s">
        <v>58</v>
      </c>
      <c r="J13" s="537" t="s">
        <v>40</v>
      </c>
      <c r="K13" s="539">
        <v>50.0</v>
      </c>
      <c r="L13" s="540">
        <v>0.1667</v>
      </c>
      <c r="M13" s="540">
        <v>0.1667</v>
      </c>
      <c r="N13" s="541">
        <v>0.6667</v>
      </c>
      <c r="O13" s="542">
        <v>6.0</v>
      </c>
    </row>
    <row r="14" ht="15.75" customHeight="1">
      <c r="A14" s="521">
        <v>7.0</v>
      </c>
      <c r="B14" s="537" t="s">
        <v>144</v>
      </c>
      <c r="C14" s="523">
        <v>85.0</v>
      </c>
      <c r="D14" s="524">
        <v>0.05</v>
      </c>
      <c r="E14" s="524">
        <v>0.05</v>
      </c>
      <c r="F14" s="524">
        <v>0.9</v>
      </c>
      <c r="G14" s="525">
        <v>7.0</v>
      </c>
      <c r="H14" s="536"/>
      <c r="I14" s="526" t="s">
        <v>64</v>
      </c>
      <c r="J14" s="543" t="s">
        <v>272</v>
      </c>
      <c r="K14" s="523">
        <v>50.0</v>
      </c>
      <c r="L14" s="524">
        <v>0.0</v>
      </c>
      <c r="M14" s="524">
        <v>0.5</v>
      </c>
      <c r="N14" s="527">
        <v>0.5</v>
      </c>
      <c r="O14" s="525">
        <v>6.0</v>
      </c>
    </row>
    <row r="15" ht="15.75" customHeight="1">
      <c r="A15" s="521">
        <v>8.0</v>
      </c>
      <c r="B15" s="537" t="s">
        <v>194</v>
      </c>
      <c r="C15" s="529">
        <v>84.21</v>
      </c>
      <c r="D15" s="530">
        <v>0.0526</v>
      </c>
      <c r="E15" s="530">
        <v>0.0526</v>
      </c>
      <c r="F15" s="530">
        <v>0.8947</v>
      </c>
      <c r="G15" s="531">
        <v>8.0</v>
      </c>
      <c r="H15" s="536"/>
      <c r="I15" s="544" t="s">
        <v>78</v>
      </c>
      <c r="J15" s="545" t="s">
        <v>284</v>
      </c>
      <c r="K15" s="546">
        <v>0.0</v>
      </c>
      <c r="L15" s="547"/>
      <c r="M15" s="547"/>
      <c r="N15" s="547"/>
      <c r="O15" s="548">
        <v>8.0</v>
      </c>
    </row>
    <row r="16" ht="15.75" customHeight="1">
      <c r="A16" s="521">
        <v>9.0</v>
      </c>
      <c r="B16" s="537" t="s">
        <v>119</v>
      </c>
      <c r="C16" s="523">
        <v>80.0</v>
      </c>
      <c r="D16" s="524">
        <v>0.0</v>
      </c>
      <c r="E16" s="524">
        <v>0.2</v>
      </c>
      <c r="F16" s="524">
        <v>0.8</v>
      </c>
      <c r="G16" s="525">
        <v>9.0</v>
      </c>
      <c r="H16" s="536"/>
      <c r="I16" s="544" t="s">
        <v>90</v>
      </c>
      <c r="J16" s="549"/>
      <c r="K16" s="550"/>
      <c r="L16" s="551"/>
      <c r="M16" s="551"/>
      <c r="N16" s="551"/>
      <c r="O16" s="552">
        <v>8.0</v>
      </c>
    </row>
    <row r="17" ht="15.75" customHeight="1">
      <c r="A17" s="521">
        <v>10.0</v>
      </c>
      <c r="B17" s="537" t="s">
        <v>213</v>
      </c>
      <c r="C17" s="529">
        <v>80.0</v>
      </c>
      <c r="D17" s="530">
        <v>0.0</v>
      </c>
      <c r="E17" s="530">
        <v>0.2</v>
      </c>
      <c r="F17" s="530">
        <v>0.8</v>
      </c>
      <c r="G17" s="531">
        <v>9.0</v>
      </c>
      <c r="H17" s="536"/>
      <c r="I17" s="503"/>
      <c r="J17" s="553" t="s">
        <v>328</v>
      </c>
      <c r="K17" s="506"/>
      <c r="L17" s="506"/>
      <c r="M17" s="506"/>
      <c r="N17" s="506"/>
      <c r="O17" s="334"/>
    </row>
    <row r="18" ht="15.75" customHeight="1">
      <c r="A18" s="521">
        <v>11.0</v>
      </c>
      <c r="B18" s="537" t="s">
        <v>286</v>
      </c>
      <c r="C18" s="523">
        <v>77.78</v>
      </c>
      <c r="D18" s="524">
        <v>0.0</v>
      </c>
      <c r="E18" s="524">
        <v>0.2222</v>
      </c>
      <c r="F18" s="524">
        <v>0.7778</v>
      </c>
      <c r="G18" s="525">
        <v>11.0</v>
      </c>
      <c r="H18" s="536"/>
      <c r="I18" s="503"/>
      <c r="J18" s="554" t="s">
        <v>322</v>
      </c>
      <c r="K18" s="555" t="s">
        <v>323</v>
      </c>
      <c r="L18" s="556" t="s">
        <v>324</v>
      </c>
      <c r="M18" s="556" t="s">
        <v>325</v>
      </c>
      <c r="N18" s="556" t="s">
        <v>326</v>
      </c>
      <c r="O18" s="556" t="s">
        <v>327</v>
      </c>
    </row>
    <row r="19" ht="15.75" customHeight="1">
      <c r="A19" s="521">
        <v>12.0</v>
      </c>
      <c r="B19" s="537" t="s">
        <v>293</v>
      </c>
      <c r="C19" s="529">
        <v>75.0</v>
      </c>
      <c r="D19" s="530">
        <v>0.0625</v>
      </c>
      <c r="E19" s="530">
        <v>0.125</v>
      </c>
      <c r="F19" s="530">
        <v>0.8125</v>
      </c>
      <c r="G19" s="531">
        <v>12.0</v>
      </c>
      <c r="H19" s="536"/>
      <c r="I19" s="526" t="s">
        <v>16</v>
      </c>
      <c r="J19" s="522" t="s">
        <v>243</v>
      </c>
      <c r="K19" s="557">
        <v>100.0</v>
      </c>
      <c r="L19" s="558">
        <v>0.0</v>
      </c>
      <c r="M19" s="558">
        <v>0.0</v>
      </c>
      <c r="N19" s="558">
        <v>1.0</v>
      </c>
      <c r="O19" s="559">
        <v>1.0</v>
      </c>
    </row>
    <row r="20" ht="15.75" customHeight="1">
      <c r="A20" s="521">
        <v>13.0</v>
      </c>
      <c r="B20" s="537" t="s">
        <v>292</v>
      </c>
      <c r="C20" s="523">
        <v>72.73</v>
      </c>
      <c r="D20" s="524">
        <v>0.0</v>
      </c>
      <c r="E20" s="524">
        <v>0.2727</v>
      </c>
      <c r="F20" s="524">
        <v>0.7273</v>
      </c>
      <c r="G20" s="525">
        <v>13.0</v>
      </c>
      <c r="H20" s="536"/>
      <c r="I20" s="526" t="s">
        <v>27</v>
      </c>
      <c r="J20" s="528" t="s">
        <v>254</v>
      </c>
      <c r="K20" s="560">
        <v>100.0</v>
      </c>
      <c r="L20" s="561">
        <v>0.0</v>
      </c>
      <c r="M20" s="561">
        <v>0.0</v>
      </c>
      <c r="N20" s="561">
        <v>1.0</v>
      </c>
      <c r="O20" s="562">
        <v>1.0</v>
      </c>
    </row>
    <row r="21" ht="15.75" customHeight="1">
      <c r="A21" s="521">
        <v>14.0</v>
      </c>
      <c r="B21" s="537" t="s">
        <v>223</v>
      </c>
      <c r="C21" s="529">
        <v>71.43</v>
      </c>
      <c r="D21" s="530">
        <v>0.1429</v>
      </c>
      <c r="E21" s="530">
        <v>0.0</v>
      </c>
      <c r="F21" s="530">
        <v>0.8571</v>
      </c>
      <c r="G21" s="531">
        <v>14.0</v>
      </c>
      <c r="H21" s="507"/>
      <c r="I21" s="526" t="s">
        <v>37</v>
      </c>
      <c r="J21" s="537" t="s">
        <v>249</v>
      </c>
      <c r="K21" s="563">
        <v>100.0</v>
      </c>
      <c r="L21" s="564">
        <v>0.0</v>
      </c>
      <c r="M21" s="564">
        <v>0.0</v>
      </c>
      <c r="N21" s="564">
        <v>1.0</v>
      </c>
      <c r="O21" s="565">
        <v>1.0</v>
      </c>
    </row>
    <row r="22" ht="15.75" customHeight="1">
      <c r="A22" s="521">
        <v>15.0</v>
      </c>
      <c r="B22" s="537" t="s">
        <v>72</v>
      </c>
      <c r="C22" s="523">
        <v>71.43</v>
      </c>
      <c r="D22" s="524">
        <v>0.0</v>
      </c>
      <c r="E22" s="524">
        <v>0.2857</v>
      </c>
      <c r="F22" s="524">
        <v>0.7143</v>
      </c>
      <c r="G22" s="525">
        <v>14.0</v>
      </c>
      <c r="H22" s="507"/>
      <c r="I22" s="526" t="s">
        <v>44</v>
      </c>
      <c r="J22" s="566" t="s">
        <v>329</v>
      </c>
      <c r="K22" s="567">
        <v>100.0</v>
      </c>
      <c r="L22" s="568">
        <v>0.0</v>
      </c>
      <c r="M22" s="568">
        <v>0.0</v>
      </c>
      <c r="N22" s="568">
        <v>1.0</v>
      </c>
      <c r="O22" s="562">
        <v>1.0</v>
      </c>
    </row>
    <row r="23" ht="15.75" customHeight="1">
      <c r="A23" s="521">
        <v>16.0</v>
      </c>
      <c r="B23" s="537" t="s">
        <v>270</v>
      </c>
      <c r="C23" s="529">
        <v>68.75</v>
      </c>
      <c r="D23" s="530">
        <v>0.125</v>
      </c>
      <c r="E23" s="530">
        <v>0.0625</v>
      </c>
      <c r="F23" s="530">
        <v>0.8125</v>
      </c>
      <c r="G23" s="531">
        <v>16.0</v>
      </c>
      <c r="H23" s="507"/>
      <c r="I23" s="526" t="s">
        <v>51</v>
      </c>
      <c r="J23" s="566" t="s">
        <v>268</v>
      </c>
      <c r="K23" s="569">
        <v>50.0</v>
      </c>
      <c r="L23" s="564">
        <v>0.0</v>
      </c>
      <c r="M23" s="564">
        <v>0.5</v>
      </c>
      <c r="N23" s="564">
        <v>0.5</v>
      </c>
      <c r="O23" s="565">
        <v>5.0</v>
      </c>
    </row>
    <row r="24" ht="15.75" customHeight="1">
      <c r="A24" s="521">
        <v>17.0</v>
      </c>
      <c r="B24" s="537" t="s">
        <v>302</v>
      </c>
      <c r="C24" s="523">
        <v>66.67</v>
      </c>
      <c r="D24" s="524">
        <v>0.0</v>
      </c>
      <c r="E24" s="524">
        <v>0.3333</v>
      </c>
      <c r="F24" s="524">
        <v>0.6667</v>
      </c>
      <c r="G24" s="525">
        <v>17.0</v>
      </c>
      <c r="H24" s="536"/>
      <c r="I24" s="526" t="s">
        <v>58</v>
      </c>
      <c r="J24" s="566" t="s">
        <v>241</v>
      </c>
      <c r="K24" s="570">
        <v>33.33</v>
      </c>
      <c r="L24" s="571">
        <v>0.3333</v>
      </c>
      <c r="M24" s="571">
        <v>0.0</v>
      </c>
      <c r="N24" s="571">
        <v>0.6667</v>
      </c>
      <c r="O24" s="572">
        <v>6.0</v>
      </c>
    </row>
    <row r="25" ht="15.75" customHeight="1">
      <c r="A25" s="521">
        <v>18.0</v>
      </c>
      <c r="B25" s="537" t="s">
        <v>234</v>
      </c>
      <c r="C25" s="529">
        <v>66.67</v>
      </c>
      <c r="D25" s="530">
        <v>0.1111</v>
      </c>
      <c r="E25" s="530">
        <v>0.1111</v>
      </c>
      <c r="F25" s="530">
        <v>0.7778</v>
      </c>
      <c r="G25" s="531">
        <v>17.0</v>
      </c>
      <c r="H25" s="536"/>
      <c r="I25" s="573"/>
      <c r="J25" s="500"/>
      <c r="K25" s="500"/>
      <c r="L25" s="574"/>
      <c r="M25" s="574"/>
      <c r="N25" s="574"/>
      <c r="O25" s="575"/>
    </row>
    <row r="26" ht="15.75" customHeight="1">
      <c r="A26" s="521">
        <v>19.0</v>
      </c>
      <c r="B26" s="537" t="s">
        <v>124</v>
      </c>
      <c r="C26" s="523">
        <v>64.29</v>
      </c>
      <c r="D26" s="524">
        <v>0.1429</v>
      </c>
      <c r="E26" s="524">
        <v>0.0714</v>
      </c>
      <c r="F26" s="524">
        <v>0.7857</v>
      </c>
      <c r="G26" s="525">
        <v>19.0</v>
      </c>
      <c r="H26" s="536"/>
      <c r="I26" s="573"/>
      <c r="J26" s="576"/>
      <c r="K26" s="577"/>
      <c r="L26" s="577"/>
      <c r="M26" s="577"/>
      <c r="N26" s="577"/>
      <c r="O26" s="576"/>
    </row>
    <row r="27" ht="15.75" customHeight="1">
      <c r="A27" s="521">
        <v>20.0</v>
      </c>
      <c r="B27" s="537" t="s">
        <v>93</v>
      </c>
      <c r="C27" s="529">
        <v>60.0</v>
      </c>
      <c r="D27" s="530">
        <v>0.2</v>
      </c>
      <c r="E27" s="530">
        <v>0.0</v>
      </c>
      <c r="F27" s="530">
        <v>0.8</v>
      </c>
      <c r="G27" s="531">
        <v>20.0</v>
      </c>
      <c r="H27" s="536"/>
      <c r="I27" s="503"/>
      <c r="J27" s="578" t="s">
        <v>330</v>
      </c>
      <c r="K27" s="308"/>
      <c r="L27" s="308"/>
      <c r="M27" s="308"/>
      <c r="N27" s="308"/>
      <c r="O27" s="312"/>
    </row>
    <row r="28" ht="15.75" customHeight="1">
      <c r="A28" s="521">
        <v>21.0</v>
      </c>
      <c r="B28" s="537" t="s">
        <v>276</v>
      </c>
      <c r="C28" s="523">
        <v>57.14</v>
      </c>
      <c r="D28" s="524">
        <v>0.1429</v>
      </c>
      <c r="E28" s="524">
        <v>0.1429</v>
      </c>
      <c r="F28" s="524">
        <v>0.7143</v>
      </c>
      <c r="G28" s="525">
        <v>21.0</v>
      </c>
      <c r="H28" s="536"/>
      <c r="I28" s="503"/>
      <c r="J28" s="579" t="s">
        <v>322</v>
      </c>
      <c r="K28" s="580" t="s">
        <v>323</v>
      </c>
      <c r="L28" s="581" t="s">
        <v>324</v>
      </c>
      <c r="M28" s="581" t="s">
        <v>325</v>
      </c>
      <c r="N28" s="581" t="s">
        <v>326</v>
      </c>
      <c r="O28" s="581" t="s">
        <v>327</v>
      </c>
    </row>
    <row r="29" ht="15.75" customHeight="1">
      <c r="A29" s="521">
        <v>22.0</v>
      </c>
      <c r="B29" s="537" t="s">
        <v>309</v>
      </c>
      <c r="C29" s="529">
        <v>56.25</v>
      </c>
      <c r="D29" s="530">
        <v>0.125</v>
      </c>
      <c r="E29" s="530">
        <v>0.1875</v>
      </c>
      <c r="F29" s="530">
        <v>0.6875</v>
      </c>
      <c r="G29" s="531">
        <v>22.0</v>
      </c>
      <c r="H29" s="536"/>
      <c r="I29" s="526" t="s">
        <v>16</v>
      </c>
      <c r="J29" s="582" t="s">
        <v>307</v>
      </c>
      <c r="K29" s="557">
        <v>75.0</v>
      </c>
      <c r="L29" s="558">
        <v>0.0</v>
      </c>
      <c r="M29" s="558">
        <v>0.25</v>
      </c>
      <c r="N29" s="583">
        <v>0.75</v>
      </c>
      <c r="O29" s="559">
        <v>1.0</v>
      </c>
    </row>
    <row r="30" ht="15.75" customHeight="1">
      <c r="A30" s="521">
        <v>23.0</v>
      </c>
      <c r="B30" s="537" t="s">
        <v>67</v>
      </c>
      <c r="C30" s="523">
        <v>54.55</v>
      </c>
      <c r="D30" s="524">
        <v>0.0909</v>
      </c>
      <c r="E30" s="524">
        <v>0.2727</v>
      </c>
      <c r="F30" s="524">
        <v>0.6364</v>
      </c>
      <c r="G30" s="525">
        <v>23.0</v>
      </c>
      <c r="H30" s="536"/>
      <c r="I30" s="526" t="s">
        <v>27</v>
      </c>
      <c r="J30" s="584" t="s">
        <v>310</v>
      </c>
      <c r="K30" s="585">
        <v>33.33</v>
      </c>
      <c r="L30" s="586">
        <v>0.0</v>
      </c>
      <c r="M30" s="587">
        <v>0.6667</v>
      </c>
      <c r="N30" s="588">
        <v>0.3333</v>
      </c>
      <c r="O30" s="589">
        <v>2.0</v>
      </c>
    </row>
    <row r="31" ht="15.75" customHeight="1">
      <c r="A31" s="521">
        <v>24.0</v>
      </c>
      <c r="B31" s="537" t="s">
        <v>98</v>
      </c>
      <c r="C31" s="529">
        <v>53.85</v>
      </c>
      <c r="D31" s="530">
        <v>0.0769</v>
      </c>
      <c r="E31" s="530">
        <v>0.3077</v>
      </c>
      <c r="F31" s="530">
        <v>0.6154</v>
      </c>
      <c r="G31" s="531">
        <v>24.0</v>
      </c>
      <c r="H31" s="536"/>
      <c r="I31" s="526" t="s">
        <v>37</v>
      </c>
      <c r="J31" s="590" t="s">
        <v>313</v>
      </c>
      <c r="K31" s="563">
        <v>33.33</v>
      </c>
      <c r="L31" s="564">
        <v>0.3333</v>
      </c>
      <c r="M31" s="564">
        <v>0.0</v>
      </c>
      <c r="N31" s="591">
        <v>0.6667</v>
      </c>
      <c r="O31" s="565">
        <v>2.0</v>
      </c>
    </row>
    <row r="32" ht="15.75" customHeight="1">
      <c r="A32" s="521">
        <v>25.0</v>
      </c>
      <c r="B32" s="537" t="s">
        <v>156</v>
      </c>
      <c r="C32" s="523">
        <v>50.0</v>
      </c>
      <c r="D32" s="524">
        <v>0.1429</v>
      </c>
      <c r="E32" s="524">
        <v>0.2143</v>
      </c>
      <c r="F32" s="524">
        <v>0.6429</v>
      </c>
      <c r="G32" s="525">
        <v>25.0</v>
      </c>
      <c r="H32" s="536"/>
      <c r="I32" s="526" t="s">
        <v>44</v>
      </c>
      <c r="J32" s="590" t="s">
        <v>304</v>
      </c>
      <c r="K32" s="592">
        <v>0.0</v>
      </c>
      <c r="L32" s="593"/>
      <c r="M32" s="593"/>
      <c r="N32" s="593"/>
      <c r="O32" s="589">
        <v>4.0</v>
      </c>
    </row>
    <row r="33" ht="15.75" customHeight="1">
      <c r="A33" s="521">
        <v>26.0</v>
      </c>
      <c r="B33" s="594" t="s">
        <v>317</v>
      </c>
      <c r="C33" s="595">
        <v>44.44</v>
      </c>
      <c r="D33" s="596">
        <v>0.1111</v>
      </c>
      <c r="E33" s="596">
        <v>0.3333</v>
      </c>
      <c r="F33" s="530">
        <v>0.5556</v>
      </c>
      <c r="G33" s="531">
        <v>26.0</v>
      </c>
      <c r="H33" s="536"/>
      <c r="I33" s="544" t="s">
        <v>51</v>
      </c>
      <c r="J33" s="597" t="s">
        <v>47</v>
      </c>
      <c r="K33" s="563">
        <v>0.0</v>
      </c>
      <c r="L33" s="564">
        <v>0.5</v>
      </c>
      <c r="M33" s="564">
        <v>0.0</v>
      </c>
      <c r="N33" s="591">
        <v>0.5</v>
      </c>
      <c r="O33" s="598" t="s">
        <v>44</v>
      </c>
    </row>
    <row r="34" ht="15.75" customHeight="1">
      <c r="A34" s="521">
        <v>27.0</v>
      </c>
      <c r="B34" s="594" t="s">
        <v>316</v>
      </c>
      <c r="C34" s="563">
        <v>40.0</v>
      </c>
      <c r="D34" s="564">
        <v>0.2</v>
      </c>
      <c r="E34" s="564">
        <v>0.2</v>
      </c>
      <c r="F34" s="564">
        <v>0.6</v>
      </c>
      <c r="G34" s="525">
        <v>27.0</v>
      </c>
      <c r="H34" s="536"/>
      <c r="I34" s="544" t="s">
        <v>58</v>
      </c>
      <c r="J34" s="597" t="s">
        <v>54</v>
      </c>
      <c r="K34" s="592">
        <v>-25.0</v>
      </c>
      <c r="L34" s="599">
        <v>0.5</v>
      </c>
      <c r="M34" s="600">
        <v>0.25</v>
      </c>
      <c r="N34" s="601">
        <v>0.25</v>
      </c>
      <c r="O34" s="589">
        <v>6.0</v>
      </c>
    </row>
    <row r="35" ht="15.75" customHeight="1">
      <c r="A35" s="521">
        <v>28.0</v>
      </c>
      <c r="B35" s="549"/>
      <c r="C35" s="602"/>
      <c r="D35" s="603"/>
      <c r="E35" s="603"/>
      <c r="F35" s="603"/>
      <c r="G35" s="604"/>
      <c r="H35" s="536"/>
      <c r="I35" s="544" t="s">
        <v>64</v>
      </c>
      <c r="J35" s="605"/>
      <c r="K35" s="606"/>
      <c r="L35" s="607"/>
      <c r="M35" s="607"/>
      <c r="N35" s="607"/>
      <c r="O35" s="607"/>
    </row>
    <row r="36" ht="15.75" customHeight="1">
      <c r="A36" s="521">
        <v>29.0</v>
      </c>
      <c r="B36" s="549"/>
      <c r="C36" s="608"/>
      <c r="D36" s="609"/>
      <c r="E36" s="609"/>
      <c r="F36" s="609"/>
      <c r="G36" s="504"/>
      <c r="H36" s="536"/>
      <c r="I36" s="503"/>
      <c r="J36" s="610"/>
      <c r="K36" s="611"/>
      <c r="L36" s="610"/>
      <c r="M36" s="610"/>
      <c r="N36" s="610"/>
      <c r="O36" s="610"/>
    </row>
    <row r="37" ht="15.75" customHeight="1">
      <c r="A37" s="521">
        <v>30.0</v>
      </c>
      <c r="B37" s="549"/>
      <c r="C37" s="608"/>
      <c r="D37" s="609"/>
      <c r="E37" s="609"/>
      <c r="F37" s="609"/>
      <c r="G37" s="504"/>
      <c r="H37" s="536"/>
      <c r="I37" s="503"/>
      <c r="J37" s="610"/>
      <c r="K37" s="507"/>
      <c r="L37" s="610"/>
      <c r="M37" s="610"/>
      <c r="N37" s="610"/>
      <c r="O37" s="610"/>
    </row>
    <row r="38" ht="15.75" customHeight="1">
      <c r="A38" s="521">
        <v>31.0</v>
      </c>
      <c r="B38" s="612"/>
      <c r="C38" s="613"/>
      <c r="D38" s="614"/>
      <c r="E38" s="614"/>
      <c r="F38" s="603"/>
      <c r="G38" s="604"/>
      <c r="H38" s="536"/>
      <c r="I38" s="503"/>
      <c r="J38" s="610"/>
      <c r="K38" s="507"/>
      <c r="L38" s="610"/>
      <c r="M38" s="610"/>
      <c r="N38" s="610"/>
      <c r="O38" s="610"/>
    </row>
    <row r="39" ht="15.75" customHeight="1">
      <c r="A39" s="521">
        <v>32.0</v>
      </c>
      <c r="B39" s="615"/>
      <c r="C39" s="608"/>
      <c r="D39" s="609"/>
      <c r="E39" s="609"/>
      <c r="F39" s="609"/>
      <c r="G39" s="504"/>
      <c r="H39" s="536"/>
      <c r="I39" s="503"/>
      <c r="J39" s="610"/>
      <c r="K39" s="507"/>
      <c r="L39" s="610"/>
      <c r="M39" s="610"/>
      <c r="N39" s="610"/>
      <c r="O39" s="610"/>
    </row>
    <row r="40" ht="15.75" customHeight="1">
      <c r="A40" s="521">
        <v>33.0</v>
      </c>
      <c r="B40" s="616"/>
      <c r="C40" s="613"/>
      <c r="D40" s="613"/>
      <c r="E40" s="613"/>
      <c r="F40" s="617"/>
      <c r="G40" s="618"/>
      <c r="H40" s="503"/>
      <c r="I40" s="503"/>
      <c r="J40" s="610"/>
      <c r="K40" s="507"/>
      <c r="L40" s="610"/>
      <c r="M40" s="610"/>
      <c r="N40" s="610"/>
      <c r="O40" s="610"/>
    </row>
    <row r="41" ht="15.75" customHeight="1">
      <c r="A41" s="521">
        <v>34.0</v>
      </c>
      <c r="B41" s="619"/>
      <c r="C41" s="608"/>
      <c r="D41" s="620"/>
      <c r="E41" s="608"/>
      <c r="F41" s="621"/>
      <c r="G41" s="511"/>
      <c r="H41" s="503"/>
      <c r="I41" s="503"/>
      <c r="J41" s="536"/>
      <c r="K41" s="507"/>
      <c r="L41" s="610"/>
      <c r="M41" s="610"/>
      <c r="N41" s="610"/>
      <c r="O41" s="610"/>
    </row>
    <row r="42" ht="15.75" customHeight="1">
      <c r="A42" s="521">
        <v>35.0</v>
      </c>
      <c r="B42" s="619"/>
      <c r="C42" s="622"/>
      <c r="D42" s="622"/>
      <c r="E42" s="622"/>
      <c r="F42" s="623"/>
      <c r="G42" s="624"/>
      <c r="H42" s="503"/>
      <c r="I42" s="503"/>
      <c r="J42" s="536"/>
      <c r="K42" s="507"/>
      <c r="L42" s="610"/>
      <c r="M42" s="610"/>
      <c r="N42" s="610"/>
      <c r="O42" s="610"/>
    </row>
    <row r="43" ht="15.75" customHeight="1">
      <c r="A43" s="575"/>
      <c r="B43" s="507"/>
      <c r="C43" s="507"/>
      <c r="D43" s="507"/>
      <c r="E43" s="507"/>
      <c r="F43" s="507"/>
      <c r="G43" s="536"/>
      <c r="H43" s="536"/>
      <c r="I43" s="536"/>
      <c r="J43" s="507"/>
      <c r="K43" s="507"/>
      <c r="L43" s="610"/>
      <c r="M43" s="610"/>
      <c r="N43" s="610"/>
      <c r="O43" s="536"/>
    </row>
    <row r="44" ht="15.75" customHeight="1">
      <c r="A44" s="625"/>
      <c r="B44" s="626" t="s">
        <v>331</v>
      </c>
      <c r="G44" s="627"/>
      <c r="H44" s="627"/>
      <c r="I44" s="625"/>
      <c r="J44" s="626" t="s">
        <v>332</v>
      </c>
      <c r="O44" s="628"/>
    </row>
    <row r="45" ht="15.75" customHeight="1">
      <c r="A45" s="629"/>
      <c r="B45" s="630" t="s">
        <v>322</v>
      </c>
      <c r="C45" s="631"/>
      <c r="D45" s="632" t="s">
        <v>333</v>
      </c>
      <c r="E45" s="633" t="s">
        <v>334</v>
      </c>
      <c r="F45" s="634" t="s">
        <v>335</v>
      </c>
      <c r="G45" s="629"/>
      <c r="H45" s="629"/>
      <c r="I45" s="629"/>
      <c r="J45" s="630" t="s">
        <v>322</v>
      </c>
      <c r="K45" s="631"/>
      <c r="L45" s="632" t="s">
        <v>333</v>
      </c>
      <c r="M45" s="633" t="s">
        <v>334</v>
      </c>
      <c r="N45" s="634" t="s">
        <v>335</v>
      </c>
      <c r="O45" s="635"/>
    </row>
    <row r="46" ht="15.75" customHeight="1">
      <c r="A46" s="636">
        <v>1.0</v>
      </c>
      <c r="B46" s="637" t="s">
        <v>336</v>
      </c>
      <c r="C46" s="638"/>
      <c r="D46" s="639">
        <v>196.0</v>
      </c>
      <c r="E46" s="639">
        <v>82.1</v>
      </c>
      <c r="F46" s="640">
        <v>4.2</v>
      </c>
      <c r="G46" s="629"/>
      <c r="H46" s="629"/>
      <c r="I46" s="636">
        <v>1.0</v>
      </c>
      <c r="J46" s="637" t="s">
        <v>337</v>
      </c>
      <c r="K46" s="638"/>
      <c r="L46" s="639">
        <v>661.0</v>
      </c>
      <c r="M46" s="639">
        <v>83.1</v>
      </c>
      <c r="N46" s="641" t="s">
        <v>338</v>
      </c>
      <c r="O46" s="635"/>
    </row>
    <row r="47" ht="15.75" customHeight="1">
      <c r="A47" s="636">
        <v>2.0</v>
      </c>
      <c r="B47" s="642" t="s">
        <v>337</v>
      </c>
      <c r="C47" s="643"/>
      <c r="D47" s="639">
        <v>423.0</v>
      </c>
      <c r="E47" s="639">
        <v>81.3</v>
      </c>
      <c r="F47" s="640">
        <v>3.1</v>
      </c>
      <c r="G47" s="629"/>
      <c r="H47" s="629"/>
      <c r="I47" s="636">
        <v>2.0</v>
      </c>
      <c r="J47" s="642" t="s">
        <v>339</v>
      </c>
      <c r="K47" s="643"/>
      <c r="L47" s="639">
        <v>548.0</v>
      </c>
      <c r="M47" s="639">
        <v>81.8</v>
      </c>
      <c r="N47" s="641" t="s">
        <v>340</v>
      </c>
      <c r="O47" s="635"/>
    </row>
    <row r="48" ht="15.75" customHeight="1">
      <c r="A48" s="636">
        <v>3.0</v>
      </c>
      <c r="B48" s="642" t="s">
        <v>339</v>
      </c>
      <c r="C48" s="643"/>
      <c r="D48" s="639">
        <v>341.0</v>
      </c>
      <c r="E48" s="639">
        <v>80.1</v>
      </c>
      <c r="F48" s="640">
        <v>4.6</v>
      </c>
      <c r="G48" s="629"/>
      <c r="H48" s="629"/>
      <c r="I48" s="636">
        <v>3.0</v>
      </c>
      <c r="J48" s="642" t="s">
        <v>341</v>
      </c>
      <c r="K48" s="643"/>
      <c r="L48" s="639">
        <v>271.0</v>
      </c>
      <c r="M48" s="639">
        <v>80.8</v>
      </c>
      <c r="N48" s="641" t="s">
        <v>342</v>
      </c>
      <c r="O48" s="628"/>
    </row>
    <row r="49" ht="15.75" customHeight="1">
      <c r="A49" s="636">
        <v>4.0</v>
      </c>
      <c r="B49" s="642" t="s">
        <v>341</v>
      </c>
      <c r="C49" s="643"/>
      <c r="D49" s="639">
        <v>207.0</v>
      </c>
      <c r="E49" s="639">
        <v>79.2</v>
      </c>
      <c r="F49" s="121">
        <v>-6.2</v>
      </c>
      <c r="G49" s="629"/>
      <c r="H49" s="629"/>
      <c r="I49" s="636">
        <v>4.0</v>
      </c>
      <c r="J49" s="642" t="s">
        <v>343</v>
      </c>
      <c r="K49" s="643"/>
      <c r="L49" s="639">
        <v>914.0</v>
      </c>
      <c r="M49" s="639">
        <v>79.5</v>
      </c>
      <c r="N49" s="641" t="s">
        <v>344</v>
      </c>
      <c r="O49" s="628"/>
    </row>
    <row r="50" ht="15.75" customHeight="1">
      <c r="A50" s="636">
        <v>5.0</v>
      </c>
      <c r="B50" s="642" t="s">
        <v>345</v>
      </c>
      <c r="C50" s="643"/>
      <c r="D50" s="639">
        <v>280.0</v>
      </c>
      <c r="E50" s="639">
        <v>77.9</v>
      </c>
      <c r="F50" s="121">
        <v>-2.4</v>
      </c>
      <c r="G50" s="629"/>
      <c r="H50" s="629"/>
      <c r="I50" s="636">
        <v>5.0</v>
      </c>
      <c r="J50" s="642" t="s">
        <v>346</v>
      </c>
      <c r="K50" s="643"/>
      <c r="L50" s="639">
        <v>299.0</v>
      </c>
      <c r="M50" s="639">
        <v>79.3</v>
      </c>
      <c r="N50" s="641" t="s">
        <v>347</v>
      </c>
      <c r="O50" s="628"/>
    </row>
    <row r="51" ht="15.75" customHeight="1">
      <c r="A51" s="636">
        <v>6.0</v>
      </c>
      <c r="B51" s="642" t="s">
        <v>346</v>
      </c>
      <c r="C51" s="643"/>
      <c r="D51" s="639">
        <v>213.0</v>
      </c>
      <c r="E51" s="639">
        <v>77.5</v>
      </c>
      <c r="F51" s="121">
        <v>-1.3</v>
      </c>
      <c r="G51" s="629"/>
      <c r="H51" s="629"/>
      <c r="I51" s="636">
        <v>6.0</v>
      </c>
      <c r="J51" s="642" t="s">
        <v>345</v>
      </c>
      <c r="K51" s="643"/>
      <c r="L51" s="639">
        <v>422.0</v>
      </c>
      <c r="M51" s="639">
        <v>78.9</v>
      </c>
      <c r="N51" s="121">
        <v>-7.5</v>
      </c>
      <c r="O51" s="628"/>
    </row>
    <row r="52" ht="15.75" customHeight="1">
      <c r="A52" s="636">
        <v>7.0</v>
      </c>
      <c r="B52" s="642" t="s">
        <v>348</v>
      </c>
      <c r="C52" s="643"/>
      <c r="D52" s="639">
        <v>213.0</v>
      </c>
      <c r="E52" s="639">
        <v>77.5</v>
      </c>
      <c r="F52" s="640">
        <v>0.6</v>
      </c>
      <c r="G52" s="629"/>
      <c r="H52" s="629"/>
      <c r="I52" s="636">
        <v>7.0</v>
      </c>
      <c r="J52" s="642" t="s">
        <v>336</v>
      </c>
      <c r="K52" s="643"/>
      <c r="L52" s="639">
        <v>284.0</v>
      </c>
      <c r="M52" s="639">
        <v>78.5</v>
      </c>
      <c r="N52" s="641" t="s">
        <v>349</v>
      </c>
      <c r="O52" s="628"/>
    </row>
    <row r="53" ht="15.75" customHeight="1">
      <c r="A53" s="636">
        <v>8.0</v>
      </c>
      <c r="B53" s="637" t="s">
        <v>343</v>
      </c>
      <c r="C53" s="643"/>
      <c r="D53" s="639">
        <v>604.0</v>
      </c>
      <c r="E53" s="639">
        <v>76.7</v>
      </c>
      <c r="F53" s="121">
        <v>-0.3</v>
      </c>
      <c r="G53" s="629"/>
      <c r="H53" s="629"/>
      <c r="I53" s="636">
        <v>8.0</v>
      </c>
      <c r="J53" s="637" t="s">
        <v>350</v>
      </c>
      <c r="K53" s="643"/>
      <c r="L53" s="639">
        <v>312.0</v>
      </c>
      <c r="M53" s="639">
        <v>76.9</v>
      </c>
      <c r="N53" s="641" t="s">
        <v>351</v>
      </c>
      <c r="O53" s="628"/>
    </row>
    <row r="54" ht="15.75" customHeight="1">
      <c r="A54" s="636">
        <v>9.0</v>
      </c>
      <c r="B54" s="642" t="s">
        <v>350</v>
      </c>
      <c r="C54" s="643"/>
      <c r="D54" s="639">
        <v>214.0</v>
      </c>
      <c r="E54" s="639">
        <v>72.9</v>
      </c>
      <c r="F54" s="121">
        <v>-2.9</v>
      </c>
      <c r="G54" s="629"/>
      <c r="H54" s="629"/>
      <c r="I54" s="636">
        <v>9.0</v>
      </c>
      <c r="J54" s="642" t="s">
        <v>348</v>
      </c>
      <c r="K54" s="643"/>
      <c r="L54" s="639">
        <v>256.0</v>
      </c>
      <c r="M54" s="639">
        <v>75.0</v>
      </c>
      <c r="N54" s="641" t="s">
        <v>352</v>
      </c>
      <c r="O54" s="628"/>
    </row>
    <row r="55" ht="15.75" customHeight="1">
      <c r="A55" s="636">
        <v>10.0</v>
      </c>
      <c r="B55" s="637" t="s">
        <v>353</v>
      </c>
      <c r="C55" s="643"/>
      <c r="D55" s="639">
        <v>2763.0</v>
      </c>
      <c r="E55" s="639">
        <v>72.1</v>
      </c>
      <c r="F55" s="121">
        <v>-1.8</v>
      </c>
      <c r="G55" s="629"/>
      <c r="H55" s="629"/>
      <c r="I55" s="636">
        <v>10.0</v>
      </c>
      <c r="J55" s="637" t="s">
        <v>353</v>
      </c>
      <c r="K55" s="643"/>
      <c r="L55" s="639">
        <v>4209.0</v>
      </c>
      <c r="M55" s="639">
        <v>74.2</v>
      </c>
      <c r="N55" s="121">
        <v>-0.9</v>
      </c>
      <c r="O55" s="628"/>
    </row>
    <row r="56" ht="15.75" customHeight="1">
      <c r="A56" s="636">
        <v>11.0</v>
      </c>
      <c r="B56" s="642" t="s">
        <v>354</v>
      </c>
      <c r="C56" s="643"/>
      <c r="D56" s="639">
        <v>688.0</v>
      </c>
      <c r="E56" s="639">
        <v>70.3</v>
      </c>
      <c r="F56" s="121">
        <v>-3.9</v>
      </c>
      <c r="G56" s="629"/>
      <c r="H56" s="629"/>
      <c r="I56" s="636">
        <v>11.0</v>
      </c>
      <c r="J56" s="642" t="s">
        <v>354</v>
      </c>
      <c r="K56" s="643"/>
      <c r="L56" s="639">
        <v>937.0</v>
      </c>
      <c r="M56" s="639">
        <v>73.5</v>
      </c>
      <c r="N56" s="641" t="s">
        <v>355</v>
      </c>
      <c r="O56" s="628"/>
    </row>
    <row r="57" ht="15.75" customHeight="1">
      <c r="A57" s="636">
        <v>12.0</v>
      </c>
      <c r="B57" s="637" t="s">
        <v>356</v>
      </c>
      <c r="C57" s="644"/>
      <c r="D57" s="645" t="s">
        <v>357</v>
      </c>
      <c r="E57" s="646">
        <v>-33.3</v>
      </c>
      <c r="F57" s="647">
        <v>-87.9</v>
      </c>
      <c r="G57" s="629"/>
      <c r="H57" s="629"/>
      <c r="I57" s="636">
        <v>12.0</v>
      </c>
      <c r="J57" s="637" t="s">
        <v>356</v>
      </c>
      <c r="K57" s="644"/>
      <c r="L57" s="645" t="s">
        <v>358</v>
      </c>
      <c r="M57" s="646">
        <v>0.0</v>
      </c>
      <c r="N57" s="647">
        <v>-12.5</v>
      </c>
      <c r="O57" s="628"/>
    </row>
    <row r="58" ht="15.75" customHeight="1">
      <c r="A58" s="648">
        <v>13.0</v>
      </c>
      <c r="B58" s="638" t="s">
        <v>359</v>
      </c>
      <c r="C58" s="643"/>
      <c r="D58" s="639" t="s">
        <v>360</v>
      </c>
      <c r="E58" s="639">
        <v>-100.0</v>
      </c>
      <c r="F58" s="121">
        <v>-100.0</v>
      </c>
      <c r="G58" s="629"/>
      <c r="H58" s="629"/>
      <c r="I58" s="648">
        <v>13.0</v>
      </c>
      <c r="J58" s="638" t="s">
        <v>359</v>
      </c>
      <c r="K58" s="643"/>
      <c r="L58" s="639" t="s">
        <v>360</v>
      </c>
      <c r="M58" s="639">
        <v>-100.0</v>
      </c>
      <c r="N58" s="121">
        <v>-200.0</v>
      </c>
      <c r="O58" s="628"/>
    </row>
    <row r="59" ht="15.75" customHeight="1">
      <c r="A59" s="648">
        <v>14.0</v>
      </c>
      <c r="B59" s="649"/>
      <c r="C59" s="643"/>
      <c r="D59" s="639"/>
      <c r="E59" s="639"/>
      <c r="F59" s="41"/>
      <c r="G59" s="629"/>
      <c r="H59" s="629"/>
      <c r="I59" s="648">
        <v>14.0</v>
      </c>
      <c r="J59" s="649"/>
      <c r="K59" s="643"/>
      <c r="L59" s="639"/>
      <c r="M59" s="639"/>
      <c r="N59" s="41"/>
      <c r="O59" s="628"/>
    </row>
    <row r="60" ht="15.75" customHeight="1">
      <c r="A60" s="650"/>
      <c r="B60" s="651" t="s">
        <v>361</v>
      </c>
      <c r="C60" s="652"/>
      <c r="D60" s="653" t="s">
        <v>333</v>
      </c>
      <c r="E60" s="654" t="s">
        <v>334</v>
      </c>
      <c r="F60" s="655" t="s">
        <v>335</v>
      </c>
      <c r="G60" s="629"/>
      <c r="H60" s="629"/>
      <c r="I60" s="650"/>
      <c r="J60" s="651" t="s">
        <v>361</v>
      </c>
      <c r="K60" s="652"/>
      <c r="L60" s="653" t="s">
        <v>333</v>
      </c>
      <c r="M60" s="654" t="s">
        <v>334</v>
      </c>
      <c r="N60" s="655" t="s">
        <v>335</v>
      </c>
      <c r="O60" s="628"/>
    </row>
    <row r="61" ht="15.75" customHeight="1">
      <c r="A61" s="650"/>
      <c r="B61" s="656" t="s">
        <v>362</v>
      </c>
      <c r="C61" s="657"/>
      <c r="D61" s="658">
        <v>6146.0</v>
      </c>
      <c r="E61" s="658">
        <v>74.6</v>
      </c>
      <c r="F61" s="659">
        <v>-1.1</v>
      </c>
      <c r="G61" s="629"/>
      <c r="H61" s="629"/>
      <c r="I61" s="650"/>
      <c r="J61" s="656" t="s">
        <v>362</v>
      </c>
      <c r="K61" s="657"/>
      <c r="L61" s="658">
        <v>9120.0</v>
      </c>
      <c r="M61" s="658">
        <v>76.5</v>
      </c>
      <c r="N61" s="660" t="s">
        <v>363</v>
      </c>
      <c r="O61" s="628"/>
    </row>
    <row r="62" ht="15.75" customHeight="1">
      <c r="A62" s="650"/>
      <c r="B62" s="661"/>
      <c r="C62" s="629"/>
      <c r="D62" s="662"/>
      <c r="E62" s="626"/>
      <c r="K62" s="629"/>
      <c r="L62" s="662"/>
      <c r="M62" s="662"/>
      <c r="N62" s="662"/>
      <c r="O62" s="628"/>
    </row>
    <row r="63" ht="15.75" customHeight="1">
      <c r="A63" s="663"/>
      <c r="B63" s="664" t="s">
        <v>364</v>
      </c>
      <c r="G63" s="629"/>
      <c r="H63" s="629"/>
      <c r="I63" s="663"/>
      <c r="J63" s="664" t="s">
        <v>365</v>
      </c>
      <c r="O63" s="665"/>
    </row>
    <row r="64" ht="15.75" customHeight="1">
      <c r="A64" s="663"/>
      <c r="B64" s="666" t="s">
        <v>322</v>
      </c>
      <c r="C64" s="667"/>
      <c r="D64" s="668" t="s">
        <v>333</v>
      </c>
      <c r="E64" s="668" t="s">
        <v>334</v>
      </c>
      <c r="F64" s="669" t="s">
        <v>335</v>
      </c>
      <c r="G64" s="629"/>
      <c r="H64" s="629"/>
      <c r="I64" s="663"/>
      <c r="J64" s="666" t="s">
        <v>322</v>
      </c>
      <c r="K64" s="667"/>
      <c r="L64" s="668" t="s">
        <v>333</v>
      </c>
      <c r="M64" s="668" t="s">
        <v>334</v>
      </c>
      <c r="N64" s="669" t="s">
        <v>335</v>
      </c>
      <c r="O64" s="650"/>
    </row>
    <row r="65" ht="15.75" customHeight="1">
      <c r="A65" s="670">
        <v>1.0</v>
      </c>
      <c r="B65" s="671" t="s">
        <v>366</v>
      </c>
      <c r="C65" s="672"/>
      <c r="D65" s="658" t="s">
        <v>360</v>
      </c>
      <c r="E65" s="658">
        <v>100.0</v>
      </c>
      <c r="F65" s="673">
        <v>116.7</v>
      </c>
      <c r="G65" s="629"/>
      <c r="H65" s="629"/>
      <c r="I65" s="670">
        <v>1.0</v>
      </c>
      <c r="J65" s="671" t="s">
        <v>345</v>
      </c>
      <c r="K65" s="672"/>
      <c r="L65" s="658">
        <v>6352.0</v>
      </c>
      <c r="M65" s="658">
        <v>78.4</v>
      </c>
      <c r="N65" s="674" t="s">
        <v>367</v>
      </c>
      <c r="O65" s="650"/>
    </row>
    <row r="66" ht="15.75" customHeight="1">
      <c r="A66" s="670">
        <v>2.0</v>
      </c>
      <c r="B66" s="671" t="s">
        <v>348</v>
      </c>
      <c r="C66" s="672"/>
      <c r="D66" s="658">
        <v>1153.0</v>
      </c>
      <c r="E66" s="658">
        <v>80.0</v>
      </c>
      <c r="F66" s="673">
        <v>3.4</v>
      </c>
      <c r="G66" s="629"/>
      <c r="H66" s="629"/>
      <c r="I66" s="670">
        <v>2.0</v>
      </c>
      <c r="J66" s="671" t="s">
        <v>341</v>
      </c>
      <c r="K66" s="672"/>
      <c r="L66" s="658">
        <v>4481.0</v>
      </c>
      <c r="M66" s="658">
        <v>78.2</v>
      </c>
      <c r="N66" s="674" t="s">
        <v>368</v>
      </c>
      <c r="O66" s="650"/>
    </row>
    <row r="67" ht="15.75" customHeight="1">
      <c r="A67" s="670">
        <v>3.0</v>
      </c>
      <c r="B67" s="671" t="s">
        <v>337</v>
      </c>
      <c r="C67" s="672"/>
      <c r="D67" s="658">
        <v>2820.0</v>
      </c>
      <c r="E67" s="658">
        <v>79.1</v>
      </c>
      <c r="F67" s="673">
        <v>3.5</v>
      </c>
      <c r="G67" s="629"/>
      <c r="H67" s="629"/>
      <c r="I67" s="670">
        <v>3.0</v>
      </c>
      <c r="J67" s="671" t="s">
        <v>337</v>
      </c>
      <c r="K67" s="672"/>
      <c r="L67" s="658">
        <v>9219.0</v>
      </c>
      <c r="M67" s="658">
        <v>77.3</v>
      </c>
      <c r="N67" s="674" t="s">
        <v>369</v>
      </c>
      <c r="O67" s="650"/>
    </row>
    <row r="68" ht="15.75" customHeight="1">
      <c r="A68" s="670">
        <v>4.0</v>
      </c>
      <c r="B68" s="671" t="s">
        <v>336</v>
      </c>
      <c r="C68" s="672"/>
      <c r="D68" s="658">
        <v>1201.0</v>
      </c>
      <c r="E68" s="658">
        <v>79.1</v>
      </c>
      <c r="F68" s="673">
        <v>2.4</v>
      </c>
      <c r="G68" s="629"/>
      <c r="H68" s="629"/>
      <c r="I68" s="670">
        <v>4.0</v>
      </c>
      <c r="J68" s="671" t="s">
        <v>348</v>
      </c>
      <c r="K68" s="672"/>
      <c r="L68" s="658">
        <v>4128.0</v>
      </c>
      <c r="M68" s="658">
        <v>76.9</v>
      </c>
      <c r="N68" s="674" t="s">
        <v>370</v>
      </c>
      <c r="O68" s="650"/>
    </row>
    <row r="69" ht="15.75" customHeight="1">
      <c r="A69" s="670">
        <v>5.0</v>
      </c>
      <c r="B69" s="671" t="s">
        <v>345</v>
      </c>
      <c r="C69" s="672"/>
      <c r="D69" s="658">
        <v>1928.0</v>
      </c>
      <c r="E69" s="658">
        <v>79.0</v>
      </c>
      <c r="F69" s="673">
        <v>0.4</v>
      </c>
      <c r="G69" s="629"/>
      <c r="H69" s="629"/>
      <c r="I69" s="670">
        <v>5.0</v>
      </c>
      <c r="J69" s="671" t="s">
        <v>336</v>
      </c>
      <c r="K69" s="672"/>
      <c r="L69" s="658">
        <v>3965.0</v>
      </c>
      <c r="M69" s="658">
        <v>76.1</v>
      </c>
      <c r="N69" s="674" t="s">
        <v>371</v>
      </c>
      <c r="O69" s="650"/>
    </row>
    <row r="70" ht="15.75" customHeight="1">
      <c r="A70" s="670">
        <v>6.0</v>
      </c>
      <c r="B70" s="671" t="s">
        <v>339</v>
      </c>
      <c r="C70" s="672"/>
      <c r="D70" s="658">
        <v>2702.0</v>
      </c>
      <c r="E70" s="658">
        <v>78.7</v>
      </c>
      <c r="F70" s="673">
        <v>4.7</v>
      </c>
      <c r="G70" s="629"/>
      <c r="H70" s="629"/>
      <c r="I70" s="670">
        <v>6.0</v>
      </c>
      <c r="J70" s="671" t="s">
        <v>339</v>
      </c>
      <c r="K70" s="672"/>
      <c r="L70" s="658">
        <v>7419.0</v>
      </c>
      <c r="M70" s="658">
        <v>75.6</v>
      </c>
      <c r="N70" s="674" t="s">
        <v>372</v>
      </c>
      <c r="O70" s="650"/>
    </row>
    <row r="71" ht="15.75" customHeight="1">
      <c r="A71" s="670">
        <v>7.0</v>
      </c>
      <c r="B71" s="671" t="s">
        <v>341</v>
      </c>
      <c r="C71" s="672"/>
      <c r="D71" s="658">
        <v>1338.0</v>
      </c>
      <c r="E71" s="658">
        <v>77.5</v>
      </c>
      <c r="F71" s="675">
        <v>-1.3</v>
      </c>
      <c r="G71" s="629"/>
      <c r="H71" s="629"/>
      <c r="I71" s="670">
        <v>7.0</v>
      </c>
      <c r="J71" s="671" t="s">
        <v>346</v>
      </c>
      <c r="K71" s="672"/>
      <c r="L71" s="658">
        <v>4516.0</v>
      </c>
      <c r="M71" s="658">
        <v>74.2</v>
      </c>
      <c r="N71" s="675">
        <v>-2.7</v>
      </c>
      <c r="O71" s="650"/>
    </row>
    <row r="72" ht="15.75" customHeight="1">
      <c r="A72" s="670">
        <v>8.0</v>
      </c>
      <c r="B72" s="671" t="s">
        <v>346</v>
      </c>
      <c r="C72" s="672"/>
      <c r="D72" s="658">
        <v>1438.0</v>
      </c>
      <c r="E72" s="658">
        <v>77.5</v>
      </c>
      <c r="F72" s="673">
        <v>2.2</v>
      </c>
      <c r="G72" s="629"/>
      <c r="H72" s="629"/>
      <c r="I72" s="670">
        <v>8.0</v>
      </c>
      <c r="J72" s="671" t="s">
        <v>343</v>
      </c>
      <c r="K72" s="672"/>
      <c r="L72" s="658">
        <v>14652.0</v>
      </c>
      <c r="M72" s="658">
        <v>73.2</v>
      </c>
      <c r="N72" s="674" t="s">
        <v>373</v>
      </c>
      <c r="O72" s="650"/>
    </row>
    <row r="73" ht="15.75" customHeight="1">
      <c r="A73" s="670">
        <v>9.0</v>
      </c>
      <c r="B73" s="671" t="s">
        <v>343</v>
      </c>
      <c r="C73" s="672"/>
      <c r="D73" s="658">
        <v>4528.0</v>
      </c>
      <c r="E73" s="658">
        <v>76.5</v>
      </c>
      <c r="F73" s="673">
        <v>3.8</v>
      </c>
      <c r="G73" s="629"/>
      <c r="H73" s="629"/>
      <c r="I73" s="670">
        <v>9.0</v>
      </c>
      <c r="J73" s="671" t="s">
        <v>353</v>
      </c>
      <c r="K73" s="672"/>
      <c r="L73" s="658">
        <v>66734.0</v>
      </c>
      <c r="M73" s="658">
        <v>71.3</v>
      </c>
      <c r="N73" s="674" t="s">
        <v>363</v>
      </c>
      <c r="O73" s="650"/>
    </row>
    <row r="74" ht="15.75" customHeight="1">
      <c r="A74" s="670">
        <v>10.0</v>
      </c>
      <c r="B74" s="671" t="s">
        <v>350</v>
      </c>
      <c r="C74" s="672"/>
      <c r="D74" s="658">
        <v>1440.0</v>
      </c>
      <c r="E74" s="658">
        <v>73.4</v>
      </c>
      <c r="F74" s="673">
        <v>5.4</v>
      </c>
      <c r="G74" s="629"/>
      <c r="H74" s="629"/>
      <c r="I74" s="670">
        <v>10.0</v>
      </c>
      <c r="J74" s="671" t="s">
        <v>350</v>
      </c>
      <c r="K74" s="672"/>
      <c r="L74" s="658">
        <v>4671.0</v>
      </c>
      <c r="M74" s="658">
        <v>70.4</v>
      </c>
      <c r="N74" s="674" t="s">
        <v>370</v>
      </c>
      <c r="O74" s="650"/>
    </row>
    <row r="75" ht="15.75" customHeight="1">
      <c r="A75" s="670">
        <v>11.0</v>
      </c>
      <c r="B75" s="671" t="s">
        <v>353</v>
      </c>
      <c r="C75" s="672"/>
      <c r="D75" s="658">
        <v>19745.0</v>
      </c>
      <c r="E75" s="658">
        <v>72.1</v>
      </c>
      <c r="F75" s="673">
        <v>0.2</v>
      </c>
      <c r="G75" s="629"/>
      <c r="H75" s="629"/>
      <c r="I75" s="676">
        <v>11.0</v>
      </c>
      <c r="J75" s="677" t="s">
        <v>354</v>
      </c>
      <c r="K75" s="678"/>
      <c r="L75" s="679">
        <v>15041.0</v>
      </c>
      <c r="M75" s="679">
        <v>70.1</v>
      </c>
      <c r="N75" s="674" t="s">
        <v>374</v>
      </c>
      <c r="O75" s="650"/>
    </row>
    <row r="76" ht="15.75" customHeight="1">
      <c r="A76" s="676">
        <v>12.0</v>
      </c>
      <c r="B76" s="677" t="s">
        <v>354</v>
      </c>
      <c r="C76" s="678"/>
      <c r="D76" s="679">
        <v>4258.0</v>
      </c>
      <c r="E76" s="679">
        <v>71.1</v>
      </c>
      <c r="F76" s="673">
        <v>2.3</v>
      </c>
      <c r="G76" s="629"/>
      <c r="H76" s="629"/>
      <c r="I76" s="670">
        <v>12.0</v>
      </c>
      <c r="J76" s="671" t="s">
        <v>366</v>
      </c>
      <c r="K76" s="672"/>
      <c r="L76" s="658" t="s">
        <v>375</v>
      </c>
      <c r="M76" s="658">
        <v>8.3</v>
      </c>
      <c r="N76" s="674" t="s">
        <v>376</v>
      </c>
      <c r="O76" s="650"/>
    </row>
    <row r="77" ht="15.75" customHeight="1">
      <c r="A77" s="670">
        <v>13.0</v>
      </c>
      <c r="B77" s="671" t="s">
        <v>359</v>
      </c>
      <c r="C77" s="680"/>
      <c r="D77" s="658" t="s">
        <v>377</v>
      </c>
      <c r="E77" s="681">
        <v>60.0</v>
      </c>
      <c r="F77" s="673">
        <v>1.7</v>
      </c>
      <c r="G77" s="629"/>
      <c r="H77" s="629"/>
      <c r="I77" s="670">
        <v>13.0</v>
      </c>
      <c r="J77" s="671" t="s">
        <v>356</v>
      </c>
      <c r="K77" s="680"/>
      <c r="L77" s="658">
        <v>211.0</v>
      </c>
      <c r="M77" s="681">
        <v>4.3</v>
      </c>
      <c r="N77" s="675">
        <v>-1.9</v>
      </c>
      <c r="O77" s="650"/>
    </row>
    <row r="78" ht="15.75" customHeight="1">
      <c r="A78" s="670">
        <v>14.0</v>
      </c>
      <c r="B78" s="682" t="s">
        <v>356</v>
      </c>
      <c r="C78" s="683"/>
      <c r="D78" s="684">
        <v>40.0</v>
      </c>
      <c r="E78" s="684">
        <v>2.5</v>
      </c>
      <c r="F78" s="675">
        <v>-3.9</v>
      </c>
      <c r="G78" s="629"/>
      <c r="H78" s="629"/>
      <c r="I78" s="670">
        <v>14.0</v>
      </c>
      <c r="J78" s="682" t="s">
        <v>359</v>
      </c>
      <c r="K78" s="683"/>
      <c r="L78" s="684">
        <v>34.0</v>
      </c>
      <c r="M78" s="684">
        <v>2.9</v>
      </c>
      <c r="N78" s="674" t="s">
        <v>378</v>
      </c>
      <c r="O78" s="650"/>
    </row>
    <row r="79" ht="15.75" customHeight="1">
      <c r="A79" s="663"/>
      <c r="B79" s="666" t="s">
        <v>361</v>
      </c>
      <c r="C79" s="667"/>
      <c r="D79" s="668" t="s">
        <v>333</v>
      </c>
      <c r="E79" s="685" t="s">
        <v>334</v>
      </c>
      <c r="F79" s="686" t="s">
        <v>335</v>
      </c>
      <c r="G79" s="629"/>
      <c r="H79" s="629"/>
      <c r="I79" s="663"/>
      <c r="J79" s="666" t="s">
        <v>361</v>
      </c>
      <c r="K79" s="667"/>
      <c r="L79" s="668" t="s">
        <v>333</v>
      </c>
      <c r="M79" s="685" t="s">
        <v>334</v>
      </c>
      <c r="N79" s="686" t="s">
        <v>335</v>
      </c>
      <c r="O79" s="650"/>
    </row>
    <row r="80" ht="15.75" customHeight="1">
      <c r="A80" s="663"/>
      <c r="B80" s="687" t="s">
        <v>362</v>
      </c>
      <c r="C80" s="688"/>
      <c r="D80" s="689">
        <v>42597.0</v>
      </c>
      <c r="E80" s="689">
        <v>74.4</v>
      </c>
      <c r="F80" s="690" t="s">
        <v>379</v>
      </c>
      <c r="G80" s="629"/>
      <c r="H80" s="629"/>
      <c r="I80" s="663"/>
      <c r="J80" s="687" t="s">
        <v>362</v>
      </c>
      <c r="K80" s="688"/>
      <c r="L80" s="689">
        <v>141435.0</v>
      </c>
      <c r="M80" s="689">
        <v>72.8</v>
      </c>
      <c r="N80" s="690" t="s">
        <v>380</v>
      </c>
      <c r="O80" s="650"/>
    </row>
    <row r="81" ht="15.75" customHeight="1">
      <c r="A81" s="650"/>
      <c r="B81" s="691"/>
      <c r="C81" s="650"/>
      <c r="D81" s="692"/>
      <c r="E81" s="692"/>
      <c r="F81" s="692"/>
      <c r="G81" s="650"/>
      <c r="H81" s="650"/>
      <c r="I81" s="693"/>
      <c r="J81" s="693"/>
      <c r="K81" s="694"/>
      <c r="L81" s="695"/>
      <c r="M81" s="695"/>
      <c r="N81" s="696"/>
      <c r="O81" s="650"/>
    </row>
    <row r="82" ht="15.75" customHeight="1">
      <c r="A82" s="650"/>
      <c r="B82" s="691"/>
      <c r="C82" s="650"/>
      <c r="D82" s="692"/>
      <c r="E82" s="692"/>
      <c r="F82" s="692"/>
      <c r="G82" s="650"/>
      <c r="H82" s="650"/>
      <c r="I82" s="693"/>
      <c r="J82" s="693"/>
      <c r="K82" s="694"/>
      <c r="L82" s="695"/>
      <c r="M82" s="695"/>
      <c r="N82" s="696"/>
      <c r="O82" s="650"/>
    </row>
    <row r="83" ht="15.75" customHeight="1">
      <c r="A83" s="650"/>
      <c r="B83" s="691"/>
      <c r="C83" s="650"/>
      <c r="D83" s="692"/>
      <c r="E83" s="692"/>
      <c r="F83" s="692"/>
      <c r="G83" s="650"/>
      <c r="H83" s="650"/>
      <c r="I83" s="693"/>
      <c r="J83" s="693"/>
      <c r="K83" s="694"/>
      <c r="L83" s="695"/>
      <c r="M83" s="695"/>
      <c r="N83" s="696"/>
      <c r="O83" s="650"/>
    </row>
    <row r="84" ht="15.75" customHeight="1">
      <c r="A84" s="650"/>
      <c r="B84" s="691"/>
      <c r="C84" s="650"/>
      <c r="D84" s="692"/>
      <c r="E84" s="692"/>
      <c r="F84" s="692"/>
      <c r="G84" s="650"/>
      <c r="H84" s="650"/>
      <c r="I84" s="693"/>
      <c r="J84" s="693"/>
      <c r="K84" s="694"/>
      <c r="L84" s="695"/>
      <c r="M84" s="695"/>
      <c r="N84" s="696"/>
      <c r="O84" s="650"/>
    </row>
    <row r="85" ht="15.75" customHeight="1">
      <c r="A85" s="650"/>
      <c r="B85" s="691"/>
      <c r="C85" s="650"/>
      <c r="D85" s="692"/>
      <c r="E85" s="692"/>
      <c r="F85" s="692"/>
      <c r="G85" s="650"/>
      <c r="H85" s="650"/>
      <c r="I85" s="693"/>
      <c r="J85" s="693"/>
      <c r="K85" s="694"/>
      <c r="L85" s="695"/>
      <c r="M85" s="695"/>
      <c r="N85" s="696"/>
      <c r="O85" s="650"/>
    </row>
    <row r="86" ht="15.75" customHeight="1">
      <c r="A86" s="650"/>
      <c r="B86" s="691"/>
      <c r="C86" s="650"/>
      <c r="D86" s="692"/>
      <c r="E86" s="692"/>
      <c r="F86" s="692"/>
      <c r="G86" s="650"/>
      <c r="H86" s="650"/>
      <c r="I86" s="693"/>
      <c r="J86" s="693"/>
      <c r="K86" s="694"/>
      <c r="L86" s="695"/>
      <c r="M86" s="695"/>
      <c r="N86" s="696"/>
      <c r="O86" s="650"/>
    </row>
    <row r="87" ht="15.75" customHeight="1">
      <c r="A87" s="650"/>
      <c r="B87" s="691"/>
      <c r="C87" s="650"/>
      <c r="D87" s="692"/>
      <c r="E87" s="692"/>
      <c r="F87" s="692"/>
      <c r="G87" s="650"/>
      <c r="H87" s="650"/>
      <c r="I87" s="693"/>
      <c r="J87" s="693"/>
      <c r="K87" s="694"/>
      <c r="L87" s="695"/>
      <c r="M87" s="695"/>
      <c r="N87" s="696"/>
      <c r="O87" s="650"/>
    </row>
    <row r="88" ht="15.75" customHeight="1">
      <c r="A88" s="650"/>
      <c r="B88" s="691"/>
      <c r="C88" s="650"/>
      <c r="D88" s="692"/>
      <c r="E88" s="692"/>
      <c r="F88" s="692"/>
      <c r="G88" s="650"/>
      <c r="H88" s="650"/>
      <c r="I88" s="693"/>
      <c r="J88" s="693"/>
      <c r="K88" s="694"/>
      <c r="L88" s="695"/>
      <c r="M88" s="695"/>
      <c r="N88" s="696"/>
      <c r="O88" s="650"/>
    </row>
    <row r="89" ht="15.75" customHeight="1">
      <c r="A89" s="650"/>
      <c r="B89" s="691"/>
      <c r="C89" s="650"/>
      <c r="D89" s="692"/>
      <c r="E89" s="692"/>
      <c r="F89" s="692"/>
      <c r="G89" s="650"/>
      <c r="H89" s="650"/>
      <c r="I89" s="697"/>
      <c r="J89" s="698"/>
      <c r="K89" s="699"/>
      <c r="L89" s="700"/>
      <c r="M89" s="700"/>
      <c r="N89" s="696"/>
      <c r="O89" s="628"/>
    </row>
  </sheetData>
  <mergeCells count="12">
    <mergeCell ref="B44:F44"/>
    <mergeCell ref="J44:N44"/>
    <mergeCell ref="E62:J62"/>
    <mergeCell ref="B63:F63"/>
    <mergeCell ref="J63:N63"/>
    <mergeCell ref="B1:O1"/>
    <mergeCell ref="B2:O3"/>
    <mergeCell ref="B5:G5"/>
    <mergeCell ref="B6:G6"/>
    <mergeCell ref="J6:O6"/>
    <mergeCell ref="J17:O17"/>
    <mergeCell ref="J27:O2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5.86"/>
    <col customWidth="1" min="4" max="4" width="23.14"/>
    <col customWidth="1" min="5" max="5" width="18.86"/>
    <col customWidth="1" min="6" max="6" width="16.71"/>
    <col customWidth="1" min="7" max="7" width="15.0"/>
    <col customWidth="1" min="8" max="11" width="3.71"/>
    <col customWidth="1" min="12" max="12" width="1.57"/>
    <col customWidth="1" min="13" max="14" width="5.86"/>
    <col customWidth="1" min="15" max="15" width="20.71"/>
    <col customWidth="1" min="16" max="16" width="15.29"/>
    <col customWidth="1" min="17" max="17" width="18.43"/>
    <col customWidth="1" min="18" max="18" width="14.0"/>
    <col customWidth="1" min="19" max="22" width="3.71"/>
  </cols>
  <sheetData>
    <row r="1" ht="15.75" customHeight="1">
      <c r="A1" s="701" t="s">
        <v>381</v>
      </c>
      <c r="B1" s="702">
        <v>46166.0</v>
      </c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4"/>
      <c r="S1" s="705"/>
      <c r="T1" s="705"/>
      <c r="U1" s="705"/>
      <c r="V1" s="706"/>
    </row>
    <row r="2" ht="51.0" customHeight="1">
      <c r="A2" s="707"/>
      <c r="B2" s="708">
        <v>46166.0</v>
      </c>
      <c r="C2" s="703"/>
      <c r="D2" s="703"/>
      <c r="E2" s="703"/>
      <c r="F2" s="703"/>
      <c r="G2" s="704"/>
      <c r="H2" s="709"/>
      <c r="I2" s="709"/>
      <c r="J2" s="709"/>
      <c r="K2" s="709"/>
      <c r="L2" s="710"/>
      <c r="M2" s="708">
        <v>46167.0</v>
      </c>
      <c r="N2" s="703"/>
      <c r="O2" s="703"/>
      <c r="P2" s="703"/>
      <c r="Q2" s="703"/>
      <c r="R2" s="704"/>
      <c r="S2" s="711"/>
      <c r="T2" s="711"/>
      <c r="U2" s="711"/>
      <c r="V2" s="712"/>
    </row>
    <row r="3" ht="15.75" customHeight="1">
      <c r="A3" s="713"/>
      <c r="B3" s="714" t="s">
        <v>4</v>
      </c>
      <c r="C3" s="715" t="s">
        <v>5</v>
      </c>
      <c r="D3" s="715" t="s">
        <v>6</v>
      </c>
      <c r="E3" s="715" t="s">
        <v>7</v>
      </c>
      <c r="F3" s="715" t="s">
        <v>8</v>
      </c>
      <c r="G3" s="715" t="s">
        <v>9</v>
      </c>
      <c r="H3" s="716" t="s">
        <v>10</v>
      </c>
      <c r="I3" s="716" t="s">
        <v>11</v>
      </c>
      <c r="J3" s="716" t="s">
        <v>12</v>
      </c>
      <c r="K3" s="717" t="s">
        <v>13</v>
      </c>
      <c r="L3" s="718"/>
      <c r="M3" s="719" t="s">
        <v>4</v>
      </c>
      <c r="N3" s="720" t="s">
        <v>5</v>
      </c>
      <c r="O3" s="721" t="s">
        <v>6</v>
      </c>
      <c r="P3" s="721" t="s">
        <v>7</v>
      </c>
      <c r="Q3" s="721" t="s">
        <v>8</v>
      </c>
      <c r="R3" s="722" t="s">
        <v>9</v>
      </c>
      <c r="S3" s="723" t="s">
        <v>10</v>
      </c>
      <c r="T3" s="724" t="s">
        <v>11</v>
      </c>
      <c r="U3" s="724" t="s">
        <v>12</v>
      </c>
      <c r="V3" s="725"/>
    </row>
    <row r="4" ht="15.75" customHeight="1">
      <c r="A4" s="36" t="s">
        <v>16</v>
      </c>
      <c r="B4" s="726" t="s">
        <v>17</v>
      </c>
      <c r="C4" s="47" t="s">
        <v>382</v>
      </c>
      <c r="D4" s="727" t="s">
        <v>30</v>
      </c>
      <c r="E4" s="728" t="s">
        <v>383</v>
      </c>
      <c r="F4" s="728" t="s">
        <v>32</v>
      </c>
      <c r="G4" s="729" t="s">
        <v>33</v>
      </c>
      <c r="H4" s="730" t="s">
        <v>51</v>
      </c>
      <c r="I4" s="731" t="s">
        <v>384</v>
      </c>
      <c r="J4" s="731" t="s">
        <v>385</v>
      </c>
      <c r="K4" s="732" t="s">
        <v>78</v>
      </c>
      <c r="L4" s="733" t="s">
        <v>37</v>
      </c>
      <c r="M4" s="734" t="s">
        <v>17</v>
      </c>
      <c r="N4" s="735" t="s">
        <v>269</v>
      </c>
      <c r="O4" s="48" t="s">
        <v>267</v>
      </c>
      <c r="P4" s="728"/>
      <c r="Q4" s="728" t="s">
        <v>386</v>
      </c>
      <c r="R4" s="149" t="s">
        <v>387</v>
      </c>
      <c r="S4" s="730" t="s">
        <v>16</v>
      </c>
      <c r="T4" s="731" t="s">
        <v>388</v>
      </c>
      <c r="U4" s="731" t="s">
        <v>153</v>
      </c>
      <c r="V4" s="736"/>
    </row>
    <row r="5" ht="15.75" customHeight="1">
      <c r="A5" s="49" t="s">
        <v>27</v>
      </c>
      <c r="B5" s="726" t="s">
        <v>28</v>
      </c>
      <c r="C5" s="38" t="s">
        <v>269</v>
      </c>
      <c r="D5" s="727"/>
      <c r="E5" s="41"/>
      <c r="F5" s="41"/>
      <c r="G5" s="42"/>
      <c r="H5" s="737"/>
      <c r="I5" s="738"/>
      <c r="J5" s="738"/>
      <c r="K5" s="739"/>
      <c r="L5" s="740"/>
      <c r="M5" s="741" t="s">
        <v>28</v>
      </c>
      <c r="N5" s="735"/>
      <c r="O5" s="41"/>
      <c r="P5" s="742"/>
      <c r="Q5" s="36"/>
      <c r="R5" s="729"/>
      <c r="S5" s="737"/>
      <c r="T5" s="738"/>
      <c r="U5" s="738"/>
      <c r="V5" s="736"/>
    </row>
    <row r="6" ht="15.75" customHeight="1">
      <c r="A6" s="49" t="s">
        <v>37</v>
      </c>
      <c r="B6" s="726" t="s">
        <v>38</v>
      </c>
      <c r="C6" s="38" t="s">
        <v>271</v>
      </c>
      <c r="D6" s="48"/>
      <c r="E6" s="1"/>
      <c r="F6" s="1"/>
      <c r="G6" s="50"/>
      <c r="H6" s="737"/>
      <c r="I6" s="738"/>
      <c r="J6" s="738"/>
      <c r="K6" s="739"/>
      <c r="L6" s="733" t="s">
        <v>16</v>
      </c>
      <c r="M6" s="734" t="s">
        <v>38</v>
      </c>
      <c r="N6" s="735"/>
      <c r="O6" s="41"/>
      <c r="P6" s="728"/>
      <c r="Q6" s="743"/>
      <c r="R6" s="744"/>
      <c r="S6" s="737"/>
      <c r="T6" s="738"/>
      <c r="U6" s="738"/>
      <c r="V6" s="736"/>
    </row>
    <row r="7" ht="15.75" customHeight="1">
      <c r="A7" s="49" t="s">
        <v>44</v>
      </c>
      <c r="B7" s="745" t="s">
        <v>45</v>
      </c>
      <c r="C7" s="90" t="s">
        <v>49</v>
      </c>
      <c r="D7" s="746"/>
      <c r="E7" s="747"/>
      <c r="F7" s="748"/>
      <c r="G7" s="749"/>
      <c r="H7" s="737"/>
      <c r="I7" s="738"/>
      <c r="J7" s="738"/>
      <c r="K7" s="739"/>
      <c r="L7" s="740"/>
      <c r="M7" s="750" t="s">
        <v>45</v>
      </c>
      <c r="N7" s="751" t="s">
        <v>48</v>
      </c>
      <c r="O7" s="752"/>
      <c r="P7" s="748"/>
      <c r="Q7" s="748"/>
      <c r="R7" s="753"/>
      <c r="S7" s="737"/>
      <c r="T7" s="738"/>
      <c r="U7" s="738"/>
      <c r="V7" s="736"/>
    </row>
    <row r="8" ht="15.75" customHeight="1">
      <c r="A8" s="49" t="s">
        <v>51</v>
      </c>
      <c r="B8" s="745" t="s">
        <v>52</v>
      </c>
      <c r="C8" s="94"/>
      <c r="D8" s="754"/>
      <c r="E8" s="747"/>
      <c r="F8" s="755"/>
      <c r="G8" s="98"/>
      <c r="H8" s="737"/>
      <c r="I8" s="738"/>
      <c r="J8" s="738"/>
      <c r="K8" s="739"/>
      <c r="L8" s="740"/>
      <c r="M8" s="750" t="s">
        <v>52</v>
      </c>
      <c r="N8" s="748" t="s">
        <v>55</v>
      </c>
      <c r="O8" s="91"/>
      <c r="P8" s="748"/>
      <c r="Q8" s="748"/>
      <c r="R8" s="753"/>
      <c r="S8" s="737"/>
      <c r="T8" s="738"/>
      <c r="U8" s="756"/>
      <c r="V8" s="736"/>
    </row>
    <row r="9" ht="15.75" customHeight="1">
      <c r="A9" s="36" t="s">
        <v>58</v>
      </c>
      <c r="B9" s="16" t="s">
        <v>59</v>
      </c>
      <c r="C9" s="120" t="s">
        <v>389</v>
      </c>
      <c r="D9" s="133" t="s">
        <v>93</v>
      </c>
      <c r="E9" s="49" t="s">
        <v>94</v>
      </c>
      <c r="F9" s="49" t="s">
        <v>390</v>
      </c>
      <c r="G9" s="49" t="s">
        <v>109</v>
      </c>
      <c r="H9" s="737"/>
      <c r="I9" s="738"/>
      <c r="J9" s="738"/>
      <c r="K9" s="739"/>
      <c r="L9" s="757"/>
      <c r="M9" s="758" t="s">
        <v>59</v>
      </c>
      <c r="N9" s="759" t="s">
        <v>391</v>
      </c>
      <c r="O9" s="104"/>
      <c r="P9" s="742"/>
      <c r="Q9" s="742"/>
      <c r="R9" s="760"/>
      <c r="S9" s="737"/>
      <c r="T9" s="738"/>
      <c r="U9" s="738"/>
      <c r="V9" s="736"/>
    </row>
    <row r="10" ht="15.75" customHeight="1">
      <c r="A10" s="36" t="s">
        <v>64</v>
      </c>
      <c r="B10" s="16" t="s">
        <v>65</v>
      </c>
      <c r="C10" s="120" t="s">
        <v>392</v>
      </c>
      <c r="D10" s="133" t="s">
        <v>119</v>
      </c>
      <c r="E10" s="397" t="s">
        <v>130</v>
      </c>
      <c r="F10" s="40" t="s">
        <v>131</v>
      </c>
      <c r="G10" s="84" t="s">
        <v>132</v>
      </c>
      <c r="H10" s="737" t="s">
        <v>58</v>
      </c>
      <c r="I10" s="738" t="s">
        <v>384</v>
      </c>
      <c r="J10" s="738" t="s">
        <v>385</v>
      </c>
      <c r="K10" s="739" t="s">
        <v>104</v>
      </c>
      <c r="L10" s="740"/>
      <c r="M10" s="761" t="s">
        <v>65</v>
      </c>
      <c r="N10" s="759" t="s">
        <v>393</v>
      </c>
      <c r="O10" s="104"/>
      <c r="P10" s="161"/>
      <c r="Q10" s="194"/>
      <c r="R10" s="762"/>
      <c r="S10" s="737"/>
      <c r="T10" s="738"/>
      <c r="U10" s="738"/>
      <c r="V10" s="736"/>
    </row>
    <row r="11" ht="15.75" customHeight="1">
      <c r="A11" s="36" t="s">
        <v>78</v>
      </c>
      <c r="B11" s="16" t="s">
        <v>79</v>
      </c>
      <c r="C11" s="120" t="s">
        <v>394</v>
      </c>
      <c r="D11" s="133" t="s">
        <v>139</v>
      </c>
      <c r="E11" s="40"/>
      <c r="F11" s="49" t="s">
        <v>395</v>
      </c>
      <c r="G11" s="50" t="s">
        <v>150</v>
      </c>
      <c r="H11" s="737" t="s">
        <v>78</v>
      </c>
      <c r="I11" s="738" t="s">
        <v>384</v>
      </c>
      <c r="J11" s="738" t="s">
        <v>385</v>
      </c>
      <c r="K11" s="739" t="s">
        <v>163</v>
      </c>
      <c r="L11" s="740"/>
      <c r="M11" s="761" t="s">
        <v>79</v>
      </c>
      <c r="N11" s="763" t="s">
        <v>396</v>
      </c>
      <c r="O11" s="104"/>
      <c r="P11" s="764"/>
      <c r="Q11" s="36"/>
      <c r="R11" s="765"/>
      <c r="S11" s="737"/>
      <c r="T11" s="738"/>
      <c r="U11" s="738"/>
      <c r="V11" s="736"/>
    </row>
    <row r="12" ht="15.75" customHeight="1">
      <c r="A12" s="36" t="s">
        <v>90</v>
      </c>
      <c r="B12" s="16" t="s">
        <v>91</v>
      </c>
      <c r="C12" s="120" t="s">
        <v>397</v>
      </c>
      <c r="D12" s="133" t="s">
        <v>293</v>
      </c>
      <c r="E12" s="728" t="s">
        <v>398</v>
      </c>
      <c r="F12" s="49" t="s">
        <v>399</v>
      </c>
      <c r="G12" s="766" t="s">
        <v>400</v>
      </c>
      <c r="H12" s="737" t="s">
        <v>58</v>
      </c>
      <c r="I12" s="738" t="s">
        <v>401</v>
      </c>
      <c r="J12" s="738"/>
      <c r="K12" s="739" t="s">
        <v>172</v>
      </c>
      <c r="L12" s="740"/>
      <c r="M12" s="761" t="s">
        <v>91</v>
      </c>
      <c r="N12" s="763" t="s">
        <v>402</v>
      </c>
      <c r="O12" s="104"/>
      <c r="P12" s="767"/>
      <c r="Q12" s="767"/>
      <c r="R12" s="768"/>
      <c r="S12" s="737"/>
      <c r="T12" s="738"/>
      <c r="U12" s="738"/>
      <c r="V12" s="736"/>
    </row>
    <row r="13" ht="15.75" customHeight="1">
      <c r="A13" s="36" t="s">
        <v>104</v>
      </c>
      <c r="B13" s="16" t="s">
        <v>105</v>
      </c>
      <c r="C13" s="120" t="s">
        <v>403</v>
      </c>
      <c r="D13" s="133" t="s">
        <v>144</v>
      </c>
      <c r="E13" s="40" t="s">
        <v>404</v>
      </c>
      <c r="F13" s="49" t="s">
        <v>405</v>
      </c>
      <c r="G13" s="148" t="s">
        <v>406</v>
      </c>
      <c r="H13" s="737" t="s">
        <v>51</v>
      </c>
      <c r="I13" s="738" t="s">
        <v>384</v>
      </c>
      <c r="J13" s="738" t="s">
        <v>385</v>
      </c>
      <c r="K13" s="739" t="s">
        <v>127</v>
      </c>
      <c r="L13" s="740"/>
      <c r="M13" s="758" t="s">
        <v>105</v>
      </c>
      <c r="N13" s="763" t="s">
        <v>407</v>
      </c>
      <c r="O13" s="104"/>
      <c r="P13" s="36"/>
      <c r="Q13" s="36"/>
      <c r="R13" s="765"/>
      <c r="S13" s="737"/>
      <c r="T13" s="738"/>
      <c r="U13" s="738"/>
      <c r="V13" s="736"/>
    </row>
    <row r="14" ht="15.75" customHeight="1">
      <c r="A14" s="36" t="s">
        <v>116</v>
      </c>
      <c r="B14" s="16" t="s">
        <v>117</v>
      </c>
      <c r="C14" s="120" t="s">
        <v>408</v>
      </c>
      <c r="D14" s="133"/>
      <c r="E14" s="743"/>
      <c r="F14" s="36"/>
      <c r="G14" s="729"/>
      <c r="H14" s="737"/>
      <c r="I14" s="738"/>
      <c r="J14" s="738"/>
      <c r="K14" s="739"/>
      <c r="L14" s="740"/>
      <c r="M14" s="761" t="s">
        <v>117</v>
      </c>
      <c r="N14" s="763" t="s">
        <v>409</v>
      </c>
      <c r="O14" s="104"/>
      <c r="P14" s="769"/>
      <c r="Q14" s="742"/>
      <c r="R14" s="765"/>
      <c r="S14" s="737"/>
      <c r="T14" s="738"/>
      <c r="U14" s="738"/>
      <c r="V14" s="736"/>
    </row>
    <row r="15" ht="15.75" customHeight="1">
      <c r="A15" s="36" t="s">
        <v>127</v>
      </c>
      <c r="B15" s="16" t="s">
        <v>128</v>
      </c>
      <c r="C15" s="120" t="s">
        <v>410</v>
      </c>
      <c r="D15" s="133"/>
      <c r="E15" s="49"/>
      <c r="F15" s="49"/>
      <c r="G15" s="760"/>
      <c r="H15" s="770"/>
      <c r="I15" s="738"/>
      <c r="J15" s="771"/>
      <c r="K15" s="772"/>
      <c r="L15" s="740"/>
      <c r="M15" s="758" t="s">
        <v>128</v>
      </c>
      <c r="N15" s="763" t="s">
        <v>411</v>
      </c>
      <c r="O15" s="104"/>
      <c r="P15" s="769"/>
      <c r="Q15" s="767"/>
      <c r="R15" s="765"/>
      <c r="S15" s="770"/>
      <c r="T15" s="738"/>
      <c r="U15" s="738"/>
      <c r="V15" s="736"/>
    </row>
    <row r="16" ht="15.75" customHeight="1">
      <c r="A16" s="36" t="s">
        <v>136</v>
      </c>
      <c r="B16" s="16" t="s">
        <v>137</v>
      </c>
      <c r="C16" s="120" t="s">
        <v>412</v>
      </c>
      <c r="D16" s="133"/>
      <c r="E16" s="728"/>
      <c r="F16" s="728"/>
      <c r="G16" s="729"/>
      <c r="H16" s="737"/>
      <c r="I16" s="738"/>
      <c r="J16" s="738"/>
      <c r="K16" s="739"/>
      <c r="L16" s="773"/>
      <c r="M16" s="758" t="s">
        <v>137</v>
      </c>
      <c r="N16" s="763" t="s">
        <v>413</v>
      </c>
      <c r="O16" s="104"/>
      <c r="P16" s="774"/>
      <c r="Q16" s="728"/>
      <c r="R16" s="775"/>
      <c r="S16" s="737"/>
      <c r="T16" s="738"/>
      <c r="U16" s="738"/>
      <c r="V16" s="736"/>
    </row>
    <row r="17" ht="15.75" customHeight="1">
      <c r="A17" s="36" t="s">
        <v>145</v>
      </c>
      <c r="B17" s="16" t="s">
        <v>146</v>
      </c>
      <c r="C17" s="120" t="s">
        <v>414</v>
      </c>
      <c r="D17" s="133"/>
      <c r="E17" s="776"/>
      <c r="F17" s="769"/>
      <c r="G17" s="777"/>
      <c r="H17" s="737"/>
      <c r="I17" s="738"/>
      <c r="J17" s="738"/>
      <c r="K17" s="739"/>
      <c r="L17" s="778"/>
      <c r="M17" s="779" t="s">
        <v>146</v>
      </c>
      <c r="N17" s="780" t="s">
        <v>152</v>
      </c>
      <c r="O17" s="133" t="s">
        <v>72</v>
      </c>
      <c r="P17" s="774" t="s">
        <v>73</v>
      </c>
      <c r="Q17" s="728" t="s">
        <v>415</v>
      </c>
      <c r="R17" s="765" t="s">
        <v>416</v>
      </c>
      <c r="S17" s="737" t="s">
        <v>44</v>
      </c>
      <c r="T17" s="738" t="s">
        <v>384</v>
      </c>
      <c r="U17" s="738" t="s">
        <v>145</v>
      </c>
      <c r="V17" s="736"/>
    </row>
    <row r="18" ht="15.75" customHeight="1">
      <c r="A18" s="36" t="s">
        <v>153</v>
      </c>
      <c r="B18" s="16" t="s">
        <v>154</v>
      </c>
      <c r="C18" s="120" t="s">
        <v>417</v>
      </c>
      <c r="D18" s="133"/>
      <c r="E18" s="1"/>
      <c r="F18" s="36"/>
      <c r="G18" s="729"/>
      <c r="H18" s="315"/>
      <c r="I18" s="738"/>
      <c r="J18" s="738"/>
      <c r="K18" s="739"/>
      <c r="L18" s="778"/>
      <c r="M18" s="779" t="s">
        <v>154</v>
      </c>
      <c r="N18" s="759" t="s">
        <v>161</v>
      </c>
      <c r="O18" s="133" t="s">
        <v>98</v>
      </c>
      <c r="P18" s="49" t="s">
        <v>418</v>
      </c>
      <c r="Q18" s="49" t="s">
        <v>100</v>
      </c>
      <c r="R18" s="132" t="s">
        <v>101</v>
      </c>
      <c r="S18" s="770"/>
      <c r="T18" s="771" t="s">
        <v>388</v>
      </c>
      <c r="U18" s="771">
        <v>13.0</v>
      </c>
      <c r="V18" s="781"/>
    </row>
    <row r="19" ht="15.75" customHeight="1">
      <c r="A19" s="36" t="s">
        <v>163</v>
      </c>
      <c r="B19" s="16" t="s">
        <v>164</v>
      </c>
      <c r="C19" s="120" t="s">
        <v>419</v>
      </c>
      <c r="D19" s="133"/>
      <c r="E19" s="774"/>
      <c r="F19" s="728"/>
      <c r="G19" s="729"/>
      <c r="H19" s="737"/>
      <c r="I19" s="738"/>
      <c r="J19" s="738"/>
      <c r="K19" s="739"/>
      <c r="L19" s="778"/>
      <c r="M19" s="779" t="s">
        <v>164</v>
      </c>
      <c r="N19" s="780" t="s">
        <v>170</v>
      </c>
      <c r="O19" s="133" t="s">
        <v>270</v>
      </c>
      <c r="P19" s="189" t="s">
        <v>420</v>
      </c>
      <c r="Q19" s="782" t="s">
        <v>421</v>
      </c>
      <c r="R19" s="783" t="s">
        <v>422</v>
      </c>
      <c r="S19" s="737"/>
      <c r="T19" s="738" t="s">
        <v>388</v>
      </c>
      <c r="U19" s="738" t="s">
        <v>163</v>
      </c>
      <c r="V19" s="736"/>
    </row>
    <row r="20" ht="15.75" customHeight="1">
      <c r="A20" s="36" t="s">
        <v>172</v>
      </c>
      <c r="B20" s="16" t="s">
        <v>173</v>
      </c>
      <c r="C20" s="120" t="s">
        <v>423</v>
      </c>
      <c r="D20" s="133"/>
      <c r="E20" s="728"/>
      <c r="F20" s="728"/>
      <c r="G20" s="729"/>
      <c r="H20" s="737"/>
      <c r="I20" s="738"/>
      <c r="J20" s="738"/>
      <c r="K20" s="739"/>
      <c r="L20" s="778"/>
      <c r="M20" s="784" t="s">
        <v>173</v>
      </c>
      <c r="N20" s="780" t="s">
        <v>180</v>
      </c>
      <c r="O20" s="133" t="s">
        <v>124</v>
      </c>
      <c r="P20" s="1" t="s">
        <v>424</v>
      </c>
      <c r="Q20" s="36" t="s">
        <v>425</v>
      </c>
      <c r="R20" s="148" t="s">
        <v>426</v>
      </c>
      <c r="S20" s="737" t="s">
        <v>64</v>
      </c>
      <c r="T20" s="738" t="s">
        <v>427</v>
      </c>
      <c r="U20" s="738" t="s">
        <v>210</v>
      </c>
      <c r="V20" s="736"/>
    </row>
    <row r="21" ht="15.75" customHeight="1">
      <c r="A21" s="36" t="s">
        <v>182</v>
      </c>
      <c r="B21" s="16" t="s">
        <v>187</v>
      </c>
      <c r="C21" s="120" t="s">
        <v>428</v>
      </c>
      <c r="D21" s="133"/>
      <c r="E21" s="728"/>
      <c r="F21" s="774"/>
      <c r="G21" s="785"/>
      <c r="H21" s="786"/>
      <c r="I21" s="738"/>
      <c r="J21" s="738"/>
      <c r="K21" s="739"/>
      <c r="L21" s="778"/>
      <c r="M21" s="779" t="s">
        <v>187</v>
      </c>
      <c r="N21" s="780" t="s">
        <v>189</v>
      </c>
      <c r="O21" s="133" t="s">
        <v>67</v>
      </c>
      <c r="P21" s="787" t="s">
        <v>429</v>
      </c>
      <c r="Q21" s="1" t="s">
        <v>82</v>
      </c>
      <c r="R21" s="148" t="s">
        <v>83</v>
      </c>
      <c r="S21" s="788">
        <v>6.0</v>
      </c>
      <c r="T21" s="738" t="s">
        <v>401</v>
      </c>
      <c r="U21" s="738" t="s">
        <v>136</v>
      </c>
      <c r="V21" s="736"/>
    </row>
    <row r="22" ht="15.75" customHeight="1">
      <c r="A22" s="36" t="s">
        <v>191</v>
      </c>
      <c r="B22" s="16" t="s">
        <v>192</v>
      </c>
      <c r="C22" s="120" t="s">
        <v>430</v>
      </c>
      <c r="D22" s="133"/>
      <c r="E22" s="728"/>
      <c r="F22" s="36"/>
      <c r="G22" s="789"/>
      <c r="H22" s="737"/>
      <c r="I22" s="738"/>
      <c r="J22" s="738"/>
      <c r="K22" s="739"/>
      <c r="L22" s="778"/>
      <c r="M22" s="790" t="s">
        <v>192</v>
      </c>
      <c r="N22" s="763" t="s">
        <v>199</v>
      </c>
      <c r="O22" s="104"/>
      <c r="P22" s="1"/>
      <c r="Q22" s="728"/>
      <c r="R22" s="186"/>
      <c r="S22" s="737"/>
      <c r="T22" s="738"/>
      <c r="U22" s="738"/>
      <c r="V22" s="736"/>
    </row>
    <row r="23" ht="15.75" customHeight="1">
      <c r="A23" s="36" t="s">
        <v>201</v>
      </c>
      <c r="B23" s="199" t="s">
        <v>202</v>
      </c>
      <c r="C23" s="120" t="s">
        <v>431</v>
      </c>
      <c r="D23" s="141"/>
      <c r="E23" s="36"/>
      <c r="F23" s="36"/>
      <c r="G23" s="766"/>
      <c r="H23" s="737"/>
      <c r="I23" s="738"/>
      <c r="J23" s="738"/>
      <c r="K23" s="791"/>
      <c r="L23" s="778"/>
      <c r="M23" s="790" t="s">
        <v>202</v>
      </c>
      <c r="N23" s="792" t="s">
        <v>208</v>
      </c>
      <c r="O23" s="104"/>
      <c r="P23" s="728"/>
      <c r="Q23" s="728"/>
      <c r="R23" s="729"/>
      <c r="S23" s="737"/>
      <c r="T23" s="738"/>
      <c r="U23" s="738"/>
      <c r="V23" s="736"/>
    </row>
    <row r="24" ht="15.75" customHeight="1">
      <c r="A24" s="36" t="s">
        <v>210</v>
      </c>
      <c r="B24" s="16" t="s">
        <v>211</v>
      </c>
      <c r="C24" s="120" t="s">
        <v>432</v>
      </c>
      <c r="D24" s="133"/>
      <c r="E24" s="769"/>
      <c r="F24" s="769"/>
      <c r="G24" s="785"/>
      <c r="H24" s="737"/>
      <c r="I24" s="738"/>
      <c r="J24" s="738"/>
      <c r="K24" s="791"/>
      <c r="L24" s="778"/>
      <c r="M24" s="790" t="s">
        <v>211</v>
      </c>
      <c r="N24" s="792" t="s">
        <v>218</v>
      </c>
      <c r="O24" s="104"/>
      <c r="P24" s="742"/>
      <c r="Q24" s="36"/>
      <c r="R24" s="783"/>
      <c r="S24" s="737"/>
      <c r="T24" s="738"/>
      <c r="U24" s="738"/>
      <c r="V24" s="736"/>
    </row>
    <row r="25" ht="15.75" customHeight="1">
      <c r="A25" s="36" t="s">
        <v>220</v>
      </c>
      <c r="B25" s="16" t="s">
        <v>221</v>
      </c>
      <c r="C25" s="135" t="s">
        <v>433</v>
      </c>
      <c r="D25" s="133"/>
      <c r="E25" s="728"/>
      <c r="F25" s="36"/>
      <c r="G25" s="789"/>
      <c r="H25" s="737"/>
      <c r="I25" s="738"/>
      <c r="J25" s="738"/>
      <c r="K25" s="739"/>
      <c r="L25" s="778"/>
      <c r="M25" s="790" t="s">
        <v>221</v>
      </c>
      <c r="N25" s="792" t="s">
        <v>228</v>
      </c>
      <c r="O25" s="104"/>
      <c r="P25" s="774"/>
      <c r="Q25" s="728"/>
      <c r="R25" s="793"/>
      <c r="S25" s="756"/>
      <c r="T25" s="738"/>
      <c r="U25" s="738"/>
      <c r="V25" s="736"/>
    </row>
    <row r="26" ht="15.75" customHeight="1">
      <c r="A26" s="36" t="s">
        <v>231</v>
      </c>
      <c r="B26" s="199" t="s">
        <v>232</v>
      </c>
      <c r="C26" s="120" t="s">
        <v>434</v>
      </c>
      <c r="D26" s="104"/>
      <c r="E26" s="194"/>
      <c r="F26" s="40"/>
      <c r="G26" s="84"/>
      <c r="H26" s="737"/>
      <c r="I26" s="738"/>
      <c r="J26" s="738"/>
      <c r="K26" s="791"/>
      <c r="L26" s="778"/>
      <c r="M26" s="790" t="s">
        <v>232</v>
      </c>
      <c r="N26" s="792" t="s">
        <v>236</v>
      </c>
      <c r="O26" s="104"/>
      <c r="P26" s="794"/>
      <c r="Q26" s="36"/>
      <c r="R26" s="729"/>
      <c r="S26" s="315"/>
      <c r="T26" s="738"/>
      <c r="U26" s="738"/>
      <c r="V26" s="736"/>
    </row>
    <row r="27" ht="15.75" customHeight="1">
      <c r="A27" s="36" t="s">
        <v>238</v>
      </c>
      <c r="B27" s="795" t="s">
        <v>239</v>
      </c>
      <c r="C27" s="796" t="s">
        <v>435</v>
      </c>
      <c r="D27" s="220" t="s">
        <v>241</v>
      </c>
      <c r="E27" s="797" t="s">
        <v>436</v>
      </c>
      <c r="F27" s="798" t="s">
        <v>437</v>
      </c>
      <c r="G27" s="799" t="s">
        <v>438</v>
      </c>
      <c r="H27" s="737" t="s">
        <v>44</v>
      </c>
      <c r="I27" s="738" t="s">
        <v>384</v>
      </c>
      <c r="J27" s="738" t="s">
        <v>385</v>
      </c>
      <c r="K27" s="791" t="s">
        <v>182</v>
      </c>
      <c r="L27" s="778"/>
      <c r="M27" s="800" t="s">
        <v>239</v>
      </c>
      <c r="N27" s="796" t="s">
        <v>240</v>
      </c>
      <c r="O27" s="215" t="s">
        <v>249</v>
      </c>
      <c r="P27" s="797" t="s">
        <v>250</v>
      </c>
      <c r="Q27" s="798" t="s">
        <v>251</v>
      </c>
      <c r="R27" s="799" t="s">
        <v>252</v>
      </c>
      <c r="S27" s="737" t="s">
        <v>51</v>
      </c>
      <c r="T27" s="738" t="s">
        <v>388</v>
      </c>
      <c r="U27" s="738" t="s">
        <v>116</v>
      </c>
      <c r="V27" s="736"/>
    </row>
    <row r="28" ht="15.75" customHeight="1">
      <c r="A28" s="36" t="s">
        <v>246</v>
      </c>
      <c r="B28" s="801" t="s">
        <v>247</v>
      </c>
      <c r="C28" s="802"/>
      <c r="D28" s="803"/>
      <c r="E28" s="804"/>
      <c r="F28" s="805"/>
      <c r="G28" s="806"/>
      <c r="H28" s="807"/>
      <c r="I28" s="808"/>
      <c r="J28" s="808"/>
      <c r="K28" s="809"/>
      <c r="L28" s="740"/>
      <c r="M28" s="810" t="s">
        <v>247</v>
      </c>
      <c r="N28" s="802"/>
      <c r="O28" s="803"/>
      <c r="P28" s="804"/>
      <c r="Q28" s="805"/>
      <c r="R28" s="806"/>
      <c r="S28" s="737"/>
      <c r="T28" s="738"/>
      <c r="U28" s="738"/>
      <c r="V28" s="736"/>
    </row>
    <row r="29" ht="64.5" customHeight="1">
      <c r="A29" s="811"/>
      <c r="B29" s="812" t="s">
        <v>439</v>
      </c>
      <c r="L29" s="813"/>
      <c r="M29" s="812" t="s">
        <v>440</v>
      </c>
    </row>
    <row r="30" ht="15.75" customHeight="1">
      <c r="A30" s="811"/>
      <c r="L30" s="814"/>
    </row>
    <row r="31" ht="18.0" customHeight="1">
      <c r="A31" s="811"/>
      <c r="L31" s="814"/>
    </row>
    <row r="32" ht="33.0" customHeight="1">
      <c r="A32" s="811"/>
      <c r="L32" s="814"/>
    </row>
    <row r="33" ht="15.75" customHeight="1">
      <c r="A33" s="815"/>
      <c r="B33" s="816"/>
      <c r="C33" s="817"/>
      <c r="D33" s="818" t="s">
        <v>266</v>
      </c>
      <c r="E33" s="818" t="s">
        <v>441</v>
      </c>
      <c r="F33" s="818" t="s">
        <v>442</v>
      </c>
      <c r="G33" s="818"/>
      <c r="H33" s="819"/>
      <c r="I33" s="819"/>
      <c r="J33" s="819"/>
      <c r="K33" s="819"/>
      <c r="L33" s="820"/>
      <c r="M33" s="821"/>
      <c r="N33" s="317"/>
      <c r="O33" s="822"/>
      <c r="V33" s="822"/>
    </row>
    <row r="34" ht="15.75" customHeight="1">
      <c r="A34" s="811"/>
      <c r="B34" s="823"/>
      <c r="C34" s="312"/>
      <c r="D34" s="824"/>
      <c r="E34" s="824"/>
      <c r="F34" s="824"/>
      <c r="G34" s="824"/>
      <c r="H34" s="819"/>
      <c r="I34" s="819"/>
      <c r="J34" s="819"/>
      <c r="K34" s="819"/>
      <c r="L34" s="821"/>
      <c r="M34" s="821"/>
      <c r="N34" s="821"/>
      <c r="O34" s="825"/>
      <c r="P34" s="822"/>
      <c r="Q34" s="822"/>
      <c r="R34" s="822"/>
      <c r="S34" s="822"/>
      <c r="T34" s="822"/>
      <c r="U34" s="822"/>
      <c r="V34" s="822"/>
    </row>
    <row r="35">
      <c r="A35" s="811"/>
      <c r="B35" s="826">
        <v>1.0</v>
      </c>
      <c r="C35" s="334"/>
      <c r="D35" s="335" t="s">
        <v>144</v>
      </c>
      <c r="E35" s="827">
        <v>1.0</v>
      </c>
      <c r="F35" s="828"/>
      <c r="G35" s="161"/>
      <c r="H35" s="829"/>
      <c r="I35" s="829"/>
      <c r="J35" s="829"/>
      <c r="K35" s="829"/>
      <c r="L35" s="821"/>
      <c r="M35" s="830"/>
      <c r="N35" s="821"/>
      <c r="O35" s="830"/>
      <c r="P35" s="821"/>
      <c r="Q35" s="821"/>
      <c r="R35" s="821"/>
      <c r="S35" s="821"/>
      <c r="T35" s="821"/>
      <c r="U35" s="821"/>
      <c r="V35" s="821"/>
    </row>
    <row r="36" ht="15.75" customHeight="1">
      <c r="A36" s="811"/>
      <c r="B36" s="826">
        <v>2.0</v>
      </c>
      <c r="C36" s="334"/>
      <c r="D36" s="335" t="s">
        <v>72</v>
      </c>
      <c r="E36" s="827">
        <v>1.0</v>
      </c>
      <c r="F36" s="828"/>
      <c r="G36" s="156"/>
      <c r="H36" s="829"/>
      <c r="I36" s="829"/>
      <c r="J36" s="829"/>
      <c r="K36" s="829"/>
      <c r="L36" s="821"/>
      <c r="M36" s="821"/>
      <c r="N36" s="821"/>
      <c r="O36" s="821"/>
      <c r="P36" s="831"/>
      <c r="Q36" s="831"/>
      <c r="R36" s="831"/>
      <c r="S36" s="831"/>
      <c r="T36" s="831"/>
      <c r="U36" s="831"/>
      <c r="V36" s="831"/>
    </row>
    <row r="37" ht="15.75" customHeight="1">
      <c r="A37" s="811"/>
      <c r="B37" s="826">
        <v>3.0</v>
      </c>
      <c r="C37" s="334"/>
      <c r="D37" s="335" t="s">
        <v>98</v>
      </c>
      <c r="E37" s="832">
        <v>1.0</v>
      </c>
      <c r="F37" s="828"/>
      <c r="G37" s="156"/>
      <c r="H37" s="829"/>
      <c r="I37" s="829"/>
      <c r="J37" s="829"/>
      <c r="K37" s="829"/>
      <c r="L37" s="821"/>
      <c r="M37" s="821"/>
      <c r="N37" s="821"/>
      <c r="O37" s="833"/>
      <c r="P37" s="831"/>
      <c r="Q37" s="834"/>
      <c r="R37" s="831"/>
      <c r="S37" s="831"/>
      <c r="T37" s="831"/>
      <c r="U37" s="831"/>
      <c r="V37" s="831"/>
    </row>
    <row r="38" ht="15.75" customHeight="1">
      <c r="A38" s="811"/>
      <c r="B38" s="826">
        <v>4.0</v>
      </c>
      <c r="C38" s="334"/>
      <c r="D38" s="335" t="s">
        <v>270</v>
      </c>
      <c r="E38" s="832">
        <v>1.0</v>
      </c>
      <c r="F38" s="835"/>
      <c r="G38" s="156"/>
      <c r="H38" s="829"/>
      <c r="I38" s="829"/>
      <c r="J38" s="829"/>
      <c r="K38" s="829"/>
      <c r="L38" s="821"/>
      <c r="M38" s="821"/>
      <c r="N38" s="821"/>
      <c r="O38" s="821"/>
      <c r="P38" s="821"/>
      <c r="Q38" s="834"/>
      <c r="R38" s="836"/>
      <c r="S38" s="836"/>
      <c r="T38" s="836"/>
      <c r="U38" s="836"/>
      <c r="V38" s="836"/>
    </row>
    <row r="39" ht="15.0" customHeight="1">
      <c r="A39" s="811"/>
      <c r="B39" s="826">
        <v>5.0</v>
      </c>
      <c r="C39" s="334"/>
      <c r="D39" s="335" t="s">
        <v>124</v>
      </c>
      <c r="E39" s="832">
        <v>1.0</v>
      </c>
      <c r="F39" s="835"/>
      <c r="G39" s="156"/>
      <c r="H39" s="829"/>
      <c r="I39" s="829"/>
      <c r="J39" s="829"/>
      <c r="K39" s="829"/>
      <c r="L39" s="833"/>
      <c r="M39" s="833"/>
      <c r="N39" s="833"/>
      <c r="O39" s="833"/>
      <c r="P39" s="833"/>
      <c r="Q39" s="834"/>
      <c r="R39" s="836"/>
      <c r="S39" s="836"/>
      <c r="T39" s="836"/>
      <c r="U39" s="836"/>
      <c r="V39" s="836"/>
    </row>
    <row r="40" ht="15.75" customHeight="1">
      <c r="A40" s="811"/>
      <c r="B40" s="837">
        <v>6.0</v>
      </c>
      <c r="C40" s="334"/>
      <c r="D40" s="370" t="s">
        <v>67</v>
      </c>
      <c r="E40" s="832">
        <v>1.0</v>
      </c>
      <c r="F40" s="835"/>
      <c r="G40" s="838"/>
      <c r="H40" s="829"/>
      <c r="I40" s="829"/>
      <c r="J40" s="829"/>
      <c r="K40" s="829"/>
      <c r="L40" s="834"/>
      <c r="M40" s="834"/>
      <c r="N40" s="834"/>
      <c r="O40" s="834"/>
      <c r="P40" s="834"/>
      <c r="Q40" s="836"/>
      <c r="R40" s="836"/>
      <c r="S40" s="836"/>
      <c r="T40" s="836"/>
      <c r="U40" s="836"/>
      <c r="V40" s="836"/>
    </row>
    <row r="41" ht="15.75" customHeight="1">
      <c r="A41" s="811"/>
      <c r="B41" s="837">
        <v>7.0</v>
      </c>
      <c r="C41" s="334"/>
      <c r="D41" s="370" t="s">
        <v>93</v>
      </c>
      <c r="E41" s="832">
        <v>1.0</v>
      </c>
      <c r="F41" s="828"/>
      <c r="G41" s="838"/>
      <c r="H41" s="829"/>
      <c r="I41" s="829"/>
      <c r="J41" s="829"/>
      <c r="K41" s="829"/>
      <c r="L41" s="834"/>
      <c r="M41" s="834"/>
      <c r="N41" s="839"/>
      <c r="O41" s="834"/>
      <c r="P41" s="834"/>
      <c r="Q41" s="834"/>
      <c r="R41" s="834"/>
      <c r="S41" s="834"/>
      <c r="T41" s="834"/>
      <c r="U41" s="834"/>
      <c r="V41" s="834"/>
    </row>
    <row r="42" ht="15.75" customHeight="1">
      <c r="A42" s="811"/>
      <c r="B42" s="837">
        <v>8.0</v>
      </c>
      <c r="C42" s="334"/>
      <c r="D42" s="370" t="s">
        <v>119</v>
      </c>
      <c r="E42" s="832">
        <v>1.0</v>
      </c>
      <c r="F42" s="835"/>
      <c r="G42" s="838"/>
      <c r="H42" s="829"/>
      <c r="I42" s="829"/>
      <c r="J42" s="829"/>
      <c r="K42" s="829"/>
      <c r="L42" s="834"/>
      <c r="M42" s="834"/>
      <c r="N42" s="834"/>
      <c r="O42" s="834"/>
      <c r="P42" s="834"/>
      <c r="Q42" s="834"/>
      <c r="R42" s="833"/>
      <c r="S42" s="833"/>
      <c r="T42" s="833"/>
      <c r="U42" s="833"/>
      <c r="V42" s="833"/>
    </row>
    <row r="43" ht="15.75" customHeight="1">
      <c r="A43" s="811"/>
      <c r="B43" s="837">
        <v>9.0</v>
      </c>
      <c r="C43" s="334"/>
      <c r="D43" s="370" t="s">
        <v>139</v>
      </c>
      <c r="E43" s="832">
        <v>1.0</v>
      </c>
      <c r="F43" s="828"/>
      <c r="G43" s="838"/>
      <c r="H43" s="829"/>
      <c r="I43" s="829"/>
      <c r="J43" s="829"/>
      <c r="K43" s="829"/>
      <c r="L43" s="834"/>
      <c r="M43" s="834"/>
      <c r="N43" s="834"/>
      <c r="O43" s="834"/>
      <c r="P43" s="834"/>
      <c r="Q43" s="834"/>
      <c r="R43" s="834"/>
      <c r="S43" s="834"/>
      <c r="T43" s="834"/>
      <c r="U43" s="834"/>
      <c r="V43" s="834"/>
    </row>
    <row r="44" ht="15.75" customHeight="1">
      <c r="A44" s="811"/>
      <c r="B44" s="837">
        <v>10.0</v>
      </c>
      <c r="C44" s="334"/>
      <c r="D44" s="370" t="s">
        <v>293</v>
      </c>
      <c r="E44" s="827">
        <v>1.0</v>
      </c>
      <c r="F44" s="835"/>
      <c r="G44" s="838"/>
      <c r="H44" s="829"/>
      <c r="I44" s="829"/>
      <c r="J44" s="829"/>
      <c r="K44" s="829"/>
      <c r="L44" s="834"/>
      <c r="M44" s="834"/>
      <c r="N44" s="834"/>
      <c r="O44" s="834"/>
      <c r="P44" s="834"/>
      <c r="Q44" s="834"/>
      <c r="R44" s="834"/>
      <c r="S44" s="834"/>
      <c r="T44" s="834"/>
      <c r="U44" s="834"/>
      <c r="V44" s="834"/>
    </row>
    <row r="45" ht="15.75" customHeight="1">
      <c r="A45" s="811"/>
      <c r="B45" s="840">
        <v>11.0</v>
      </c>
      <c r="C45" s="334"/>
      <c r="D45" s="841"/>
      <c r="E45" s="827"/>
      <c r="F45" s="835"/>
      <c r="G45" s="827"/>
      <c r="H45" s="842"/>
      <c r="I45" s="842"/>
      <c r="J45" s="842"/>
      <c r="K45" s="842"/>
      <c r="L45" s="834"/>
      <c r="M45" s="834"/>
      <c r="N45" s="834"/>
      <c r="O45" s="834"/>
      <c r="P45" s="834"/>
      <c r="Q45" s="834"/>
      <c r="R45" s="834"/>
      <c r="S45" s="834"/>
      <c r="T45" s="834"/>
      <c r="U45" s="834"/>
      <c r="V45" s="834"/>
    </row>
    <row r="46" ht="15.75" customHeight="1">
      <c r="A46" s="811"/>
      <c r="B46" s="843">
        <v>12.0</v>
      </c>
      <c r="C46" s="334"/>
      <c r="D46" s="844"/>
      <c r="E46" s="41"/>
      <c r="F46" s="835"/>
      <c r="G46" s="845"/>
      <c r="H46" s="846"/>
      <c r="I46" s="846"/>
      <c r="J46" s="846"/>
      <c r="K46" s="846"/>
      <c r="L46" s="834"/>
      <c r="M46" s="834"/>
      <c r="N46" s="834"/>
      <c r="O46" s="834"/>
      <c r="P46" s="834"/>
      <c r="Q46" s="834"/>
      <c r="R46" s="834"/>
      <c r="S46" s="834"/>
      <c r="T46" s="834"/>
      <c r="U46" s="834"/>
      <c r="V46" s="834"/>
    </row>
    <row r="47" ht="15.75" customHeight="1">
      <c r="A47" s="811"/>
      <c r="B47" s="843">
        <v>13.0</v>
      </c>
      <c r="C47" s="334"/>
      <c r="D47" s="844"/>
      <c r="E47" s="41"/>
      <c r="F47" s="835"/>
      <c r="G47" s="845"/>
      <c r="H47" s="846"/>
      <c r="I47" s="846"/>
      <c r="J47" s="846"/>
      <c r="K47" s="846"/>
      <c r="L47" s="834"/>
      <c r="M47" s="834"/>
      <c r="N47" s="834"/>
      <c r="O47" s="834"/>
      <c r="P47" s="834"/>
      <c r="Q47" s="834"/>
      <c r="R47" s="834"/>
      <c r="S47" s="834"/>
      <c r="T47" s="834"/>
      <c r="U47" s="834"/>
      <c r="V47" s="834"/>
    </row>
    <row r="48" ht="15.75" customHeight="1">
      <c r="A48" s="811"/>
      <c r="B48" s="843">
        <v>14.0</v>
      </c>
      <c r="C48" s="334"/>
      <c r="D48" s="844"/>
      <c r="E48" s="41"/>
      <c r="F48" s="835"/>
      <c r="G48" s="845"/>
      <c r="H48" s="846"/>
      <c r="I48" s="846"/>
      <c r="J48" s="846"/>
      <c r="K48" s="846"/>
      <c r="L48" s="834"/>
      <c r="M48" s="834"/>
      <c r="N48" s="834"/>
      <c r="O48" s="834"/>
      <c r="P48" s="834"/>
      <c r="Q48" s="834"/>
      <c r="R48" s="834"/>
      <c r="S48" s="834"/>
      <c r="T48" s="834"/>
      <c r="U48" s="834"/>
      <c r="V48" s="834"/>
    </row>
    <row r="49" ht="15.75" customHeight="1">
      <c r="A49" s="811"/>
      <c r="B49" s="843">
        <v>15.0</v>
      </c>
      <c r="C49" s="334"/>
      <c r="D49" s="844"/>
      <c r="E49" s="41"/>
      <c r="F49" s="835"/>
      <c r="G49" s="845"/>
      <c r="H49" s="846"/>
      <c r="I49" s="846"/>
      <c r="J49" s="846"/>
      <c r="K49" s="846"/>
      <c r="L49" s="834"/>
      <c r="M49" s="834"/>
      <c r="N49" s="834"/>
      <c r="O49" s="834"/>
      <c r="P49" s="834"/>
      <c r="Q49" s="834"/>
      <c r="R49" s="834"/>
      <c r="S49" s="834"/>
      <c r="T49" s="834"/>
      <c r="U49" s="834"/>
      <c r="V49" s="834"/>
    </row>
    <row r="50" ht="15.75" customHeight="1">
      <c r="A50" s="811"/>
      <c r="B50" s="847" t="s">
        <v>443</v>
      </c>
      <c r="C50" s="848"/>
      <c r="D50" s="848"/>
      <c r="E50" s="848"/>
      <c r="F50" s="848"/>
      <c r="G50" s="817"/>
      <c r="H50" s="849"/>
      <c r="I50" s="849"/>
      <c r="J50" s="849"/>
      <c r="K50" s="849"/>
      <c r="L50" s="834"/>
      <c r="M50" s="834"/>
      <c r="N50" s="834"/>
      <c r="O50" s="834"/>
      <c r="P50" s="834"/>
      <c r="Q50" s="834"/>
      <c r="R50" s="834"/>
      <c r="S50" s="834"/>
      <c r="T50" s="834"/>
      <c r="U50" s="834"/>
      <c r="V50" s="834"/>
    </row>
    <row r="51">
      <c r="A51" s="811"/>
      <c r="B51" s="823"/>
      <c r="C51" s="308"/>
      <c r="D51" s="308"/>
      <c r="E51" s="308"/>
      <c r="F51" s="308"/>
      <c r="G51" s="312"/>
      <c r="H51" s="849"/>
      <c r="I51" s="849"/>
      <c r="J51" s="849"/>
      <c r="K51" s="849"/>
      <c r="L51" s="834"/>
      <c r="M51" s="834"/>
      <c r="N51" s="834"/>
      <c r="O51" s="834"/>
      <c r="P51" s="834"/>
      <c r="Q51" s="834"/>
      <c r="R51" s="834"/>
      <c r="S51" s="834"/>
      <c r="T51" s="834"/>
      <c r="U51" s="834"/>
      <c r="V51" s="834"/>
    </row>
    <row r="52" ht="15.75" customHeight="1">
      <c r="A52" s="850"/>
      <c r="B52" s="851">
        <v>1.0</v>
      </c>
      <c r="C52" s="334"/>
      <c r="D52" s="852" t="s">
        <v>267</v>
      </c>
      <c r="E52" s="827">
        <v>1.0</v>
      </c>
      <c r="F52" s="853"/>
      <c r="G52" s="854"/>
      <c r="H52" s="855"/>
      <c r="I52" s="855"/>
      <c r="J52" s="855"/>
      <c r="K52" s="855"/>
      <c r="L52" s="856"/>
      <c r="M52" s="856"/>
      <c r="N52" s="856"/>
      <c r="O52" s="856"/>
      <c r="P52" s="856"/>
      <c r="Q52" s="856"/>
      <c r="R52" s="856"/>
      <c r="S52" s="856"/>
      <c r="T52" s="856"/>
      <c r="U52" s="856"/>
      <c r="V52" s="856"/>
    </row>
    <row r="53" ht="15.75" customHeight="1">
      <c r="A53" s="850"/>
      <c r="B53" s="851">
        <v>2.0</v>
      </c>
      <c r="C53" s="334"/>
      <c r="D53" s="857" t="s">
        <v>30</v>
      </c>
      <c r="E53" s="827">
        <v>1.0</v>
      </c>
      <c r="F53" s="853"/>
      <c r="G53" s="854"/>
      <c r="H53" s="855"/>
      <c r="I53" s="855"/>
      <c r="J53" s="855"/>
      <c r="K53" s="855"/>
      <c r="L53" s="856"/>
      <c r="M53" s="856"/>
      <c r="N53" s="856"/>
      <c r="O53" s="856"/>
      <c r="P53" s="856"/>
      <c r="Q53" s="856"/>
      <c r="R53" s="856"/>
      <c r="S53" s="856"/>
      <c r="T53" s="856"/>
      <c r="U53" s="856"/>
      <c r="V53" s="856"/>
    </row>
    <row r="54" ht="15.75" customHeight="1">
      <c r="A54" s="811"/>
      <c r="B54" s="858">
        <v>3.0</v>
      </c>
      <c r="C54" s="334"/>
      <c r="D54" s="859"/>
      <c r="E54" s="827"/>
      <c r="F54" s="853"/>
      <c r="G54" s="854"/>
      <c r="H54" s="855"/>
      <c r="I54" s="855"/>
      <c r="J54" s="855"/>
      <c r="K54" s="855"/>
      <c r="L54" s="834"/>
      <c r="M54" s="834"/>
      <c r="N54" s="834"/>
      <c r="O54" s="834"/>
      <c r="P54" s="834"/>
      <c r="Q54" s="834"/>
      <c r="R54" s="834"/>
      <c r="S54" s="834"/>
      <c r="T54" s="834"/>
      <c r="U54" s="834"/>
      <c r="V54" s="834"/>
    </row>
    <row r="55" ht="15.75" customHeight="1">
      <c r="A55" s="811"/>
      <c r="B55" s="847" t="s">
        <v>444</v>
      </c>
      <c r="C55" s="848"/>
      <c r="D55" s="848"/>
      <c r="E55" s="848"/>
      <c r="F55" s="848"/>
      <c r="G55" s="817"/>
      <c r="H55" s="855"/>
      <c r="I55" s="855"/>
      <c r="J55" s="855"/>
      <c r="K55" s="855"/>
      <c r="L55" s="834"/>
      <c r="M55" s="834"/>
      <c r="N55" s="834"/>
      <c r="O55" s="834"/>
      <c r="P55" s="834"/>
      <c r="Q55" s="834"/>
      <c r="R55" s="834"/>
      <c r="S55" s="834"/>
      <c r="T55" s="834"/>
      <c r="U55" s="834"/>
      <c r="V55" s="834"/>
    </row>
    <row r="56" ht="15.75" customHeight="1">
      <c r="A56" s="811"/>
      <c r="B56" s="823"/>
      <c r="C56" s="308"/>
      <c r="D56" s="308"/>
      <c r="E56" s="308"/>
      <c r="F56" s="308"/>
      <c r="G56" s="312"/>
      <c r="H56" s="855"/>
      <c r="I56" s="855"/>
      <c r="J56" s="855"/>
      <c r="K56" s="855"/>
      <c r="L56" s="834"/>
      <c r="M56" s="834"/>
      <c r="N56" s="834"/>
      <c r="O56" s="834"/>
      <c r="P56" s="834"/>
      <c r="Q56" s="834"/>
      <c r="R56" s="834"/>
      <c r="S56" s="834"/>
      <c r="T56" s="834"/>
      <c r="U56" s="834"/>
      <c r="V56" s="834"/>
    </row>
    <row r="57" ht="15.75" customHeight="1">
      <c r="A57" s="811"/>
      <c r="B57" s="860">
        <v>1.0</v>
      </c>
      <c r="C57" s="334"/>
      <c r="D57" s="220" t="s">
        <v>241</v>
      </c>
      <c r="E57" s="827">
        <v>1.0</v>
      </c>
      <c r="F57" s="853"/>
      <c r="G57" s="861"/>
      <c r="H57" s="819"/>
      <c r="I57" s="819"/>
      <c r="J57" s="819"/>
      <c r="K57" s="819"/>
      <c r="L57" s="834"/>
      <c r="M57" s="834"/>
      <c r="N57" s="834"/>
    </row>
    <row r="58" ht="15.75" customHeight="1">
      <c r="A58" s="811"/>
      <c r="B58" s="860">
        <v>2.0</v>
      </c>
      <c r="C58" s="334"/>
      <c r="D58" s="862" t="s">
        <v>249</v>
      </c>
      <c r="E58" s="827">
        <v>1.0</v>
      </c>
      <c r="F58" s="853"/>
      <c r="G58" s="863"/>
      <c r="H58" s="864"/>
      <c r="I58" s="864"/>
      <c r="J58" s="864"/>
      <c r="K58" s="864"/>
      <c r="L58" s="834"/>
      <c r="M58" s="834"/>
      <c r="N58" s="834"/>
    </row>
    <row r="59" ht="15.75" customHeight="1">
      <c r="A59" s="865"/>
      <c r="B59" s="866"/>
      <c r="C59" s="334"/>
      <c r="D59" s="867"/>
      <c r="E59" s="868"/>
      <c r="F59" s="868"/>
      <c r="G59" s="845"/>
      <c r="H59" s="846"/>
      <c r="I59" s="846"/>
      <c r="J59" s="846"/>
      <c r="K59" s="846"/>
      <c r="L59" s="836"/>
      <c r="M59" s="836"/>
      <c r="N59" s="836"/>
      <c r="O59" s="869"/>
      <c r="P59" s="870"/>
      <c r="S59" s="870"/>
      <c r="T59" s="870"/>
      <c r="U59" s="870"/>
      <c r="V59" s="870"/>
    </row>
    <row r="60" ht="15.75" customHeight="1">
      <c r="A60" s="811"/>
      <c r="B60" s="847" t="s">
        <v>445</v>
      </c>
      <c r="C60" s="848"/>
      <c r="D60" s="848"/>
      <c r="E60" s="848"/>
      <c r="F60" s="848"/>
      <c r="G60" s="817"/>
      <c r="H60" s="871"/>
      <c r="I60" s="871"/>
      <c r="J60" s="871"/>
      <c r="K60" s="871"/>
      <c r="L60" s="834"/>
      <c r="M60" s="834"/>
      <c r="N60" s="834"/>
      <c r="O60" s="834"/>
      <c r="P60" s="834"/>
      <c r="Q60" s="834"/>
      <c r="R60" s="834"/>
      <c r="S60" s="834"/>
      <c r="T60" s="834"/>
      <c r="U60" s="834"/>
      <c r="V60" s="834"/>
    </row>
    <row r="61" ht="15.75" customHeight="1">
      <c r="A61" s="865"/>
      <c r="B61" s="823"/>
      <c r="C61" s="308"/>
      <c r="D61" s="308"/>
      <c r="E61" s="308"/>
      <c r="F61" s="308"/>
      <c r="G61" s="312"/>
      <c r="H61" s="864"/>
      <c r="I61" s="864"/>
      <c r="J61" s="864"/>
      <c r="K61" s="864"/>
      <c r="L61" s="836"/>
      <c r="M61" s="836"/>
      <c r="N61" s="872"/>
      <c r="O61" s="869"/>
      <c r="P61" s="873"/>
      <c r="S61" s="873"/>
      <c r="T61" s="873"/>
      <c r="U61" s="873"/>
      <c r="V61" s="873"/>
    </row>
    <row r="62" ht="15.75" customHeight="1">
      <c r="A62" s="865"/>
      <c r="B62" s="874">
        <v>1.0</v>
      </c>
      <c r="C62" s="334"/>
      <c r="D62" s="754" t="s">
        <v>54</v>
      </c>
      <c r="E62" s="875"/>
      <c r="F62" s="876"/>
      <c r="G62" s="845"/>
      <c r="H62" s="846"/>
      <c r="I62" s="846"/>
      <c r="J62" s="846"/>
      <c r="K62" s="846"/>
      <c r="L62" s="836"/>
      <c r="M62" s="836"/>
      <c r="N62" s="836"/>
      <c r="O62" s="869"/>
      <c r="P62" s="877" t="s">
        <v>446</v>
      </c>
      <c r="S62" s="877"/>
      <c r="T62" s="877"/>
      <c r="U62" s="877"/>
      <c r="V62" s="877"/>
    </row>
    <row r="63" ht="15.75" customHeight="1">
      <c r="A63" s="865"/>
      <c r="B63" s="874">
        <v>2.0</v>
      </c>
      <c r="C63" s="334"/>
      <c r="D63" s="878"/>
      <c r="E63" s="827"/>
      <c r="F63" s="853"/>
      <c r="G63" s="845"/>
      <c r="H63" s="846"/>
      <c r="I63" s="846"/>
      <c r="J63" s="846"/>
      <c r="K63" s="846"/>
      <c r="L63" s="836"/>
      <c r="M63" s="836"/>
      <c r="N63" s="836"/>
      <c r="O63" s="869"/>
      <c r="P63" s="879"/>
      <c r="S63" s="879"/>
      <c r="T63" s="879"/>
      <c r="U63" s="879"/>
      <c r="V63" s="879"/>
    </row>
    <row r="64" ht="15.75" customHeight="1">
      <c r="A64" s="865"/>
      <c r="B64" s="866"/>
      <c r="C64" s="334"/>
      <c r="D64" s="867"/>
      <c r="E64" s="868"/>
      <c r="F64" s="868"/>
      <c r="G64" s="845"/>
      <c r="H64" s="846"/>
      <c r="I64" s="846"/>
      <c r="J64" s="846"/>
      <c r="K64" s="846"/>
      <c r="L64" s="836"/>
      <c r="M64" s="836"/>
      <c r="N64" s="836"/>
      <c r="O64" s="836"/>
      <c r="P64" s="836"/>
      <c r="Q64" s="834"/>
      <c r="R64" s="834"/>
      <c r="S64" s="834"/>
      <c r="T64" s="834"/>
      <c r="U64" s="834"/>
      <c r="V64" s="834"/>
    </row>
    <row r="65" ht="15.75" customHeight="1">
      <c r="A65" s="880"/>
      <c r="B65" s="881" t="s">
        <v>281</v>
      </c>
      <c r="C65" s="334"/>
      <c r="D65" s="882"/>
      <c r="E65" s="883">
        <f>SUM(E35:E64)</f>
        <v>14</v>
      </c>
      <c r="F65" s="883">
        <f>SUM(F35:F61)</f>
        <v>0</v>
      </c>
      <c r="G65" s="884"/>
      <c r="H65" s="885"/>
      <c r="I65" s="885"/>
      <c r="J65" s="885"/>
      <c r="K65" s="885"/>
      <c r="L65" s="886"/>
      <c r="M65" s="886"/>
      <c r="N65" s="886"/>
      <c r="O65" s="886"/>
      <c r="P65" s="886"/>
      <c r="Q65" s="887"/>
      <c r="R65" s="887"/>
      <c r="S65" s="887"/>
      <c r="T65" s="887"/>
      <c r="U65" s="887"/>
      <c r="V65" s="887"/>
    </row>
    <row r="66" ht="15.75" customHeight="1">
      <c r="A66" s="811"/>
      <c r="B66" s="811"/>
      <c r="C66" s="811"/>
      <c r="D66" s="811"/>
      <c r="E66" s="811"/>
      <c r="F66" s="811"/>
      <c r="G66" s="888"/>
      <c r="H66" s="888"/>
      <c r="I66" s="888"/>
      <c r="J66" s="888"/>
      <c r="K66" s="888"/>
      <c r="L66" s="834"/>
      <c r="M66" s="834"/>
      <c r="N66" s="834"/>
      <c r="O66" s="834"/>
      <c r="P66" s="834"/>
      <c r="Q66" s="834"/>
      <c r="R66" s="834"/>
      <c r="S66" s="834"/>
      <c r="T66" s="834"/>
      <c r="U66" s="834"/>
      <c r="V66" s="834"/>
    </row>
    <row r="67" ht="15.75" customHeight="1">
      <c r="A67" s="811"/>
      <c r="B67" s="811"/>
      <c r="C67" s="811"/>
      <c r="D67" s="889"/>
      <c r="E67" s="890"/>
      <c r="F67" s="890"/>
      <c r="G67" s="890"/>
      <c r="H67" s="890"/>
      <c r="I67" s="890"/>
      <c r="J67" s="890"/>
      <c r="K67" s="890"/>
      <c r="L67" s="834"/>
      <c r="M67" s="834"/>
      <c r="N67" s="834"/>
      <c r="O67" s="834"/>
      <c r="P67" s="834"/>
      <c r="Q67" s="834"/>
      <c r="R67" s="834"/>
      <c r="S67" s="834"/>
      <c r="T67" s="834"/>
      <c r="U67" s="834"/>
      <c r="V67" s="83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Q73" s="891" t="s">
        <v>299</v>
      </c>
    </row>
  </sheetData>
  <mergeCells count="43">
    <mergeCell ref="B47:C47"/>
    <mergeCell ref="B48:C48"/>
    <mergeCell ref="B49:C49"/>
    <mergeCell ref="B50:G51"/>
    <mergeCell ref="B52:C52"/>
    <mergeCell ref="B53:C53"/>
    <mergeCell ref="B54:C54"/>
    <mergeCell ref="B55:G56"/>
    <mergeCell ref="B57:C57"/>
    <mergeCell ref="B58:C58"/>
    <mergeCell ref="B59:C59"/>
    <mergeCell ref="B60:G61"/>
    <mergeCell ref="B62:C62"/>
    <mergeCell ref="B63:C63"/>
    <mergeCell ref="M29:V32"/>
    <mergeCell ref="O33:U33"/>
    <mergeCell ref="B1:R1"/>
    <mergeCell ref="B2:G2"/>
    <mergeCell ref="M2:R2"/>
    <mergeCell ref="B29:K32"/>
    <mergeCell ref="B33:C34"/>
    <mergeCell ref="D33:D34"/>
    <mergeCell ref="G33:G34"/>
    <mergeCell ref="E33:E34"/>
    <mergeCell ref="F33:F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P61:R61"/>
    <mergeCell ref="P62:R62"/>
    <mergeCell ref="P59:R59"/>
    <mergeCell ref="P63:R63"/>
    <mergeCell ref="B64:C64"/>
    <mergeCell ref="B65:C65"/>
  </mergeCells>
  <conditionalFormatting sqref="L34:L36 M35:Q35">
    <cfRule type="notContainsBlanks" dxfId="0" priority="1">
      <formula>LEN(TRIM(L34))&gt;0</formula>
    </cfRule>
  </conditionalFormatting>
  <printOptions gridLines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8.71"/>
    <col customWidth="1" min="3" max="8" width="14.43"/>
    <col customWidth="1" min="10" max="10" width="7.29"/>
    <col customWidth="1" min="11" max="11" width="28.71"/>
  </cols>
  <sheetData>
    <row r="1" ht="32.25" customHeight="1">
      <c r="A1" s="892"/>
      <c r="B1" s="893" t="s">
        <v>447</v>
      </c>
      <c r="C1" s="894"/>
      <c r="D1" s="894"/>
      <c r="E1" s="894"/>
      <c r="F1" s="894"/>
      <c r="G1" s="894"/>
      <c r="H1" s="895"/>
      <c r="J1" s="896"/>
      <c r="K1" s="896"/>
      <c r="L1" s="896"/>
      <c r="M1" s="896"/>
      <c r="N1" s="896"/>
      <c r="O1" s="896"/>
      <c r="P1" s="896"/>
      <c r="Q1" s="896"/>
    </row>
    <row r="2" ht="32.25" customHeight="1">
      <c r="A2" s="897"/>
      <c r="B2" s="898" t="s">
        <v>448</v>
      </c>
      <c r="C2" s="899" t="s">
        <v>449</v>
      </c>
      <c r="D2" s="899" t="s">
        <v>450</v>
      </c>
      <c r="E2" s="899" t="s">
        <v>451</v>
      </c>
      <c r="F2" s="899" t="s">
        <v>452</v>
      </c>
      <c r="G2" s="899" t="s">
        <v>453</v>
      </c>
      <c r="H2" s="898" t="s">
        <v>454</v>
      </c>
      <c r="J2" s="896"/>
      <c r="K2" s="896"/>
      <c r="L2" s="896"/>
      <c r="M2" s="896"/>
      <c r="N2" s="896"/>
      <c r="O2" s="896"/>
      <c r="P2" s="896"/>
      <c r="Q2" s="896"/>
    </row>
    <row r="3">
      <c r="A3" s="900">
        <v>1.0</v>
      </c>
      <c r="B3" s="901" t="s">
        <v>98</v>
      </c>
      <c r="C3" s="902"/>
      <c r="D3" s="903"/>
      <c r="E3" s="904"/>
      <c r="F3" s="902"/>
      <c r="G3" s="905"/>
      <c r="H3" s="906"/>
      <c r="I3" s="907"/>
      <c r="J3" s="896">
        <f t="shared" ref="J3:J30" si="1">(H3-I3)</f>
        <v>0</v>
      </c>
      <c r="K3" s="896"/>
      <c r="L3" s="908"/>
      <c r="M3" s="896"/>
      <c r="N3" s="896"/>
      <c r="O3" s="896"/>
      <c r="P3" s="896"/>
      <c r="Q3" s="896"/>
    </row>
    <row r="4">
      <c r="A4" s="909">
        <v>2.0</v>
      </c>
      <c r="B4" s="910" t="s">
        <v>144</v>
      </c>
      <c r="C4" s="902"/>
      <c r="D4" s="911"/>
      <c r="E4" s="902"/>
      <c r="F4" s="902"/>
      <c r="G4" s="912"/>
      <c r="H4" s="906"/>
      <c r="I4" s="907"/>
      <c r="J4" s="896">
        <f t="shared" si="1"/>
        <v>0</v>
      </c>
      <c r="K4" s="908"/>
      <c r="L4" s="908"/>
      <c r="M4" s="896"/>
      <c r="N4" s="896"/>
      <c r="O4" s="896"/>
      <c r="P4" s="896"/>
      <c r="Q4" s="896"/>
    </row>
    <row r="5">
      <c r="A5" s="909">
        <v>3.0</v>
      </c>
      <c r="B5" s="913" t="s">
        <v>175</v>
      </c>
      <c r="C5" s="902"/>
      <c r="D5" s="911"/>
      <c r="E5" s="902"/>
      <c r="F5" s="902"/>
      <c r="G5" s="905"/>
      <c r="H5" s="906"/>
      <c r="I5" s="907"/>
      <c r="J5" s="896">
        <f t="shared" si="1"/>
        <v>0</v>
      </c>
      <c r="L5" s="914"/>
      <c r="M5" s="896"/>
      <c r="N5" s="896"/>
      <c r="O5" s="896"/>
      <c r="P5" s="896"/>
      <c r="Q5" s="896"/>
    </row>
    <row r="6">
      <c r="A6" s="909">
        <v>4.0</v>
      </c>
      <c r="B6" s="913" t="s">
        <v>316</v>
      </c>
      <c r="C6" s="902"/>
      <c r="D6" s="902"/>
      <c r="E6" s="902"/>
      <c r="F6" s="911"/>
      <c r="G6" s="905"/>
      <c r="H6" s="906"/>
      <c r="I6" s="907"/>
      <c r="J6" s="896">
        <f t="shared" si="1"/>
        <v>0</v>
      </c>
      <c r="L6" s="908"/>
      <c r="M6" s="896"/>
      <c r="N6" s="896"/>
      <c r="O6" s="896"/>
      <c r="P6" s="896"/>
      <c r="Q6" s="896"/>
    </row>
    <row r="7">
      <c r="A7" s="909">
        <v>5.0</v>
      </c>
      <c r="B7" s="913" t="s">
        <v>286</v>
      </c>
      <c r="C7" s="902"/>
      <c r="D7" s="902"/>
      <c r="E7" s="911"/>
      <c r="F7" s="902"/>
      <c r="G7" s="905"/>
      <c r="H7" s="906"/>
      <c r="I7" s="907"/>
      <c r="J7" s="896">
        <f t="shared" si="1"/>
        <v>0</v>
      </c>
      <c r="K7" s="896"/>
      <c r="L7" s="914"/>
      <c r="M7" s="896"/>
      <c r="N7" s="896"/>
      <c r="O7" s="896"/>
      <c r="P7" s="896"/>
      <c r="Q7" s="896"/>
    </row>
    <row r="8">
      <c r="A8" s="909">
        <v>6.0</v>
      </c>
      <c r="B8" s="913" t="s">
        <v>194</v>
      </c>
      <c r="C8" s="902"/>
      <c r="D8" s="902"/>
      <c r="E8" s="902"/>
      <c r="F8" s="902"/>
      <c r="G8" s="915"/>
      <c r="H8" s="906"/>
      <c r="I8" s="907"/>
      <c r="J8" s="896">
        <f t="shared" si="1"/>
        <v>0</v>
      </c>
      <c r="K8" s="896"/>
      <c r="L8" s="908"/>
      <c r="M8" s="896"/>
      <c r="N8" s="896"/>
      <c r="O8" s="896"/>
      <c r="P8" s="896"/>
      <c r="Q8" s="896"/>
    </row>
    <row r="9">
      <c r="A9" s="909">
        <v>7.0</v>
      </c>
      <c r="B9" s="913" t="s">
        <v>293</v>
      </c>
      <c r="C9" s="902"/>
      <c r="D9" s="902"/>
      <c r="E9" s="902"/>
      <c r="F9" s="911"/>
      <c r="G9" s="905"/>
      <c r="H9" s="906"/>
      <c r="I9" s="907"/>
      <c r="J9" s="896">
        <f t="shared" si="1"/>
        <v>0</v>
      </c>
      <c r="K9" s="908"/>
      <c r="L9" s="914"/>
      <c r="M9" s="896"/>
      <c r="N9" s="896"/>
      <c r="O9" s="896"/>
      <c r="P9" s="896"/>
      <c r="Q9" s="896"/>
    </row>
    <row r="10">
      <c r="A10" s="909">
        <v>8.0</v>
      </c>
      <c r="B10" s="913" t="s">
        <v>72</v>
      </c>
      <c r="C10" s="902"/>
      <c r="D10" s="902"/>
      <c r="E10" s="902"/>
      <c r="F10" s="902"/>
      <c r="G10" s="915"/>
      <c r="H10" s="906"/>
      <c r="I10" s="907"/>
      <c r="J10" s="896">
        <f t="shared" si="1"/>
        <v>0</v>
      </c>
      <c r="L10" s="914"/>
      <c r="M10" s="896"/>
      <c r="N10" s="896"/>
      <c r="O10" s="896"/>
      <c r="P10" s="896"/>
      <c r="Q10" s="896"/>
    </row>
    <row r="11">
      <c r="A11" s="909">
        <v>9.0</v>
      </c>
      <c r="B11" s="913" t="s">
        <v>276</v>
      </c>
      <c r="C11" s="902"/>
      <c r="D11" s="902"/>
      <c r="E11" s="911"/>
      <c r="F11" s="904"/>
      <c r="G11" s="905"/>
      <c r="H11" s="906"/>
      <c r="I11" s="907"/>
      <c r="J11" s="896">
        <f t="shared" si="1"/>
        <v>0</v>
      </c>
      <c r="L11" s="914"/>
      <c r="M11" s="896"/>
      <c r="N11" s="896"/>
      <c r="O11" s="896"/>
      <c r="P11" s="896"/>
      <c r="Q11" s="896"/>
    </row>
    <row r="12">
      <c r="A12" s="909">
        <v>10.0</v>
      </c>
      <c r="B12" s="913" t="s">
        <v>317</v>
      </c>
      <c r="C12" s="902"/>
      <c r="D12" s="902"/>
      <c r="E12" s="902"/>
      <c r="F12" s="911"/>
      <c r="G12" s="912"/>
      <c r="H12" s="906"/>
      <c r="I12" s="907"/>
      <c r="J12" s="896">
        <f t="shared" si="1"/>
        <v>0</v>
      </c>
      <c r="L12" s="914"/>
      <c r="M12" s="896"/>
      <c r="N12" s="896"/>
      <c r="O12" s="896"/>
      <c r="P12" s="896"/>
      <c r="Q12" s="896"/>
    </row>
    <row r="13">
      <c r="A13" s="909">
        <v>11.0</v>
      </c>
      <c r="B13" s="913" t="s">
        <v>312</v>
      </c>
      <c r="C13" s="902"/>
      <c r="D13" s="902"/>
      <c r="E13" s="902"/>
      <c r="F13" s="911"/>
      <c r="G13" s="905"/>
      <c r="H13" s="906"/>
      <c r="I13" s="907"/>
      <c r="J13" s="896">
        <f t="shared" si="1"/>
        <v>0</v>
      </c>
      <c r="K13" s="896"/>
      <c r="L13" s="908"/>
      <c r="M13" s="896"/>
      <c r="N13" s="896"/>
      <c r="O13" s="896"/>
      <c r="P13" s="896"/>
      <c r="Q13" s="896"/>
    </row>
    <row r="14">
      <c r="A14" s="909">
        <v>12.0</v>
      </c>
      <c r="B14" s="913" t="s">
        <v>302</v>
      </c>
      <c r="C14" s="902"/>
      <c r="D14" s="902"/>
      <c r="E14" s="902"/>
      <c r="F14" s="911"/>
      <c r="G14" s="905"/>
      <c r="H14" s="906"/>
      <c r="I14" s="907"/>
      <c r="J14" s="896">
        <f t="shared" si="1"/>
        <v>0</v>
      </c>
      <c r="K14" s="896"/>
      <c r="L14" s="914"/>
      <c r="M14" s="896"/>
      <c r="N14" s="896"/>
      <c r="O14" s="896"/>
      <c r="P14" s="896"/>
      <c r="Q14" s="896"/>
    </row>
    <row r="15">
      <c r="A15" s="909">
        <v>13.0</v>
      </c>
      <c r="B15" s="913" t="s">
        <v>274</v>
      </c>
      <c r="C15" s="911"/>
      <c r="D15" s="902"/>
      <c r="E15" s="902"/>
      <c r="F15" s="904"/>
      <c r="G15" s="905"/>
      <c r="H15" s="906"/>
      <c r="I15" s="907"/>
      <c r="J15" s="896">
        <f t="shared" si="1"/>
        <v>0</v>
      </c>
      <c r="K15" s="896"/>
      <c r="L15" s="914"/>
      <c r="M15" s="896"/>
      <c r="N15" s="896"/>
      <c r="O15" s="896"/>
      <c r="P15" s="896"/>
      <c r="Q15" s="896"/>
    </row>
    <row r="16">
      <c r="A16" s="909">
        <v>14.0</v>
      </c>
      <c r="B16" s="913" t="s">
        <v>93</v>
      </c>
      <c r="C16" s="902"/>
      <c r="D16" s="902"/>
      <c r="E16" s="911"/>
      <c r="F16" s="904"/>
      <c r="G16" s="905"/>
      <c r="H16" s="906"/>
      <c r="I16" s="907"/>
      <c r="J16" s="896">
        <f t="shared" si="1"/>
        <v>0</v>
      </c>
      <c r="K16" s="896"/>
      <c r="L16" s="908"/>
      <c r="M16" s="896"/>
      <c r="N16" s="896"/>
      <c r="O16" s="896"/>
      <c r="P16" s="896"/>
      <c r="Q16" s="896"/>
    </row>
    <row r="17">
      <c r="A17" s="909">
        <v>15.0</v>
      </c>
      <c r="B17" s="913" t="s">
        <v>455</v>
      </c>
      <c r="C17" s="902"/>
      <c r="D17" s="902"/>
      <c r="E17" s="902"/>
      <c r="F17" s="911"/>
      <c r="G17" s="905"/>
      <c r="H17" s="906"/>
      <c r="I17" s="907"/>
      <c r="J17" s="896">
        <f t="shared" si="1"/>
        <v>0</v>
      </c>
      <c r="K17" s="896"/>
      <c r="L17" s="908"/>
      <c r="M17" s="896"/>
      <c r="N17" s="896"/>
      <c r="O17" s="896"/>
      <c r="P17" s="896"/>
      <c r="Q17" s="896"/>
    </row>
    <row r="18">
      <c r="A18" s="909">
        <v>16.0</v>
      </c>
      <c r="B18" s="913" t="s">
        <v>309</v>
      </c>
      <c r="C18" s="904"/>
      <c r="D18" s="902"/>
      <c r="E18" s="902"/>
      <c r="F18" s="911"/>
      <c r="G18" s="905"/>
      <c r="H18" s="906"/>
      <c r="I18" s="907"/>
      <c r="J18" s="896">
        <f t="shared" si="1"/>
        <v>0</v>
      </c>
      <c r="K18" s="896"/>
      <c r="L18" s="914"/>
      <c r="M18" s="896"/>
      <c r="N18" s="896"/>
      <c r="O18" s="896"/>
      <c r="P18" s="896"/>
      <c r="Q18" s="896"/>
    </row>
    <row r="19">
      <c r="A19" s="909">
        <v>17.0</v>
      </c>
      <c r="B19" s="901" t="s">
        <v>213</v>
      </c>
      <c r="C19" s="904"/>
      <c r="D19" s="902"/>
      <c r="E19" s="902"/>
      <c r="F19" s="902"/>
      <c r="G19" s="915"/>
      <c r="H19" s="906"/>
      <c r="I19" s="907"/>
      <c r="J19" s="896">
        <f t="shared" si="1"/>
        <v>0</v>
      </c>
      <c r="K19" s="896"/>
      <c r="L19" s="908"/>
      <c r="M19" s="896"/>
      <c r="N19" s="896"/>
      <c r="O19" s="896"/>
      <c r="P19" s="896"/>
      <c r="Q19" s="896"/>
    </row>
    <row r="20">
      <c r="A20" s="909">
        <v>18.0</v>
      </c>
      <c r="B20" s="913" t="s">
        <v>283</v>
      </c>
      <c r="C20" s="902"/>
      <c r="D20" s="911"/>
      <c r="E20" s="902"/>
      <c r="F20" s="902"/>
      <c r="G20" s="905"/>
      <c r="H20" s="906"/>
      <c r="I20" s="907"/>
      <c r="J20" s="896">
        <f t="shared" si="1"/>
        <v>0</v>
      </c>
      <c r="K20" s="896"/>
      <c r="L20" s="914"/>
      <c r="M20" s="896"/>
      <c r="N20" s="896"/>
      <c r="O20" s="896"/>
      <c r="P20" s="896"/>
      <c r="Q20" s="896"/>
    </row>
    <row r="21">
      <c r="A21" s="909">
        <v>19.0</v>
      </c>
      <c r="B21" s="913" t="s">
        <v>139</v>
      </c>
      <c r="C21" s="911"/>
      <c r="D21" s="902"/>
      <c r="E21" s="902"/>
      <c r="F21" s="904"/>
      <c r="G21" s="905"/>
      <c r="H21" s="906"/>
      <c r="I21" s="907"/>
      <c r="J21" s="896">
        <f t="shared" si="1"/>
        <v>0</v>
      </c>
      <c r="K21" s="896"/>
      <c r="L21" s="908"/>
      <c r="M21" s="896"/>
      <c r="N21" s="896"/>
      <c r="O21" s="896"/>
      <c r="P21" s="896"/>
      <c r="Q21" s="896"/>
    </row>
    <row r="22">
      <c r="A22" s="909">
        <v>20.0</v>
      </c>
      <c r="B22" s="913" t="s">
        <v>456</v>
      </c>
      <c r="C22" s="902"/>
      <c r="D22" s="902"/>
      <c r="E22" s="902"/>
      <c r="F22" s="911"/>
      <c r="G22" s="912"/>
      <c r="H22" s="906"/>
      <c r="I22" s="907"/>
      <c r="J22" s="896">
        <f t="shared" si="1"/>
        <v>0</v>
      </c>
      <c r="L22" s="914"/>
      <c r="M22" s="896"/>
      <c r="N22" s="896"/>
      <c r="O22" s="896"/>
      <c r="P22" s="896"/>
      <c r="Q22" s="896"/>
    </row>
    <row r="23">
      <c r="A23" s="909">
        <v>21.0</v>
      </c>
      <c r="B23" s="913" t="s">
        <v>223</v>
      </c>
      <c r="C23" s="902"/>
      <c r="D23" s="902"/>
      <c r="E23" s="902"/>
      <c r="F23" s="902"/>
      <c r="G23" s="915"/>
      <c r="H23" s="906"/>
      <c r="I23" s="907"/>
      <c r="J23" s="896">
        <f t="shared" si="1"/>
        <v>0</v>
      </c>
      <c r="L23" s="908"/>
      <c r="M23" s="896"/>
      <c r="N23" s="896"/>
      <c r="O23" s="896"/>
      <c r="P23" s="896"/>
      <c r="Q23" s="896"/>
    </row>
    <row r="24">
      <c r="A24" s="909">
        <v>22.0</v>
      </c>
      <c r="B24" s="913" t="s">
        <v>234</v>
      </c>
      <c r="C24" s="902"/>
      <c r="D24" s="902"/>
      <c r="E24" s="902"/>
      <c r="F24" s="902"/>
      <c r="G24" s="915"/>
      <c r="H24" s="906"/>
      <c r="I24" s="907"/>
      <c r="J24" s="896">
        <f t="shared" si="1"/>
        <v>0</v>
      </c>
      <c r="L24" s="896"/>
      <c r="M24" s="896"/>
      <c r="N24" s="896"/>
      <c r="O24" s="896"/>
      <c r="P24" s="896"/>
      <c r="Q24" s="896"/>
    </row>
    <row r="25">
      <c r="A25" s="909">
        <v>23.0</v>
      </c>
      <c r="B25" s="901" t="s">
        <v>119</v>
      </c>
      <c r="C25" s="902"/>
      <c r="D25" s="911"/>
      <c r="E25" s="902"/>
      <c r="F25" s="902"/>
      <c r="G25" s="905"/>
      <c r="H25" s="906"/>
      <c r="I25" s="907"/>
      <c r="J25" s="896">
        <f t="shared" si="1"/>
        <v>0</v>
      </c>
      <c r="L25" s="896"/>
      <c r="M25" s="896"/>
      <c r="N25" s="896"/>
      <c r="O25" s="896"/>
      <c r="P25" s="896"/>
      <c r="Q25" s="896"/>
    </row>
    <row r="26">
      <c r="A26" s="909">
        <v>24.0</v>
      </c>
      <c r="B26" s="901" t="s">
        <v>156</v>
      </c>
      <c r="C26" s="902"/>
      <c r="D26" s="902"/>
      <c r="E26" s="902"/>
      <c r="F26" s="902"/>
      <c r="G26" s="915"/>
      <c r="H26" s="906"/>
      <c r="I26" s="907"/>
      <c r="J26" s="896">
        <f t="shared" si="1"/>
        <v>0</v>
      </c>
      <c r="K26" s="896"/>
      <c r="L26" s="896"/>
      <c r="M26" s="896"/>
      <c r="N26" s="896"/>
      <c r="O26" s="896"/>
      <c r="P26" s="896"/>
      <c r="Q26" s="896"/>
    </row>
    <row r="27">
      <c r="A27" s="909">
        <v>25.0</v>
      </c>
      <c r="B27" s="913" t="s">
        <v>292</v>
      </c>
      <c r="C27" s="902"/>
      <c r="D27" s="902"/>
      <c r="E27" s="911"/>
      <c r="F27" s="902"/>
      <c r="G27" s="905"/>
      <c r="H27" s="906"/>
      <c r="I27" s="907"/>
      <c r="J27" s="896">
        <f t="shared" si="1"/>
        <v>0</v>
      </c>
    </row>
    <row r="28">
      <c r="A28" s="909">
        <v>26.0</v>
      </c>
      <c r="B28" s="901" t="s">
        <v>67</v>
      </c>
      <c r="C28" s="902"/>
      <c r="D28" s="902"/>
      <c r="E28" s="911"/>
      <c r="F28" s="902"/>
      <c r="G28" s="905"/>
      <c r="H28" s="906"/>
      <c r="I28" s="907"/>
      <c r="J28" s="896">
        <f t="shared" si="1"/>
        <v>0</v>
      </c>
    </row>
    <row r="29">
      <c r="A29" s="909">
        <v>27.0</v>
      </c>
      <c r="B29" s="901" t="s">
        <v>124</v>
      </c>
      <c r="C29" s="902"/>
      <c r="D29" s="911"/>
      <c r="E29" s="902"/>
      <c r="F29" s="902"/>
      <c r="G29" s="905"/>
      <c r="H29" s="906"/>
      <c r="I29" s="907"/>
      <c r="J29" s="896">
        <f t="shared" si="1"/>
        <v>0</v>
      </c>
    </row>
    <row r="30">
      <c r="A30" s="909"/>
      <c r="B30" s="913"/>
      <c r="C30" s="902"/>
      <c r="D30" s="902"/>
      <c r="E30" s="902"/>
      <c r="F30" s="902"/>
      <c r="G30" s="905"/>
      <c r="H30" s="906"/>
      <c r="I30" s="907"/>
      <c r="J30" s="896">
        <f t="shared" si="1"/>
        <v>0</v>
      </c>
    </row>
    <row r="31">
      <c r="A31" s="909"/>
      <c r="B31" s="913"/>
      <c r="C31" s="916"/>
      <c r="D31" s="916"/>
      <c r="E31" s="916"/>
      <c r="F31" s="917"/>
      <c r="G31" s="918"/>
      <c r="H31" s="919"/>
      <c r="J31" s="896"/>
      <c r="K31" s="896"/>
    </row>
    <row r="32">
      <c r="B32" s="920"/>
      <c r="C32" s="921">
        <f t="shared" ref="C32:I32" si="2">SUM(C3:C31)</f>
        <v>0</v>
      </c>
      <c r="D32" s="921">
        <f t="shared" si="2"/>
        <v>0</v>
      </c>
      <c r="E32" s="921">
        <f t="shared" si="2"/>
        <v>0</v>
      </c>
      <c r="F32" s="921">
        <f t="shared" si="2"/>
        <v>0</v>
      </c>
      <c r="G32" s="921">
        <f t="shared" si="2"/>
        <v>0</v>
      </c>
      <c r="H32" s="921">
        <f t="shared" si="2"/>
        <v>0</v>
      </c>
      <c r="I32" s="921">
        <f t="shared" si="2"/>
        <v>0</v>
      </c>
      <c r="J32" s="896">
        <f>(H32-I32)</f>
        <v>0</v>
      </c>
      <c r="K32" s="896"/>
    </row>
    <row r="33">
      <c r="B33" s="920"/>
      <c r="J33" s="896"/>
      <c r="K33" s="896"/>
    </row>
    <row r="34">
      <c r="B34" s="922" t="s">
        <v>457</v>
      </c>
      <c r="C34" s="923"/>
      <c r="D34" s="923"/>
      <c r="E34" s="923"/>
      <c r="F34" s="923"/>
      <c r="G34" s="923"/>
      <c r="H34" s="924"/>
      <c r="J34" s="896"/>
    </row>
    <row r="35">
      <c r="B35" s="925"/>
      <c r="C35" s="926"/>
      <c r="D35" s="926"/>
      <c r="E35" s="926"/>
      <c r="F35" s="926"/>
      <c r="G35" s="926"/>
      <c r="H35" s="927"/>
      <c r="J35" s="896"/>
    </row>
    <row r="36">
      <c r="B36" s="898" t="s">
        <v>448</v>
      </c>
      <c r="C36" s="899" t="s">
        <v>449</v>
      </c>
      <c r="D36" s="899" t="s">
        <v>450</v>
      </c>
      <c r="E36" s="899" t="s">
        <v>451</v>
      </c>
      <c r="F36" s="899" t="s">
        <v>452</v>
      </c>
      <c r="G36" s="899" t="s">
        <v>453</v>
      </c>
      <c r="H36" s="898" t="s">
        <v>454</v>
      </c>
      <c r="J36" s="896"/>
    </row>
    <row r="37">
      <c r="A37" s="928">
        <v>1.0</v>
      </c>
      <c r="B37" s="929" t="s">
        <v>458</v>
      </c>
      <c r="C37" s="906"/>
      <c r="D37" s="930"/>
      <c r="E37" s="906"/>
      <c r="F37" s="906"/>
      <c r="G37" s="902"/>
      <c r="H37" s="902"/>
      <c r="J37" s="896"/>
    </row>
    <row r="38">
      <c r="A38" s="909">
        <v>2.0</v>
      </c>
      <c r="B38" s="931" t="s">
        <v>241</v>
      </c>
      <c r="C38" s="906"/>
      <c r="D38" s="902"/>
      <c r="E38" s="906"/>
      <c r="F38" s="932"/>
      <c r="G38" s="930"/>
      <c r="H38" s="906"/>
      <c r="J38" s="896"/>
    </row>
    <row r="39">
      <c r="A39" s="909">
        <v>3.0</v>
      </c>
      <c r="B39" s="931" t="s">
        <v>268</v>
      </c>
      <c r="C39" s="906"/>
      <c r="D39" s="906"/>
      <c r="E39" s="902"/>
      <c r="F39" s="930"/>
      <c r="G39" s="932"/>
      <c r="H39" s="906"/>
    </row>
    <row r="40">
      <c r="A40" s="909">
        <v>4.0</v>
      </c>
      <c r="B40" s="929" t="s">
        <v>249</v>
      </c>
      <c r="C40" s="933"/>
      <c r="D40" s="933"/>
      <c r="E40" s="934"/>
      <c r="F40" s="906"/>
      <c r="G40" s="919"/>
      <c r="H40" s="933"/>
    </row>
    <row r="41">
      <c r="A41" s="909">
        <v>5.0</v>
      </c>
      <c r="B41" s="929" t="s">
        <v>243</v>
      </c>
      <c r="C41" s="933"/>
      <c r="D41" s="933"/>
      <c r="E41" s="934"/>
      <c r="F41" s="906"/>
      <c r="G41" s="919"/>
      <c r="H41" s="933"/>
    </row>
    <row r="42">
      <c r="A42" s="935"/>
      <c r="B42" s="936" t="s">
        <v>329</v>
      </c>
      <c r="C42" s="933"/>
      <c r="D42" s="933"/>
      <c r="E42" s="937"/>
      <c r="F42" s="930"/>
      <c r="G42" s="919"/>
      <c r="H42" s="933"/>
    </row>
    <row r="43">
      <c r="B43" s="920"/>
      <c r="C43" s="921">
        <f t="shared" ref="C43:H43" si="3">SUM(C37:C41)</f>
        <v>0</v>
      </c>
      <c r="D43" s="921">
        <f t="shared" si="3"/>
        <v>0</v>
      </c>
      <c r="E43" s="921">
        <f t="shared" si="3"/>
        <v>0</v>
      </c>
      <c r="F43" s="921">
        <f t="shared" si="3"/>
        <v>0</v>
      </c>
      <c r="G43" s="921">
        <f t="shared" si="3"/>
        <v>0</v>
      </c>
      <c r="H43" s="921">
        <f t="shared" si="3"/>
        <v>0</v>
      </c>
    </row>
    <row r="44">
      <c r="B44" s="920"/>
    </row>
    <row r="45">
      <c r="B45" s="922" t="s">
        <v>459</v>
      </c>
      <c r="C45" s="923"/>
      <c r="D45" s="923"/>
      <c r="E45" s="923"/>
      <c r="F45" s="923"/>
      <c r="G45" s="923"/>
      <c r="H45" s="924"/>
    </row>
    <row r="46">
      <c r="B46" s="925"/>
      <c r="C46" s="926"/>
      <c r="D46" s="926"/>
      <c r="E46" s="926"/>
      <c r="F46" s="926"/>
      <c r="G46" s="926"/>
      <c r="H46" s="927"/>
    </row>
    <row r="47">
      <c r="B47" s="938" t="s">
        <v>448</v>
      </c>
      <c r="C47" s="939" t="s">
        <v>449</v>
      </c>
      <c r="D47" s="939" t="s">
        <v>450</v>
      </c>
      <c r="E47" s="939" t="s">
        <v>451</v>
      </c>
      <c r="F47" s="939" t="s">
        <v>452</v>
      </c>
      <c r="G47" s="939" t="s">
        <v>453</v>
      </c>
      <c r="H47" s="938" t="s">
        <v>454</v>
      </c>
    </row>
    <row r="48">
      <c r="B48" s="824"/>
      <c r="C48" s="824"/>
      <c r="D48" s="824"/>
      <c r="E48" s="824"/>
      <c r="F48" s="824"/>
      <c r="G48" s="824"/>
      <c r="H48" s="824"/>
    </row>
    <row r="49">
      <c r="A49" s="928">
        <v>1.0</v>
      </c>
      <c r="B49" s="929" t="s">
        <v>460</v>
      </c>
      <c r="C49" s="906"/>
      <c r="D49" s="930"/>
      <c r="E49" s="932"/>
      <c r="F49" s="906"/>
      <c r="G49" s="906"/>
      <c r="H49" s="906"/>
    </row>
    <row r="50">
      <c r="A50" s="909">
        <v>2.0</v>
      </c>
      <c r="B50" s="940" t="s">
        <v>461</v>
      </c>
      <c r="C50" s="906"/>
      <c r="D50" s="906"/>
      <c r="E50" s="906"/>
      <c r="F50" s="906"/>
      <c r="G50" s="930"/>
      <c r="H50" s="906"/>
    </row>
    <row r="51">
      <c r="A51" s="909">
        <v>3.0</v>
      </c>
      <c r="B51" s="929" t="s">
        <v>267</v>
      </c>
      <c r="C51" s="906"/>
      <c r="D51" s="906"/>
      <c r="E51" s="906"/>
      <c r="F51" s="930"/>
      <c r="G51" s="906"/>
      <c r="H51" s="906"/>
    </row>
    <row r="52">
      <c r="A52" s="909">
        <v>4.0</v>
      </c>
      <c r="B52" s="929" t="s">
        <v>40</v>
      </c>
      <c r="C52" s="906"/>
      <c r="D52" s="906"/>
      <c r="E52" s="906"/>
      <c r="F52" s="906"/>
      <c r="G52" s="930"/>
      <c r="H52" s="906"/>
    </row>
    <row r="53">
      <c r="A53" s="909">
        <v>5.0</v>
      </c>
      <c r="B53" s="929" t="s">
        <v>462</v>
      </c>
      <c r="C53" s="906"/>
      <c r="D53" s="906"/>
      <c r="E53" s="906"/>
      <c r="F53" s="941"/>
      <c r="G53" s="932"/>
      <c r="H53" s="906"/>
    </row>
    <row r="54">
      <c r="A54" s="909">
        <v>6.0</v>
      </c>
      <c r="B54" s="929" t="s">
        <v>30</v>
      </c>
      <c r="C54" s="906"/>
      <c r="D54" s="906"/>
      <c r="E54" s="930"/>
      <c r="F54" s="932"/>
      <c r="G54" s="932"/>
      <c r="H54" s="906"/>
    </row>
    <row r="55">
      <c r="A55" s="909">
        <v>7.0</v>
      </c>
      <c r="B55" s="929" t="s">
        <v>290</v>
      </c>
      <c r="C55" s="932"/>
      <c r="D55" s="906"/>
      <c r="E55" s="941"/>
      <c r="F55" s="906"/>
      <c r="G55" s="932"/>
      <c r="H55" s="906"/>
    </row>
    <row r="56">
      <c r="A56" s="909">
        <v>8.0</v>
      </c>
      <c r="B56" s="931" t="s">
        <v>463</v>
      </c>
      <c r="C56" s="919"/>
      <c r="D56" s="942"/>
      <c r="E56" s="919"/>
      <c r="F56" s="933"/>
      <c r="G56" s="919"/>
      <c r="H56" s="919"/>
    </row>
    <row r="57">
      <c r="B57" s="920"/>
      <c r="C57" s="921">
        <f t="shared" ref="C57:H57" si="4">SUM(C49:C56)</f>
        <v>0</v>
      </c>
      <c r="D57" s="921">
        <f t="shared" si="4"/>
        <v>0</v>
      </c>
      <c r="E57" s="921">
        <f t="shared" si="4"/>
        <v>0</v>
      </c>
      <c r="F57" s="921">
        <f t="shared" si="4"/>
        <v>0</v>
      </c>
      <c r="G57" s="921">
        <f t="shared" si="4"/>
        <v>0</v>
      </c>
      <c r="H57" s="921">
        <f t="shared" si="4"/>
        <v>0</v>
      </c>
    </row>
    <row r="58">
      <c r="B58" s="920"/>
    </row>
    <row r="59">
      <c r="B59" s="922" t="s">
        <v>464</v>
      </c>
      <c r="C59" s="923"/>
      <c r="D59" s="923"/>
      <c r="E59" s="923"/>
      <c r="F59" s="923"/>
      <c r="G59" s="923"/>
      <c r="H59" s="924"/>
    </row>
    <row r="60">
      <c r="B60" s="925"/>
      <c r="C60" s="926"/>
      <c r="D60" s="926"/>
      <c r="E60" s="926"/>
      <c r="F60" s="926"/>
      <c r="G60" s="926"/>
      <c r="H60" s="927"/>
    </row>
    <row r="61">
      <c r="B61" s="938" t="s">
        <v>448</v>
      </c>
      <c r="C61" s="939" t="s">
        <v>449</v>
      </c>
      <c r="D61" s="939" t="s">
        <v>450</v>
      </c>
      <c r="E61" s="939" t="s">
        <v>451</v>
      </c>
      <c r="F61" s="939" t="s">
        <v>452</v>
      </c>
      <c r="G61" s="939" t="s">
        <v>453</v>
      </c>
      <c r="H61" s="938" t="s">
        <v>454</v>
      </c>
    </row>
    <row r="62">
      <c r="B62" s="824"/>
      <c r="C62" s="824"/>
      <c r="D62" s="824"/>
      <c r="E62" s="824"/>
      <c r="F62" s="824"/>
      <c r="G62" s="824"/>
      <c r="H62" s="824"/>
    </row>
    <row r="63">
      <c r="A63" s="928">
        <v>1.0</v>
      </c>
      <c r="B63" s="943" t="s">
        <v>47</v>
      </c>
      <c r="C63" s="930"/>
      <c r="D63" s="906"/>
      <c r="E63" s="906"/>
      <c r="F63" s="906"/>
      <c r="G63" s="932"/>
      <c r="H63" s="906"/>
    </row>
    <row r="64">
      <c r="A64" s="909">
        <v>2.0</v>
      </c>
      <c r="B64" s="940" t="s">
        <v>465</v>
      </c>
      <c r="C64" s="906"/>
      <c r="D64" s="906"/>
      <c r="E64" s="906"/>
      <c r="F64" s="930"/>
      <c r="G64" s="932"/>
      <c r="H64" s="906"/>
    </row>
    <row r="65">
      <c r="A65" s="909">
        <v>3.0</v>
      </c>
      <c r="B65" s="940" t="s">
        <v>304</v>
      </c>
      <c r="C65" s="906"/>
      <c r="D65" s="906"/>
      <c r="E65" s="906"/>
      <c r="F65" s="906"/>
      <c r="G65" s="930"/>
      <c r="H65" s="906"/>
    </row>
    <row r="66">
      <c r="A66" s="909">
        <v>4.0</v>
      </c>
      <c r="B66" s="940" t="s">
        <v>313</v>
      </c>
      <c r="C66" s="906"/>
      <c r="D66" s="906"/>
      <c r="E66" s="906"/>
      <c r="F66" s="941"/>
      <c r="G66" s="932"/>
      <c r="H66" s="906"/>
    </row>
    <row r="67">
      <c r="A67" s="909">
        <v>5.0</v>
      </c>
      <c r="B67" s="940" t="s">
        <v>307</v>
      </c>
      <c r="C67" s="933"/>
      <c r="D67" s="933"/>
      <c r="E67" s="944"/>
      <c r="F67" s="919"/>
      <c r="G67" s="919"/>
      <c r="H67" s="933"/>
    </row>
    <row r="68">
      <c r="A68" s="909">
        <v>6.0</v>
      </c>
      <c r="B68" s="931" t="s">
        <v>54</v>
      </c>
      <c r="C68" s="933"/>
      <c r="D68" s="933"/>
      <c r="E68" s="942"/>
      <c r="F68" s="933"/>
      <c r="G68" s="919"/>
      <c r="H68" s="919"/>
    </row>
    <row r="69">
      <c r="B69" s="920"/>
      <c r="C69" s="921">
        <f t="shared" ref="C69:H69" si="5">SUM(C63:C68)</f>
        <v>0</v>
      </c>
      <c r="D69" s="921">
        <f t="shared" si="5"/>
        <v>0</v>
      </c>
      <c r="E69" s="921">
        <f t="shared" si="5"/>
        <v>0</v>
      </c>
      <c r="F69" s="921">
        <f t="shared" si="5"/>
        <v>0</v>
      </c>
      <c r="G69" s="921">
        <f t="shared" si="5"/>
        <v>0</v>
      </c>
      <c r="H69" s="921">
        <f t="shared" si="5"/>
        <v>0</v>
      </c>
    </row>
    <row r="70">
      <c r="B70" s="920"/>
    </row>
    <row r="71">
      <c r="B71" s="920"/>
    </row>
    <row r="72">
      <c r="B72" s="945" t="s">
        <v>281</v>
      </c>
      <c r="C72" s="945" t="str">
        <f>C3+C4+C5+C6+C7+C8+C9+C10+C11+C12+C13+C14+C15+C16+C17+C18+C19+C20+C21+C22+C23+C24+#REF!+C25+C26+#REF!+#REF!+C27+C28+C29+C30+C31+C37+C38+C39+C41+C49+C50+C51+C52+C53+C54+C55+C56+C63+C64+C65+C66+C68</f>
        <v>#REF!</v>
      </c>
      <c r="D72" s="945" t="str">
        <f>'Plan de mise à quai Alfortville'!E49+D4+D5+D6+D7+D8+D9+D10+D11+D12+D13+D14+D15+D16+D17+D18+D19+D20+D21+D22+D23+D24+#REF!+D25+D26+#REF!+#REF!+D27+D28+D29+D30+D31+D37+D38+D39+D41+D49+D50+D51+D52+D53+D54+D55+D56+D63+D64+D65+D66+D68</f>
        <v>#REF!</v>
      </c>
      <c r="E72" s="945" t="str">
        <f t="shared" ref="E72:H72" si="6">E3+E4+E5+E6+E7+E8+E9+E10+E11+E12+E13+E14+E15+E16+E17+E18+E19+E20+E21+E22+E23+E24+#REF!+E25+E26+#REF!+#REF!+E27+E28+E29+E30+E31+E37+E38+E39+E41+E49+E50+E51+E52+E53+E54+E55+E56+E63+E64+E65+E66+E68</f>
        <v>#REF!</v>
      </c>
      <c r="F72" s="945" t="str">
        <f t="shared" si="6"/>
        <v>#REF!</v>
      </c>
      <c r="G72" s="945" t="str">
        <f t="shared" si="6"/>
        <v>#REF!</v>
      </c>
      <c r="H72" s="945" t="str">
        <f t="shared" si="6"/>
        <v>#REF!</v>
      </c>
    </row>
    <row r="73">
      <c r="B73" s="946"/>
      <c r="C73" s="946"/>
      <c r="D73" s="946"/>
      <c r="E73" s="946"/>
      <c r="F73" s="946"/>
      <c r="G73" s="946"/>
      <c r="H73" s="946"/>
    </row>
    <row r="74">
      <c r="B74" s="947"/>
      <c r="C74" s="947"/>
      <c r="D74" s="947"/>
      <c r="E74" s="947"/>
      <c r="F74" s="947"/>
      <c r="G74" s="947"/>
      <c r="H74" s="947"/>
    </row>
    <row r="75">
      <c r="B75" s="920"/>
    </row>
    <row r="76">
      <c r="B76" s="920"/>
    </row>
    <row r="77">
      <c r="B77" s="920"/>
    </row>
    <row r="78">
      <c r="B78" s="920"/>
    </row>
    <row r="79">
      <c r="B79" s="920"/>
    </row>
    <row r="80">
      <c r="B80" s="920"/>
    </row>
    <row r="81">
      <c r="B81" s="920"/>
    </row>
    <row r="82">
      <c r="B82" s="920"/>
    </row>
    <row r="83">
      <c r="B83" s="920"/>
    </row>
    <row r="84">
      <c r="B84" s="920"/>
    </row>
    <row r="85">
      <c r="B85" s="920"/>
    </row>
    <row r="86">
      <c r="B86" s="920"/>
    </row>
    <row r="87">
      <c r="B87" s="920"/>
    </row>
    <row r="88">
      <c r="B88" s="920"/>
    </row>
    <row r="89">
      <c r="B89" s="920"/>
    </row>
    <row r="90">
      <c r="B90" s="920"/>
    </row>
    <row r="91">
      <c r="B91" s="920"/>
    </row>
    <row r="92">
      <c r="B92" s="920"/>
    </row>
    <row r="93">
      <c r="B93" s="920"/>
    </row>
    <row r="94">
      <c r="B94" s="920"/>
    </row>
    <row r="95">
      <c r="B95" s="920"/>
    </row>
    <row r="96">
      <c r="B96" s="920"/>
    </row>
    <row r="97">
      <c r="B97" s="920"/>
    </row>
    <row r="98">
      <c r="B98" s="920"/>
    </row>
    <row r="99">
      <c r="B99" s="920"/>
    </row>
    <row r="100">
      <c r="B100" s="920"/>
    </row>
    <row r="101">
      <c r="B101" s="920"/>
    </row>
    <row r="102">
      <c r="B102" s="920"/>
    </row>
    <row r="103">
      <c r="B103" s="920"/>
    </row>
    <row r="104">
      <c r="B104" s="920"/>
    </row>
    <row r="105">
      <c r="B105" s="920"/>
    </row>
    <row r="106">
      <c r="B106" s="920"/>
    </row>
    <row r="107">
      <c r="B107" s="920"/>
    </row>
    <row r="108">
      <c r="B108" s="920"/>
    </row>
    <row r="109">
      <c r="B109" s="920"/>
    </row>
    <row r="110">
      <c r="B110" s="920"/>
    </row>
    <row r="111">
      <c r="B111" s="920"/>
    </row>
    <row r="112">
      <c r="B112" s="920"/>
    </row>
    <row r="113">
      <c r="B113" s="920"/>
    </row>
    <row r="114">
      <c r="B114" s="920"/>
    </row>
    <row r="115">
      <c r="B115" s="920"/>
    </row>
    <row r="116">
      <c r="B116" s="920"/>
    </row>
    <row r="117">
      <c r="B117" s="920"/>
    </row>
    <row r="118">
      <c r="B118" s="920"/>
    </row>
    <row r="119">
      <c r="B119" s="920"/>
    </row>
    <row r="120">
      <c r="B120" s="920"/>
    </row>
    <row r="121">
      <c r="B121" s="920"/>
    </row>
    <row r="122">
      <c r="B122" s="920"/>
    </row>
    <row r="123">
      <c r="B123" s="920"/>
    </row>
    <row r="124">
      <c r="B124" s="920"/>
    </row>
    <row r="125">
      <c r="B125" s="920"/>
    </row>
    <row r="126">
      <c r="B126" s="920"/>
    </row>
    <row r="127">
      <c r="B127" s="920"/>
    </row>
    <row r="128">
      <c r="B128" s="920"/>
    </row>
    <row r="129">
      <c r="B129" s="920"/>
    </row>
    <row r="130">
      <c r="B130" s="920"/>
    </row>
    <row r="131">
      <c r="B131" s="920"/>
    </row>
    <row r="132">
      <c r="B132" s="920"/>
    </row>
    <row r="133">
      <c r="B133" s="920"/>
    </row>
    <row r="134">
      <c r="B134" s="920"/>
    </row>
    <row r="135">
      <c r="B135" s="920"/>
    </row>
    <row r="136">
      <c r="B136" s="920"/>
    </row>
    <row r="137">
      <c r="B137" s="920"/>
    </row>
    <row r="138">
      <c r="B138" s="920"/>
    </row>
    <row r="139">
      <c r="B139" s="920"/>
    </row>
    <row r="140">
      <c r="B140" s="920"/>
    </row>
    <row r="141">
      <c r="B141" s="920"/>
    </row>
    <row r="142">
      <c r="B142" s="920"/>
    </row>
    <row r="143">
      <c r="B143" s="920"/>
    </row>
    <row r="144">
      <c r="B144" s="920"/>
    </row>
    <row r="145">
      <c r="B145" s="920"/>
    </row>
    <row r="146">
      <c r="B146" s="920"/>
    </row>
    <row r="147">
      <c r="B147" s="920"/>
    </row>
    <row r="148">
      <c r="B148" s="920"/>
    </row>
    <row r="149">
      <c r="B149" s="920"/>
    </row>
    <row r="150">
      <c r="B150" s="920"/>
    </row>
    <row r="151">
      <c r="B151" s="920"/>
    </row>
    <row r="152">
      <c r="B152" s="920"/>
    </row>
    <row r="153">
      <c r="B153" s="920"/>
    </row>
    <row r="154">
      <c r="B154" s="920"/>
    </row>
    <row r="155">
      <c r="B155" s="920"/>
    </row>
    <row r="156">
      <c r="B156" s="920"/>
    </row>
    <row r="157">
      <c r="B157" s="920"/>
    </row>
    <row r="158">
      <c r="B158" s="920"/>
    </row>
    <row r="159">
      <c r="B159" s="920"/>
    </row>
    <row r="160">
      <c r="B160" s="920"/>
    </row>
    <row r="161">
      <c r="B161" s="920"/>
    </row>
    <row r="162">
      <c r="B162" s="920"/>
    </row>
    <row r="163">
      <c r="B163" s="920"/>
    </row>
    <row r="164">
      <c r="B164" s="920"/>
    </row>
    <row r="165">
      <c r="B165" s="920"/>
    </row>
    <row r="166">
      <c r="B166" s="920"/>
    </row>
    <row r="167">
      <c r="B167" s="920"/>
    </row>
    <row r="168">
      <c r="B168" s="920"/>
    </row>
    <row r="169">
      <c r="B169" s="920"/>
    </row>
    <row r="170">
      <c r="B170" s="920"/>
    </row>
    <row r="171">
      <c r="B171" s="920"/>
    </row>
    <row r="172">
      <c r="B172" s="920"/>
    </row>
    <row r="173">
      <c r="B173" s="920"/>
    </row>
    <row r="174">
      <c r="B174" s="920"/>
    </row>
    <row r="175">
      <c r="B175" s="920"/>
    </row>
    <row r="176">
      <c r="B176" s="920"/>
    </row>
    <row r="177">
      <c r="B177" s="920"/>
    </row>
    <row r="178">
      <c r="B178" s="920"/>
    </row>
    <row r="179">
      <c r="B179" s="920"/>
    </row>
    <row r="180">
      <c r="B180" s="920"/>
    </row>
    <row r="181">
      <c r="B181" s="920"/>
    </row>
    <row r="182">
      <c r="B182" s="920"/>
    </row>
    <row r="183">
      <c r="B183" s="920"/>
    </row>
    <row r="184">
      <c r="B184" s="920"/>
    </row>
    <row r="185">
      <c r="B185" s="920"/>
    </row>
    <row r="186">
      <c r="B186" s="920"/>
    </row>
    <row r="187">
      <c r="B187" s="920"/>
    </row>
    <row r="188">
      <c r="B188" s="920"/>
    </row>
    <row r="189">
      <c r="B189" s="920"/>
    </row>
    <row r="190">
      <c r="B190" s="920"/>
    </row>
    <row r="191">
      <c r="B191" s="920"/>
    </row>
    <row r="192">
      <c r="B192" s="920"/>
    </row>
    <row r="193">
      <c r="B193" s="920"/>
    </row>
    <row r="194">
      <c r="B194" s="920"/>
    </row>
    <row r="195">
      <c r="B195" s="920"/>
    </row>
    <row r="196">
      <c r="B196" s="920"/>
    </row>
    <row r="197">
      <c r="B197" s="920"/>
    </row>
    <row r="198">
      <c r="B198" s="920"/>
    </row>
    <row r="199">
      <c r="B199" s="920"/>
    </row>
    <row r="200">
      <c r="B200" s="920"/>
    </row>
    <row r="201">
      <c r="B201" s="920"/>
    </row>
    <row r="202">
      <c r="B202" s="920"/>
    </row>
    <row r="203">
      <c r="B203" s="920"/>
    </row>
    <row r="204">
      <c r="B204" s="920"/>
    </row>
    <row r="205">
      <c r="B205" s="920"/>
    </row>
    <row r="206">
      <c r="B206" s="920"/>
    </row>
    <row r="207">
      <c r="B207" s="920"/>
    </row>
    <row r="208">
      <c r="B208" s="920"/>
    </row>
    <row r="209">
      <c r="B209" s="920"/>
    </row>
    <row r="210">
      <c r="B210" s="920"/>
    </row>
    <row r="211">
      <c r="B211" s="920"/>
    </row>
    <row r="212">
      <c r="B212" s="920"/>
    </row>
    <row r="213">
      <c r="B213" s="920"/>
    </row>
    <row r="214">
      <c r="B214" s="920"/>
    </row>
    <row r="215">
      <c r="B215" s="920"/>
    </row>
    <row r="216">
      <c r="B216" s="920"/>
    </row>
    <row r="217">
      <c r="B217" s="920"/>
    </row>
    <row r="218">
      <c r="B218" s="920"/>
    </row>
    <row r="219">
      <c r="B219" s="920"/>
    </row>
    <row r="220">
      <c r="B220" s="920"/>
    </row>
    <row r="221">
      <c r="B221" s="920"/>
    </row>
    <row r="222">
      <c r="B222" s="920"/>
    </row>
    <row r="223">
      <c r="B223" s="920"/>
    </row>
    <row r="224">
      <c r="B224" s="920"/>
    </row>
    <row r="225">
      <c r="B225" s="920"/>
    </row>
    <row r="226">
      <c r="B226" s="920"/>
    </row>
    <row r="227">
      <c r="B227" s="920"/>
    </row>
    <row r="228">
      <c r="B228" s="920"/>
    </row>
    <row r="229">
      <c r="B229" s="920"/>
    </row>
    <row r="230">
      <c r="B230" s="920"/>
    </row>
    <row r="231">
      <c r="B231" s="920"/>
    </row>
    <row r="232">
      <c r="B232" s="920"/>
    </row>
    <row r="233">
      <c r="B233" s="920"/>
    </row>
    <row r="234">
      <c r="B234" s="920"/>
    </row>
    <row r="235">
      <c r="B235" s="920"/>
    </row>
    <row r="236">
      <c r="B236" s="920"/>
    </row>
    <row r="237">
      <c r="B237" s="920"/>
    </row>
    <row r="238">
      <c r="B238" s="920"/>
    </row>
    <row r="239">
      <c r="B239" s="920"/>
    </row>
    <row r="240">
      <c r="B240" s="920"/>
    </row>
    <row r="241">
      <c r="B241" s="920"/>
    </row>
    <row r="242">
      <c r="B242" s="920"/>
    </row>
    <row r="243">
      <c r="B243" s="920"/>
    </row>
    <row r="244">
      <c r="B244" s="920"/>
    </row>
    <row r="245">
      <c r="B245" s="920"/>
    </row>
    <row r="246">
      <c r="B246" s="920"/>
    </row>
    <row r="247">
      <c r="B247" s="920"/>
    </row>
    <row r="248">
      <c r="B248" s="920"/>
    </row>
    <row r="249">
      <c r="B249" s="920"/>
    </row>
    <row r="250">
      <c r="B250" s="920"/>
    </row>
    <row r="251">
      <c r="B251" s="920"/>
    </row>
    <row r="252">
      <c r="B252" s="920"/>
    </row>
    <row r="253">
      <c r="B253" s="920"/>
    </row>
    <row r="254">
      <c r="B254" s="920"/>
    </row>
    <row r="255">
      <c r="B255" s="920"/>
    </row>
    <row r="256">
      <c r="B256" s="920"/>
    </row>
    <row r="257">
      <c r="B257" s="920"/>
    </row>
    <row r="258">
      <c r="B258" s="920"/>
    </row>
    <row r="259">
      <c r="B259" s="920"/>
    </row>
    <row r="260">
      <c r="B260" s="920"/>
    </row>
    <row r="261">
      <c r="B261" s="920"/>
    </row>
    <row r="262">
      <c r="B262" s="920"/>
    </row>
    <row r="263">
      <c r="B263" s="920"/>
    </row>
    <row r="264">
      <c r="B264" s="920"/>
    </row>
    <row r="265">
      <c r="B265" s="920"/>
    </row>
    <row r="266">
      <c r="B266" s="920"/>
    </row>
    <row r="267">
      <c r="B267" s="920"/>
    </row>
    <row r="268">
      <c r="B268" s="920"/>
    </row>
    <row r="269">
      <c r="B269" s="920"/>
    </row>
    <row r="270">
      <c r="B270" s="920"/>
    </row>
    <row r="271">
      <c r="B271" s="920"/>
    </row>
    <row r="272">
      <c r="B272" s="920"/>
    </row>
    <row r="273">
      <c r="B273" s="920"/>
    </row>
    <row r="274">
      <c r="B274" s="920"/>
    </row>
    <row r="275">
      <c r="B275" s="920"/>
    </row>
    <row r="276">
      <c r="B276" s="920"/>
    </row>
    <row r="277">
      <c r="B277" s="920"/>
    </row>
    <row r="278">
      <c r="B278" s="920"/>
    </row>
    <row r="279">
      <c r="B279" s="920"/>
    </row>
    <row r="280">
      <c r="B280" s="920"/>
    </row>
    <row r="281">
      <c r="B281" s="920"/>
    </row>
    <row r="282">
      <c r="B282" s="920"/>
    </row>
    <row r="283">
      <c r="B283" s="920"/>
    </row>
    <row r="284">
      <c r="B284" s="920"/>
    </row>
    <row r="285">
      <c r="B285" s="920"/>
    </row>
    <row r="286">
      <c r="B286" s="920"/>
    </row>
    <row r="287">
      <c r="B287" s="920"/>
    </row>
    <row r="288">
      <c r="B288" s="920"/>
    </row>
    <row r="289">
      <c r="B289" s="920"/>
    </row>
    <row r="290">
      <c r="B290" s="920"/>
    </row>
    <row r="291">
      <c r="B291" s="920"/>
    </row>
    <row r="292">
      <c r="B292" s="920"/>
    </row>
    <row r="293">
      <c r="B293" s="920"/>
    </row>
    <row r="294">
      <c r="B294" s="920"/>
    </row>
    <row r="295">
      <c r="B295" s="920"/>
    </row>
    <row r="296">
      <c r="B296" s="920"/>
    </row>
    <row r="297">
      <c r="B297" s="920"/>
    </row>
    <row r="298">
      <c r="B298" s="920"/>
    </row>
    <row r="299">
      <c r="B299" s="920"/>
    </row>
    <row r="300">
      <c r="B300" s="920"/>
    </row>
    <row r="301">
      <c r="B301" s="920"/>
    </row>
    <row r="302">
      <c r="B302" s="920"/>
    </row>
    <row r="303">
      <c r="B303" s="920"/>
    </row>
    <row r="304">
      <c r="B304" s="920"/>
    </row>
    <row r="305">
      <c r="B305" s="920"/>
    </row>
    <row r="306">
      <c r="B306" s="920"/>
    </row>
    <row r="307">
      <c r="B307" s="920"/>
    </row>
    <row r="308">
      <c r="B308" s="920"/>
    </row>
    <row r="309">
      <c r="B309" s="920"/>
    </row>
    <row r="310">
      <c r="B310" s="920"/>
    </row>
    <row r="311">
      <c r="B311" s="920"/>
    </row>
    <row r="312">
      <c r="B312" s="920"/>
    </row>
    <row r="313">
      <c r="B313" s="920"/>
    </row>
    <row r="314">
      <c r="B314" s="920"/>
    </row>
    <row r="315">
      <c r="B315" s="920"/>
    </row>
    <row r="316">
      <c r="B316" s="920"/>
    </row>
    <row r="317">
      <c r="B317" s="920"/>
    </row>
    <row r="318">
      <c r="B318" s="920"/>
    </row>
    <row r="319">
      <c r="B319" s="920"/>
    </row>
    <row r="320">
      <c r="B320" s="920"/>
    </row>
    <row r="321">
      <c r="B321" s="920"/>
    </row>
    <row r="322">
      <c r="B322" s="920"/>
    </row>
    <row r="323">
      <c r="B323" s="920"/>
    </row>
    <row r="324">
      <c r="B324" s="920"/>
    </row>
    <row r="325">
      <c r="B325" s="920"/>
    </row>
    <row r="326">
      <c r="B326" s="920"/>
    </row>
    <row r="327">
      <c r="B327" s="920"/>
    </row>
    <row r="328">
      <c r="B328" s="920"/>
    </row>
    <row r="329">
      <c r="B329" s="920"/>
    </row>
    <row r="330">
      <c r="B330" s="920"/>
    </row>
    <row r="331">
      <c r="B331" s="920"/>
    </row>
    <row r="332">
      <c r="B332" s="920"/>
    </row>
    <row r="333">
      <c r="B333" s="920"/>
    </row>
    <row r="334">
      <c r="B334" s="920"/>
    </row>
    <row r="335">
      <c r="B335" s="920"/>
    </row>
    <row r="336">
      <c r="B336" s="920"/>
    </row>
    <row r="337">
      <c r="B337" s="920"/>
    </row>
    <row r="338">
      <c r="B338" s="920"/>
    </row>
    <row r="339">
      <c r="B339" s="920"/>
    </row>
    <row r="340">
      <c r="B340" s="920"/>
    </row>
    <row r="341">
      <c r="B341" s="920"/>
    </row>
    <row r="342">
      <c r="B342" s="920"/>
    </row>
    <row r="343">
      <c r="B343" s="920"/>
    </row>
    <row r="344">
      <c r="B344" s="920"/>
    </row>
    <row r="345">
      <c r="B345" s="920"/>
    </row>
    <row r="346">
      <c r="B346" s="920"/>
    </row>
    <row r="347">
      <c r="B347" s="920"/>
    </row>
    <row r="348">
      <c r="B348" s="920"/>
    </row>
    <row r="349">
      <c r="B349" s="920"/>
    </row>
    <row r="350">
      <c r="B350" s="920"/>
    </row>
    <row r="351">
      <c r="B351" s="920"/>
    </row>
    <row r="352">
      <c r="B352" s="920"/>
    </row>
    <row r="353">
      <c r="B353" s="920"/>
    </row>
    <row r="354">
      <c r="B354" s="920"/>
    </row>
    <row r="355">
      <c r="B355" s="920"/>
    </row>
    <row r="356">
      <c r="B356" s="920"/>
    </row>
    <row r="357">
      <c r="B357" s="920"/>
    </row>
    <row r="358">
      <c r="B358" s="920"/>
    </row>
    <row r="359">
      <c r="B359" s="920"/>
    </row>
    <row r="360">
      <c r="B360" s="920"/>
    </row>
    <row r="361">
      <c r="B361" s="920"/>
    </row>
    <row r="362">
      <c r="B362" s="920"/>
    </row>
    <row r="363">
      <c r="B363" s="920"/>
    </row>
    <row r="364">
      <c r="B364" s="920"/>
    </row>
    <row r="365">
      <c r="B365" s="920"/>
    </row>
    <row r="366">
      <c r="B366" s="920"/>
    </row>
    <row r="367">
      <c r="B367" s="920"/>
    </row>
    <row r="368">
      <c r="B368" s="920"/>
    </row>
    <row r="369">
      <c r="B369" s="920"/>
    </row>
    <row r="370">
      <c r="B370" s="920"/>
    </row>
    <row r="371">
      <c r="B371" s="920"/>
    </row>
    <row r="372">
      <c r="B372" s="920"/>
    </row>
    <row r="373">
      <c r="B373" s="920"/>
    </row>
    <row r="374">
      <c r="B374" s="920"/>
    </row>
    <row r="375">
      <c r="B375" s="920"/>
    </row>
    <row r="376">
      <c r="B376" s="920"/>
    </row>
    <row r="377">
      <c r="B377" s="920"/>
    </row>
    <row r="378">
      <c r="B378" s="920"/>
    </row>
    <row r="379">
      <c r="B379" s="920"/>
    </row>
    <row r="380">
      <c r="B380" s="920"/>
    </row>
    <row r="381">
      <c r="B381" s="920"/>
    </row>
    <row r="382">
      <c r="B382" s="920"/>
    </row>
    <row r="383">
      <c r="B383" s="920"/>
    </row>
    <row r="384">
      <c r="B384" s="920"/>
    </row>
    <row r="385">
      <c r="B385" s="920"/>
    </row>
    <row r="386">
      <c r="B386" s="920"/>
    </row>
    <row r="387">
      <c r="B387" s="920"/>
    </row>
    <row r="388">
      <c r="B388" s="920"/>
    </row>
    <row r="389">
      <c r="B389" s="920"/>
    </row>
    <row r="390">
      <c r="B390" s="920"/>
    </row>
    <row r="391">
      <c r="B391" s="920"/>
    </row>
    <row r="392">
      <c r="B392" s="920"/>
    </row>
    <row r="393">
      <c r="B393" s="920"/>
    </row>
    <row r="394">
      <c r="B394" s="920"/>
    </row>
    <row r="395">
      <c r="B395" s="920"/>
    </row>
    <row r="396">
      <c r="B396" s="920"/>
    </row>
    <row r="397">
      <c r="B397" s="920"/>
    </row>
    <row r="398">
      <c r="B398" s="920"/>
    </row>
    <row r="399">
      <c r="B399" s="920"/>
    </row>
    <row r="400">
      <c r="B400" s="920"/>
    </row>
    <row r="401">
      <c r="B401" s="920"/>
    </row>
    <row r="402">
      <c r="B402" s="920"/>
    </row>
    <row r="403">
      <c r="B403" s="920"/>
    </row>
    <row r="404">
      <c r="B404" s="920"/>
    </row>
    <row r="405">
      <c r="B405" s="920"/>
    </row>
    <row r="406">
      <c r="B406" s="920"/>
    </row>
    <row r="407">
      <c r="B407" s="920"/>
    </row>
    <row r="408">
      <c r="B408" s="920"/>
    </row>
    <row r="409">
      <c r="B409" s="920"/>
    </row>
    <row r="410">
      <c r="B410" s="920"/>
    </row>
    <row r="411">
      <c r="B411" s="920"/>
    </row>
    <row r="412">
      <c r="B412" s="920"/>
    </row>
    <row r="413">
      <c r="B413" s="920"/>
    </row>
    <row r="414">
      <c r="B414" s="920"/>
    </row>
    <row r="415">
      <c r="B415" s="920"/>
    </row>
    <row r="416">
      <c r="B416" s="920"/>
    </row>
    <row r="417">
      <c r="B417" s="920"/>
    </row>
    <row r="418">
      <c r="B418" s="920"/>
    </row>
    <row r="419">
      <c r="B419" s="920"/>
    </row>
    <row r="420">
      <c r="B420" s="920"/>
    </row>
    <row r="421">
      <c r="B421" s="920"/>
    </row>
    <row r="422">
      <c r="B422" s="920"/>
    </row>
    <row r="423">
      <c r="B423" s="920"/>
    </row>
    <row r="424">
      <c r="B424" s="920"/>
    </row>
    <row r="425">
      <c r="B425" s="920"/>
    </row>
    <row r="426">
      <c r="B426" s="920"/>
    </row>
    <row r="427">
      <c r="B427" s="920"/>
    </row>
    <row r="428">
      <c r="B428" s="920"/>
    </row>
    <row r="429">
      <c r="B429" s="920"/>
    </row>
    <row r="430">
      <c r="B430" s="920"/>
    </row>
    <row r="431">
      <c r="B431" s="920"/>
    </row>
    <row r="432">
      <c r="B432" s="920"/>
    </row>
    <row r="433">
      <c r="B433" s="920"/>
    </row>
    <row r="434">
      <c r="B434" s="920"/>
    </row>
    <row r="435">
      <c r="B435" s="920"/>
    </row>
    <row r="436">
      <c r="B436" s="920"/>
    </row>
    <row r="437">
      <c r="B437" s="920"/>
    </row>
    <row r="438">
      <c r="B438" s="920"/>
    </row>
    <row r="439">
      <c r="B439" s="920"/>
    </row>
    <row r="440">
      <c r="B440" s="920"/>
    </row>
    <row r="441">
      <c r="B441" s="920"/>
    </row>
    <row r="442">
      <c r="B442" s="920"/>
    </row>
    <row r="443">
      <c r="B443" s="920"/>
    </row>
    <row r="444">
      <c r="B444" s="920"/>
    </row>
    <row r="445">
      <c r="B445" s="920"/>
    </row>
    <row r="446">
      <c r="B446" s="920"/>
    </row>
    <row r="447">
      <c r="B447" s="920"/>
    </row>
    <row r="448">
      <c r="B448" s="920"/>
    </row>
    <row r="449">
      <c r="B449" s="920"/>
    </row>
    <row r="450">
      <c r="B450" s="920"/>
    </row>
    <row r="451">
      <c r="B451" s="920"/>
    </row>
    <row r="452">
      <c r="B452" s="920"/>
    </row>
    <row r="453">
      <c r="B453" s="920"/>
    </row>
    <row r="454">
      <c r="B454" s="920"/>
    </row>
    <row r="455">
      <c r="B455" s="920"/>
    </row>
    <row r="456">
      <c r="B456" s="920"/>
    </row>
    <row r="457">
      <c r="B457" s="920"/>
    </row>
    <row r="458">
      <c r="B458" s="920"/>
    </row>
    <row r="459">
      <c r="B459" s="920"/>
    </row>
    <row r="460">
      <c r="B460" s="920"/>
    </row>
    <row r="461">
      <c r="B461" s="920"/>
    </row>
    <row r="462">
      <c r="B462" s="920"/>
    </row>
    <row r="463">
      <c r="B463" s="920"/>
    </row>
    <row r="464">
      <c r="B464" s="920"/>
    </row>
    <row r="465">
      <c r="B465" s="920"/>
    </row>
    <row r="466">
      <c r="B466" s="920"/>
    </row>
    <row r="467">
      <c r="B467" s="920"/>
    </row>
    <row r="468">
      <c r="B468" s="920"/>
    </row>
    <row r="469">
      <c r="B469" s="920"/>
    </row>
    <row r="470">
      <c r="B470" s="920"/>
    </row>
    <row r="471">
      <c r="B471" s="920"/>
    </row>
    <row r="472">
      <c r="B472" s="920"/>
    </row>
    <row r="473">
      <c r="B473" s="920"/>
    </row>
    <row r="474">
      <c r="B474" s="920"/>
    </row>
    <row r="475">
      <c r="B475" s="920"/>
    </row>
    <row r="476">
      <c r="B476" s="920"/>
    </row>
    <row r="477">
      <c r="B477" s="920"/>
    </row>
    <row r="478">
      <c r="B478" s="920"/>
    </row>
    <row r="479">
      <c r="B479" s="920"/>
    </row>
    <row r="480">
      <c r="B480" s="920"/>
    </row>
    <row r="481">
      <c r="B481" s="920"/>
    </row>
    <row r="482">
      <c r="B482" s="920"/>
    </row>
    <row r="483">
      <c r="B483" s="920"/>
    </row>
    <row r="484">
      <c r="B484" s="920"/>
    </row>
    <row r="485">
      <c r="B485" s="920"/>
    </row>
    <row r="486">
      <c r="B486" s="920"/>
    </row>
    <row r="487">
      <c r="B487" s="920"/>
    </row>
    <row r="488">
      <c r="B488" s="920"/>
    </row>
    <row r="489">
      <c r="B489" s="920"/>
    </row>
    <row r="490">
      <c r="B490" s="920"/>
    </row>
    <row r="491">
      <c r="B491" s="920"/>
    </row>
    <row r="492">
      <c r="B492" s="920"/>
    </row>
    <row r="493">
      <c r="B493" s="920"/>
    </row>
    <row r="494">
      <c r="B494" s="920"/>
    </row>
    <row r="495">
      <c r="B495" s="920"/>
    </row>
    <row r="496">
      <c r="B496" s="920"/>
    </row>
    <row r="497">
      <c r="B497" s="920"/>
    </row>
    <row r="498">
      <c r="B498" s="920"/>
    </row>
    <row r="499">
      <c r="B499" s="920"/>
    </row>
    <row r="500">
      <c r="B500" s="920"/>
    </row>
    <row r="501">
      <c r="B501" s="920"/>
    </row>
    <row r="502">
      <c r="B502" s="920"/>
    </row>
    <row r="503">
      <c r="B503" s="920"/>
    </row>
    <row r="504">
      <c r="B504" s="920"/>
    </row>
    <row r="505">
      <c r="B505" s="920"/>
    </row>
    <row r="506">
      <c r="B506" s="920"/>
    </row>
    <row r="507">
      <c r="B507" s="920"/>
    </row>
    <row r="508">
      <c r="B508" s="920"/>
    </row>
    <row r="509">
      <c r="B509" s="920"/>
    </row>
    <row r="510">
      <c r="B510" s="920"/>
    </row>
    <row r="511">
      <c r="B511" s="920"/>
    </row>
    <row r="512">
      <c r="B512" s="920"/>
    </row>
    <row r="513">
      <c r="B513" s="920"/>
    </row>
    <row r="514">
      <c r="B514" s="920"/>
    </row>
    <row r="515">
      <c r="B515" s="920"/>
    </row>
    <row r="516">
      <c r="B516" s="920"/>
    </row>
    <row r="517">
      <c r="B517" s="920"/>
    </row>
    <row r="518">
      <c r="B518" s="920"/>
    </row>
    <row r="519">
      <c r="B519" s="920"/>
    </row>
    <row r="520">
      <c r="B520" s="920"/>
    </row>
    <row r="521">
      <c r="B521" s="920"/>
    </row>
    <row r="522">
      <c r="B522" s="920"/>
    </row>
    <row r="523">
      <c r="B523" s="920"/>
    </row>
    <row r="524">
      <c r="B524" s="920"/>
    </row>
    <row r="525">
      <c r="B525" s="920"/>
    </row>
    <row r="526">
      <c r="B526" s="920"/>
    </row>
    <row r="527">
      <c r="B527" s="920"/>
    </row>
    <row r="528">
      <c r="B528" s="920"/>
    </row>
    <row r="529">
      <c r="B529" s="920"/>
    </row>
    <row r="530">
      <c r="B530" s="920"/>
    </row>
    <row r="531">
      <c r="B531" s="920"/>
    </row>
    <row r="532">
      <c r="B532" s="920"/>
    </row>
    <row r="533">
      <c r="B533" s="920"/>
    </row>
    <row r="534">
      <c r="B534" s="920"/>
    </row>
    <row r="535">
      <c r="B535" s="920"/>
    </row>
    <row r="536">
      <c r="B536" s="920"/>
    </row>
    <row r="537">
      <c r="B537" s="920"/>
    </row>
    <row r="538">
      <c r="B538" s="920"/>
    </row>
    <row r="539">
      <c r="B539" s="920"/>
    </row>
    <row r="540">
      <c r="B540" s="920"/>
    </row>
    <row r="541">
      <c r="B541" s="920"/>
    </row>
    <row r="542">
      <c r="B542" s="920"/>
    </row>
    <row r="543">
      <c r="B543" s="920"/>
    </row>
    <row r="544">
      <c r="B544" s="920"/>
    </row>
    <row r="545">
      <c r="B545" s="920"/>
    </row>
    <row r="546">
      <c r="B546" s="920"/>
    </row>
    <row r="547">
      <c r="B547" s="920"/>
    </row>
    <row r="548">
      <c r="B548" s="920"/>
    </row>
    <row r="549">
      <c r="B549" s="920"/>
    </row>
    <row r="550">
      <c r="B550" s="920"/>
    </row>
    <row r="551">
      <c r="B551" s="920"/>
    </row>
    <row r="552">
      <c r="B552" s="920"/>
    </row>
    <row r="553">
      <c r="B553" s="920"/>
    </row>
    <row r="554">
      <c r="B554" s="920"/>
    </row>
    <row r="555">
      <c r="B555" s="920"/>
    </row>
    <row r="556">
      <c r="B556" s="920"/>
    </row>
    <row r="557">
      <c r="B557" s="920"/>
    </row>
    <row r="558">
      <c r="B558" s="920"/>
    </row>
    <row r="559">
      <c r="B559" s="920"/>
    </row>
    <row r="560">
      <c r="B560" s="920"/>
    </row>
    <row r="561">
      <c r="B561" s="920"/>
    </row>
    <row r="562">
      <c r="B562" s="920"/>
    </row>
    <row r="563">
      <c r="B563" s="920"/>
    </row>
    <row r="564">
      <c r="B564" s="920"/>
    </row>
    <row r="565">
      <c r="B565" s="920"/>
    </row>
    <row r="566">
      <c r="B566" s="920"/>
    </row>
    <row r="567">
      <c r="B567" s="920"/>
    </row>
    <row r="568">
      <c r="B568" s="920"/>
    </row>
    <row r="569">
      <c r="B569" s="920"/>
    </row>
    <row r="570">
      <c r="B570" s="920"/>
    </row>
    <row r="571">
      <c r="B571" s="920"/>
    </row>
    <row r="572">
      <c r="B572" s="920"/>
    </row>
    <row r="573">
      <c r="B573" s="920"/>
    </row>
    <row r="574">
      <c r="B574" s="920"/>
    </row>
    <row r="575">
      <c r="B575" s="920"/>
    </row>
    <row r="576">
      <c r="B576" s="920"/>
    </row>
    <row r="577">
      <c r="B577" s="920"/>
    </row>
    <row r="578">
      <c r="B578" s="920"/>
    </row>
    <row r="579">
      <c r="B579" s="920"/>
    </row>
    <row r="580">
      <c r="B580" s="920"/>
    </row>
    <row r="581">
      <c r="B581" s="920"/>
    </row>
    <row r="582">
      <c r="B582" s="920"/>
    </row>
    <row r="583">
      <c r="B583" s="920"/>
    </row>
    <row r="584">
      <c r="B584" s="920"/>
    </row>
    <row r="585">
      <c r="B585" s="920"/>
    </row>
    <row r="586">
      <c r="B586" s="920"/>
    </row>
    <row r="587">
      <c r="B587" s="920"/>
    </row>
    <row r="588">
      <c r="B588" s="920"/>
    </row>
    <row r="589">
      <c r="B589" s="920"/>
    </row>
    <row r="590">
      <c r="B590" s="920"/>
    </row>
    <row r="591">
      <c r="B591" s="920"/>
    </row>
    <row r="592">
      <c r="B592" s="920"/>
    </row>
    <row r="593">
      <c r="B593" s="920"/>
    </row>
    <row r="594">
      <c r="B594" s="920"/>
    </row>
    <row r="595">
      <c r="B595" s="920"/>
    </row>
    <row r="596">
      <c r="B596" s="920"/>
    </row>
    <row r="597">
      <c r="B597" s="920"/>
    </row>
    <row r="598">
      <c r="B598" s="920"/>
    </row>
    <row r="599">
      <c r="B599" s="920"/>
    </row>
    <row r="600">
      <c r="B600" s="920"/>
    </row>
    <row r="601">
      <c r="B601" s="920"/>
    </row>
    <row r="602">
      <c r="B602" s="920"/>
    </row>
    <row r="603">
      <c r="B603" s="920"/>
    </row>
    <row r="604">
      <c r="B604" s="920"/>
    </row>
    <row r="605">
      <c r="B605" s="920"/>
    </row>
    <row r="606">
      <c r="B606" s="920"/>
    </row>
    <row r="607">
      <c r="B607" s="920"/>
    </row>
    <row r="608">
      <c r="B608" s="920"/>
    </row>
    <row r="609">
      <c r="B609" s="920"/>
    </row>
    <row r="610">
      <c r="B610" s="920"/>
    </row>
    <row r="611">
      <c r="B611" s="920"/>
    </row>
    <row r="612">
      <c r="B612" s="920"/>
    </row>
    <row r="613">
      <c r="B613" s="920"/>
    </row>
    <row r="614">
      <c r="B614" s="920"/>
    </row>
    <row r="615">
      <c r="B615" s="920"/>
    </row>
    <row r="616">
      <c r="B616" s="920"/>
    </row>
    <row r="617">
      <c r="B617" s="920"/>
    </row>
    <row r="618">
      <c r="B618" s="920"/>
    </row>
    <row r="619">
      <c r="B619" s="920"/>
    </row>
    <row r="620">
      <c r="B620" s="920"/>
    </row>
    <row r="621">
      <c r="B621" s="920"/>
    </row>
    <row r="622">
      <c r="B622" s="920"/>
    </row>
    <row r="623">
      <c r="B623" s="920"/>
    </row>
    <row r="624">
      <c r="B624" s="920"/>
    </row>
    <row r="625">
      <c r="B625" s="920"/>
    </row>
    <row r="626">
      <c r="B626" s="920"/>
    </row>
    <row r="627">
      <c r="B627" s="920"/>
    </row>
    <row r="628">
      <c r="B628" s="920"/>
    </row>
    <row r="629">
      <c r="B629" s="920"/>
    </row>
    <row r="630">
      <c r="B630" s="920"/>
    </row>
    <row r="631">
      <c r="B631" s="920"/>
    </row>
    <row r="632">
      <c r="B632" s="920"/>
    </row>
    <row r="633">
      <c r="B633" s="920"/>
    </row>
    <row r="634">
      <c r="B634" s="920"/>
    </row>
    <row r="635">
      <c r="B635" s="920"/>
    </row>
    <row r="636">
      <c r="B636" s="920"/>
    </row>
    <row r="637">
      <c r="B637" s="920"/>
    </row>
    <row r="638">
      <c r="B638" s="920"/>
    </row>
    <row r="639">
      <c r="B639" s="920"/>
    </row>
    <row r="640">
      <c r="B640" s="920"/>
    </row>
    <row r="641">
      <c r="B641" s="920"/>
    </row>
    <row r="642">
      <c r="B642" s="920"/>
    </row>
    <row r="643">
      <c r="B643" s="920"/>
    </row>
    <row r="644">
      <c r="B644" s="920"/>
    </row>
    <row r="645">
      <c r="B645" s="920"/>
    </row>
    <row r="646">
      <c r="B646" s="920"/>
    </row>
    <row r="647">
      <c r="B647" s="920"/>
    </row>
    <row r="648">
      <c r="B648" s="920"/>
    </row>
    <row r="649">
      <c r="B649" s="920"/>
    </row>
    <row r="650">
      <c r="B650" s="920"/>
    </row>
    <row r="651">
      <c r="B651" s="920"/>
    </row>
    <row r="652">
      <c r="B652" s="920"/>
    </row>
    <row r="653">
      <c r="B653" s="920"/>
    </row>
    <row r="654">
      <c r="B654" s="920"/>
    </row>
    <row r="655">
      <c r="B655" s="920"/>
    </row>
    <row r="656">
      <c r="B656" s="920"/>
    </row>
    <row r="657">
      <c r="B657" s="920"/>
    </row>
    <row r="658">
      <c r="B658" s="920"/>
    </row>
    <row r="659">
      <c r="B659" s="920"/>
    </row>
    <row r="660">
      <c r="B660" s="920"/>
    </row>
    <row r="661">
      <c r="B661" s="920"/>
    </row>
    <row r="662">
      <c r="B662" s="920"/>
    </row>
    <row r="663">
      <c r="B663" s="920"/>
    </row>
    <row r="664">
      <c r="B664" s="920"/>
    </row>
    <row r="665">
      <c r="B665" s="920"/>
    </row>
    <row r="666">
      <c r="B666" s="920"/>
    </row>
    <row r="667">
      <c r="B667" s="920"/>
    </row>
    <row r="668">
      <c r="B668" s="920"/>
    </row>
    <row r="669">
      <c r="B669" s="920"/>
    </row>
    <row r="670">
      <c r="B670" s="920"/>
    </row>
    <row r="671">
      <c r="B671" s="920"/>
    </row>
    <row r="672">
      <c r="B672" s="920"/>
    </row>
    <row r="673">
      <c r="B673" s="920"/>
    </row>
    <row r="674">
      <c r="B674" s="920"/>
    </row>
    <row r="675">
      <c r="B675" s="920"/>
    </row>
    <row r="676">
      <c r="B676" s="920"/>
    </row>
    <row r="677">
      <c r="B677" s="920"/>
    </row>
    <row r="678">
      <c r="B678" s="920"/>
    </row>
    <row r="679">
      <c r="B679" s="920"/>
    </row>
    <row r="680">
      <c r="B680" s="920"/>
    </row>
    <row r="681">
      <c r="B681" s="920"/>
    </row>
    <row r="682">
      <c r="B682" s="920"/>
    </row>
    <row r="683">
      <c r="B683" s="920"/>
    </row>
    <row r="684">
      <c r="B684" s="920"/>
    </row>
    <row r="685">
      <c r="B685" s="920"/>
    </row>
    <row r="686">
      <c r="B686" s="920"/>
    </row>
    <row r="687">
      <c r="B687" s="920"/>
    </row>
    <row r="688">
      <c r="B688" s="920"/>
    </row>
    <row r="689">
      <c r="B689" s="920"/>
    </row>
    <row r="690">
      <c r="B690" s="920"/>
    </row>
    <row r="691">
      <c r="B691" s="920"/>
    </row>
    <row r="692">
      <c r="B692" s="920"/>
    </row>
    <row r="693">
      <c r="B693" s="920"/>
    </row>
    <row r="694">
      <c r="B694" s="920"/>
    </row>
    <row r="695">
      <c r="B695" s="920"/>
    </row>
    <row r="696">
      <c r="B696" s="920"/>
    </row>
    <row r="697">
      <c r="B697" s="920"/>
    </row>
    <row r="698">
      <c r="B698" s="920"/>
    </row>
    <row r="699">
      <c r="B699" s="920"/>
    </row>
    <row r="700">
      <c r="B700" s="920"/>
    </row>
    <row r="701">
      <c r="B701" s="920"/>
    </row>
    <row r="702">
      <c r="B702" s="920"/>
    </row>
    <row r="703">
      <c r="B703" s="920"/>
    </row>
    <row r="704">
      <c r="B704" s="920"/>
    </row>
    <row r="705">
      <c r="B705" s="920"/>
    </row>
    <row r="706">
      <c r="B706" s="920"/>
    </row>
    <row r="707">
      <c r="B707" s="920"/>
    </row>
    <row r="708">
      <c r="B708" s="920"/>
    </row>
    <row r="709">
      <c r="B709" s="920"/>
    </row>
    <row r="710">
      <c r="B710" s="920"/>
    </row>
    <row r="711">
      <c r="B711" s="920"/>
    </row>
    <row r="712">
      <c r="B712" s="920"/>
    </row>
    <row r="713">
      <c r="B713" s="920"/>
    </row>
    <row r="714">
      <c r="B714" s="920"/>
    </row>
    <row r="715">
      <c r="B715" s="920"/>
    </row>
    <row r="716">
      <c r="B716" s="920"/>
    </row>
    <row r="717">
      <c r="B717" s="920"/>
    </row>
    <row r="718">
      <c r="B718" s="920"/>
    </row>
    <row r="719">
      <c r="B719" s="920"/>
    </row>
    <row r="720">
      <c r="B720" s="920"/>
    </row>
    <row r="721">
      <c r="B721" s="920"/>
    </row>
    <row r="722">
      <c r="B722" s="920"/>
    </row>
    <row r="723">
      <c r="B723" s="920"/>
    </row>
    <row r="724">
      <c r="B724" s="920"/>
    </row>
    <row r="725">
      <c r="B725" s="920"/>
    </row>
    <row r="726">
      <c r="B726" s="920"/>
    </row>
    <row r="727">
      <c r="B727" s="920"/>
    </row>
    <row r="728">
      <c r="B728" s="920"/>
    </row>
    <row r="729">
      <c r="B729" s="920"/>
    </row>
    <row r="730">
      <c r="B730" s="920"/>
    </row>
    <row r="731">
      <c r="B731" s="920"/>
    </row>
    <row r="732">
      <c r="B732" s="920"/>
    </row>
    <row r="733">
      <c r="B733" s="920"/>
    </row>
    <row r="734">
      <c r="B734" s="920"/>
    </row>
    <row r="735">
      <c r="B735" s="920"/>
    </row>
    <row r="736">
      <c r="B736" s="920"/>
    </row>
    <row r="737">
      <c r="B737" s="920"/>
    </row>
    <row r="738">
      <c r="B738" s="920"/>
    </row>
    <row r="739">
      <c r="B739" s="920"/>
    </row>
    <row r="740">
      <c r="B740" s="920"/>
    </row>
    <row r="741">
      <c r="B741" s="920"/>
    </row>
    <row r="742">
      <c r="B742" s="920"/>
    </row>
    <row r="743">
      <c r="B743" s="920"/>
    </row>
    <row r="744">
      <c r="B744" s="920"/>
    </row>
    <row r="745">
      <c r="B745" s="920"/>
    </row>
    <row r="746">
      <c r="B746" s="920"/>
    </row>
    <row r="747">
      <c r="B747" s="920"/>
    </row>
    <row r="748">
      <c r="B748" s="920"/>
    </row>
    <row r="749">
      <c r="B749" s="920"/>
    </row>
    <row r="750">
      <c r="B750" s="920"/>
    </row>
    <row r="751">
      <c r="B751" s="920"/>
    </row>
    <row r="752">
      <c r="B752" s="920"/>
    </row>
    <row r="753">
      <c r="B753" s="920"/>
    </row>
    <row r="754">
      <c r="B754" s="920"/>
    </row>
    <row r="755">
      <c r="B755" s="920"/>
    </row>
    <row r="756">
      <c r="B756" s="920"/>
    </row>
    <row r="757">
      <c r="B757" s="920"/>
    </row>
    <row r="758">
      <c r="B758" s="920"/>
    </row>
    <row r="759">
      <c r="B759" s="920"/>
    </row>
    <row r="760">
      <c r="B760" s="920"/>
    </row>
    <row r="761">
      <c r="B761" s="920"/>
    </row>
    <row r="762">
      <c r="B762" s="920"/>
    </row>
    <row r="763">
      <c r="B763" s="920"/>
    </row>
    <row r="764">
      <c r="B764" s="920"/>
    </row>
    <row r="765">
      <c r="B765" s="920"/>
    </row>
    <row r="766">
      <c r="B766" s="920"/>
    </row>
    <row r="767">
      <c r="B767" s="920"/>
    </row>
    <row r="768">
      <c r="B768" s="920"/>
    </row>
    <row r="769">
      <c r="B769" s="920"/>
    </row>
    <row r="770">
      <c r="B770" s="920"/>
    </row>
    <row r="771">
      <c r="B771" s="920"/>
    </row>
    <row r="772">
      <c r="B772" s="920"/>
    </row>
    <row r="773">
      <c r="B773" s="920"/>
    </row>
    <row r="774">
      <c r="B774" s="920"/>
    </row>
    <row r="775">
      <c r="B775" s="920"/>
    </row>
    <row r="776">
      <c r="B776" s="920"/>
    </row>
    <row r="777">
      <c r="B777" s="920"/>
    </row>
    <row r="778">
      <c r="B778" s="920"/>
    </row>
    <row r="779">
      <c r="B779" s="920"/>
    </row>
    <row r="780">
      <c r="B780" s="920"/>
    </row>
    <row r="781">
      <c r="B781" s="920"/>
    </row>
    <row r="782">
      <c r="B782" s="920"/>
    </row>
    <row r="783">
      <c r="B783" s="920"/>
    </row>
    <row r="784">
      <c r="B784" s="920"/>
    </row>
    <row r="785">
      <c r="B785" s="920"/>
    </row>
    <row r="786">
      <c r="B786" s="920"/>
    </row>
    <row r="787">
      <c r="B787" s="920"/>
    </row>
    <row r="788">
      <c r="B788" s="920"/>
    </row>
    <row r="789">
      <c r="B789" s="920"/>
    </row>
    <row r="790">
      <c r="B790" s="920"/>
    </row>
    <row r="791">
      <c r="B791" s="920"/>
    </row>
    <row r="792">
      <c r="B792" s="920"/>
    </row>
    <row r="793">
      <c r="B793" s="920"/>
    </row>
    <row r="794">
      <c r="B794" s="920"/>
    </row>
    <row r="795">
      <c r="B795" s="920"/>
    </row>
    <row r="796">
      <c r="B796" s="920"/>
    </row>
    <row r="797">
      <c r="B797" s="920"/>
    </row>
    <row r="798">
      <c r="B798" s="920"/>
    </row>
    <row r="799">
      <c r="B799" s="920"/>
    </row>
    <row r="800">
      <c r="B800" s="920"/>
    </row>
    <row r="801">
      <c r="B801" s="920"/>
    </row>
    <row r="802">
      <c r="B802" s="920"/>
    </row>
    <row r="803">
      <c r="B803" s="920"/>
    </row>
    <row r="804">
      <c r="B804" s="920"/>
    </row>
    <row r="805">
      <c r="B805" s="920"/>
    </row>
    <row r="806">
      <c r="B806" s="920"/>
    </row>
    <row r="807">
      <c r="B807" s="920"/>
    </row>
    <row r="808">
      <c r="B808" s="920"/>
    </row>
    <row r="809">
      <c r="B809" s="920"/>
    </row>
    <row r="810">
      <c r="B810" s="920"/>
    </row>
    <row r="811">
      <c r="B811" s="920"/>
    </row>
    <row r="812">
      <c r="B812" s="920"/>
    </row>
    <row r="813">
      <c r="B813" s="920"/>
    </row>
    <row r="814">
      <c r="B814" s="920"/>
    </row>
    <row r="815">
      <c r="B815" s="920"/>
    </row>
    <row r="816">
      <c r="B816" s="920"/>
    </row>
    <row r="817">
      <c r="B817" s="920"/>
    </row>
    <row r="818">
      <c r="B818" s="920"/>
    </row>
    <row r="819">
      <c r="B819" s="920"/>
    </row>
    <row r="820">
      <c r="B820" s="920"/>
    </row>
    <row r="821">
      <c r="B821" s="920"/>
    </row>
    <row r="822">
      <c r="B822" s="920"/>
    </row>
    <row r="823">
      <c r="B823" s="920"/>
    </row>
    <row r="824">
      <c r="B824" s="920"/>
    </row>
    <row r="825">
      <c r="B825" s="920"/>
    </row>
    <row r="826">
      <c r="B826" s="920"/>
    </row>
    <row r="827">
      <c r="B827" s="920"/>
    </row>
    <row r="828">
      <c r="B828" s="920"/>
    </row>
    <row r="829">
      <c r="B829" s="920"/>
    </row>
    <row r="830">
      <c r="B830" s="920"/>
    </row>
    <row r="831">
      <c r="B831" s="920"/>
    </row>
    <row r="832">
      <c r="B832" s="920"/>
    </row>
    <row r="833">
      <c r="B833" s="920"/>
    </row>
    <row r="834">
      <c r="B834" s="920"/>
    </row>
    <row r="835">
      <c r="B835" s="920"/>
    </row>
    <row r="836">
      <c r="B836" s="920"/>
    </row>
    <row r="837">
      <c r="B837" s="920"/>
    </row>
    <row r="838">
      <c r="B838" s="920"/>
    </row>
    <row r="839">
      <c r="B839" s="920"/>
    </row>
    <row r="840">
      <c r="B840" s="920"/>
    </row>
    <row r="841">
      <c r="B841" s="920"/>
    </row>
    <row r="842">
      <c r="B842" s="920"/>
    </row>
    <row r="843">
      <c r="B843" s="920"/>
    </row>
    <row r="844">
      <c r="B844" s="920"/>
    </row>
    <row r="845">
      <c r="B845" s="920"/>
    </row>
    <row r="846">
      <c r="B846" s="920"/>
    </row>
    <row r="847">
      <c r="B847" s="920"/>
    </row>
    <row r="848">
      <c r="B848" s="920"/>
    </row>
    <row r="849">
      <c r="B849" s="920"/>
    </row>
    <row r="850">
      <c r="B850" s="920"/>
    </row>
    <row r="851">
      <c r="B851" s="920"/>
    </row>
    <row r="852">
      <c r="B852" s="920"/>
    </row>
    <row r="853">
      <c r="B853" s="920"/>
    </row>
    <row r="854">
      <c r="B854" s="920"/>
    </row>
    <row r="855">
      <c r="B855" s="920"/>
    </row>
    <row r="856">
      <c r="B856" s="920"/>
    </row>
    <row r="857">
      <c r="B857" s="920"/>
    </row>
    <row r="858">
      <c r="B858" s="920"/>
    </row>
    <row r="859">
      <c r="B859" s="920"/>
    </row>
    <row r="860">
      <c r="B860" s="920"/>
    </row>
    <row r="861">
      <c r="B861" s="920"/>
    </row>
    <row r="862">
      <c r="B862" s="920"/>
    </row>
    <row r="863">
      <c r="B863" s="920"/>
    </row>
    <row r="864">
      <c r="B864" s="920"/>
    </row>
    <row r="865">
      <c r="B865" s="920"/>
    </row>
    <row r="866">
      <c r="B866" s="920"/>
    </row>
    <row r="867">
      <c r="B867" s="920"/>
    </row>
    <row r="868">
      <c r="B868" s="920"/>
    </row>
    <row r="869">
      <c r="B869" s="920"/>
    </row>
    <row r="870">
      <c r="B870" s="920"/>
    </row>
    <row r="871">
      <c r="B871" s="920"/>
    </row>
    <row r="872">
      <c r="B872" s="920"/>
    </row>
    <row r="873">
      <c r="B873" s="920"/>
    </row>
    <row r="874">
      <c r="B874" s="920"/>
    </row>
    <row r="875">
      <c r="B875" s="920"/>
    </row>
    <row r="876">
      <c r="B876" s="920"/>
    </row>
    <row r="877">
      <c r="B877" s="920"/>
    </row>
    <row r="878">
      <c r="B878" s="920"/>
    </row>
    <row r="879">
      <c r="B879" s="920"/>
    </row>
    <row r="880">
      <c r="B880" s="920"/>
    </row>
    <row r="881">
      <c r="B881" s="920"/>
    </row>
    <row r="882">
      <c r="B882" s="920"/>
    </row>
    <row r="883">
      <c r="B883" s="920"/>
    </row>
    <row r="884">
      <c r="B884" s="920"/>
    </row>
    <row r="885">
      <c r="B885" s="920"/>
    </row>
    <row r="886">
      <c r="B886" s="920"/>
    </row>
    <row r="887">
      <c r="B887" s="920"/>
    </row>
    <row r="888">
      <c r="B888" s="920"/>
    </row>
    <row r="889">
      <c r="B889" s="920"/>
    </row>
    <row r="890">
      <c r="B890" s="920"/>
    </row>
    <row r="891">
      <c r="B891" s="920"/>
    </row>
    <row r="892">
      <c r="B892" s="920"/>
    </row>
    <row r="893">
      <c r="B893" s="920"/>
    </row>
    <row r="894">
      <c r="B894" s="920"/>
    </row>
    <row r="895">
      <c r="B895" s="920"/>
    </row>
    <row r="896">
      <c r="B896" s="920"/>
    </row>
    <row r="897">
      <c r="B897" s="920"/>
    </row>
    <row r="898">
      <c r="B898" s="920"/>
    </row>
    <row r="899">
      <c r="B899" s="920"/>
    </row>
    <row r="900">
      <c r="B900" s="920"/>
    </row>
    <row r="901">
      <c r="B901" s="920"/>
    </row>
    <row r="902">
      <c r="B902" s="920"/>
    </row>
    <row r="903">
      <c r="B903" s="920"/>
    </row>
    <row r="904">
      <c r="B904" s="920"/>
    </row>
    <row r="905">
      <c r="B905" s="920"/>
    </row>
    <row r="906">
      <c r="B906" s="920"/>
    </row>
    <row r="907">
      <c r="B907" s="920"/>
    </row>
    <row r="908">
      <c r="B908" s="920"/>
    </row>
    <row r="909">
      <c r="B909" s="920"/>
    </row>
    <row r="910">
      <c r="B910" s="920"/>
    </row>
    <row r="911">
      <c r="B911" s="920"/>
    </row>
    <row r="912">
      <c r="B912" s="920"/>
    </row>
    <row r="913">
      <c r="B913" s="920"/>
    </row>
    <row r="914">
      <c r="B914" s="920"/>
    </row>
    <row r="915">
      <c r="B915" s="920"/>
    </row>
    <row r="916">
      <c r="B916" s="920"/>
    </row>
    <row r="917">
      <c r="B917" s="920"/>
    </row>
    <row r="918">
      <c r="B918" s="920"/>
    </row>
    <row r="919">
      <c r="B919" s="920"/>
    </row>
    <row r="920">
      <c r="B920" s="920"/>
    </row>
    <row r="921">
      <c r="B921" s="920"/>
    </row>
    <row r="922">
      <c r="B922" s="920"/>
    </row>
    <row r="923">
      <c r="B923" s="920"/>
    </row>
    <row r="924">
      <c r="B924" s="920"/>
    </row>
    <row r="925">
      <c r="B925" s="920"/>
    </row>
    <row r="926">
      <c r="B926" s="920"/>
    </row>
    <row r="927">
      <c r="B927" s="920"/>
    </row>
    <row r="928">
      <c r="B928" s="920"/>
    </row>
    <row r="929">
      <c r="B929" s="920"/>
    </row>
    <row r="930">
      <c r="B930" s="920"/>
    </row>
    <row r="931">
      <c r="B931" s="920"/>
    </row>
    <row r="932">
      <c r="B932" s="920"/>
    </row>
    <row r="933">
      <c r="B933" s="920"/>
    </row>
    <row r="934">
      <c r="B934" s="920"/>
    </row>
    <row r="935">
      <c r="B935" s="920"/>
    </row>
    <row r="936">
      <c r="B936" s="920"/>
    </row>
    <row r="937">
      <c r="B937" s="920"/>
    </row>
    <row r="938">
      <c r="B938" s="920"/>
    </row>
    <row r="939">
      <c r="B939" s="920"/>
    </row>
    <row r="940">
      <c r="B940" s="920"/>
    </row>
    <row r="941">
      <c r="B941" s="920"/>
    </row>
    <row r="942">
      <c r="B942" s="920"/>
    </row>
    <row r="943">
      <c r="B943" s="920"/>
    </row>
    <row r="944">
      <c r="B944" s="920"/>
    </row>
    <row r="945">
      <c r="B945" s="920"/>
    </row>
    <row r="946">
      <c r="B946" s="920"/>
    </row>
    <row r="947">
      <c r="B947" s="920"/>
    </row>
    <row r="948">
      <c r="B948" s="920"/>
    </row>
    <row r="949">
      <c r="B949" s="920"/>
    </row>
    <row r="950">
      <c r="B950" s="920"/>
    </row>
    <row r="951">
      <c r="B951" s="920"/>
    </row>
    <row r="952">
      <c r="B952" s="920"/>
    </row>
    <row r="953">
      <c r="B953" s="920"/>
    </row>
    <row r="954">
      <c r="B954" s="920"/>
    </row>
    <row r="955">
      <c r="B955" s="920"/>
    </row>
    <row r="956">
      <c r="B956" s="920"/>
    </row>
    <row r="957">
      <c r="B957" s="920"/>
    </row>
    <row r="958">
      <c r="B958" s="920"/>
    </row>
    <row r="959">
      <c r="B959" s="920"/>
    </row>
    <row r="960">
      <c r="B960" s="920"/>
    </row>
    <row r="961">
      <c r="B961" s="920"/>
    </row>
    <row r="962">
      <c r="B962" s="920"/>
    </row>
    <row r="963">
      <c r="B963" s="920"/>
    </row>
    <row r="964">
      <c r="B964" s="920"/>
    </row>
    <row r="965">
      <c r="B965" s="920"/>
    </row>
    <row r="966">
      <c r="B966" s="920"/>
    </row>
    <row r="967">
      <c r="B967" s="920"/>
    </row>
    <row r="968">
      <c r="B968" s="920"/>
    </row>
    <row r="969">
      <c r="B969" s="920"/>
    </row>
    <row r="970">
      <c r="B970" s="920"/>
    </row>
    <row r="971">
      <c r="B971" s="920"/>
    </row>
    <row r="972">
      <c r="B972" s="920"/>
    </row>
    <row r="973">
      <c r="B973" s="920"/>
    </row>
    <row r="974">
      <c r="B974" s="920"/>
    </row>
    <row r="975">
      <c r="B975" s="920"/>
    </row>
    <row r="976">
      <c r="B976" s="920"/>
    </row>
    <row r="977">
      <c r="B977" s="920"/>
    </row>
    <row r="978">
      <c r="B978" s="920"/>
    </row>
    <row r="979">
      <c r="B979" s="920"/>
    </row>
    <row r="980">
      <c r="B980" s="920"/>
    </row>
    <row r="981">
      <c r="B981" s="920"/>
    </row>
    <row r="982">
      <c r="B982" s="920"/>
    </row>
    <row r="983">
      <c r="B983" s="920"/>
    </row>
    <row r="984">
      <c r="B984" s="920"/>
    </row>
    <row r="985">
      <c r="B985" s="920"/>
    </row>
    <row r="986">
      <c r="B986" s="920"/>
    </row>
    <row r="987">
      <c r="B987" s="920"/>
    </row>
    <row r="988">
      <c r="B988" s="920"/>
    </row>
    <row r="989">
      <c r="B989" s="920"/>
    </row>
    <row r="990">
      <c r="B990" s="920"/>
    </row>
    <row r="991">
      <c r="B991" s="920"/>
    </row>
    <row r="992">
      <c r="B992" s="920"/>
    </row>
    <row r="993">
      <c r="B993" s="920"/>
    </row>
    <row r="994">
      <c r="B994" s="920"/>
    </row>
    <row r="995">
      <c r="B995" s="920"/>
    </row>
    <row r="996">
      <c r="B996" s="920"/>
    </row>
    <row r="997">
      <c r="B997" s="920"/>
    </row>
    <row r="998">
      <c r="B998" s="920"/>
    </row>
    <row r="999">
      <c r="B999" s="920"/>
    </row>
    <row r="1000">
      <c r="B1000" s="920"/>
    </row>
    <row r="1001">
      <c r="B1001" s="920"/>
    </row>
    <row r="1002">
      <c r="B1002" s="920"/>
    </row>
    <row r="1003">
      <c r="B1003" s="920"/>
    </row>
  </sheetData>
  <mergeCells count="25">
    <mergeCell ref="F47:F48"/>
    <mergeCell ref="G47:G48"/>
    <mergeCell ref="B1:H1"/>
    <mergeCell ref="B34:H35"/>
    <mergeCell ref="B45:H46"/>
    <mergeCell ref="B47:B48"/>
    <mergeCell ref="C47:C48"/>
    <mergeCell ref="D47:D48"/>
    <mergeCell ref="E47:E48"/>
    <mergeCell ref="G61:G62"/>
    <mergeCell ref="H61:H62"/>
    <mergeCell ref="B72:B74"/>
    <mergeCell ref="C72:C74"/>
    <mergeCell ref="D72:D74"/>
    <mergeCell ref="E72:E74"/>
    <mergeCell ref="F72:F74"/>
    <mergeCell ref="G72:G74"/>
    <mergeCell ref="H72:H74"/>
    <mergeCell ref="H47:H48"/>
    <mergeCell ref="B59:H60"/>
    <mergeCell ref="B61:B62"/>
    <mergeCell ref="C61:C62"/>
    <mergeCell ref="D61:D62"/>
    <mergeCell ref="E61:E62"/>
    <mergeCell ref="F61:F6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0"/>
  <cols>
    <col customWidth="1" min="2" max="32" width="4.43"/>
  </cols>
  <sheetData>
    <row r="1">
      <c r="A1" s="948"/>
      <c r="B1" s="949">
        <v>45658.0</v>
      </c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334"/>
    </row>
    <row r="2">
      <c r="A2" s="948"/>
      <c r="B2" s="950" t="s">
        <v>466</v>
      </c>
      <c r="C2" s="950" t="s">
        <v>467</v>
      </c>
      <c r="D2" s="950" t="s">
        <v>468</v>
      </c>
      <c r="E2" s="950" t="s">
        <v>469</v>
      </c>
      <c r="F2" s="950" t="s">
        <v>470</v>
      </c>
      <c r="G2" s="950" t="s">
        <v>471</v>
      </c>
      <c r="H2" s="950" t="s">
        <v>472</v>
      </c>
      <c r="I2" s="950" t="s">
        <v>466</v>
      </c>
      <c r="J2" s="950" t="s">
        <v>467</v>
      </c>
      <c r="K2" s="950" t="s">
        <v>468</v>
      </c>
      <c r="L2" s="950" t="s">
        <v>469</v>
      </c>
      <c r="M2" s="950" t="s">
        <v>470</v>
      </c>
      <c r="N2" s="950" t="s">
        <v>471</v>
      </c>
      <c r="O2" s="950" t="s">
        <v>472</v>
      </c>
      <c r="P2" s="950" t="s">
        <v>466</v>
      </c>
      <c r="Q2" s="950" t="s">
        <v>467</v>
      </c>
      <c r="R2" s="950" t="s">
        <v>468</v>
      </c>
      <c r="S2" s="950" t="s">
        <v>469</v>
      </c>
      <c r="T2" s="950" t="s">
        <v>470</v>
      </c>
      <c r="U2" s="950" t="s">
        <v>471</v>
      </c>
      <c r="V2" s="950" t="s">
        <v>472</v>
      </c>
      <c r="W2" s="950" t="s">
        <v>466</v>
      </c>
      <c r="X2" s="950" t="s">
        <v>467</v>
      </c>
      <c r="Y2" s="950" t="s">
        <v>468</v>
      </c>
      <c r="Z2" s="950" t="s">
        <v>469</v>
      </c>
      <c r="AA2" s="950" t="s">
        <v>470</v>
      </c>
      <c r="AB2" s="950" t="s">
        <v>471</v>
      </c>
      <c r="AC2" s="950" t="s">
        <v>472</v>
      </c>
      <c r="AD2" s="950" t="s">
        <v>466</v>
      </c>
      <c r="AE2" s="950" t="s">
        <v>467</v>
      </c>
      <c r="AF2" s="950" t="s">
        <v>468</v>
      </c>
    </row>
    <row r="3">
      <c r="A3" s="948"/>
      <c r="B3" s="951">
        <v>1.0</v>
      </c>
      <c r="C3" s="951">
        <v>2.0</v>
      </c>
      <c r="D3" s="951">
        <v>3.0</v>
      </c>
      <c r="E3" s="951">
        <v>4.0</v>
      </c>
      <c r="F3" s="951">
        <v>5.0</v>
      </c>
      <c r="G3" s="950">
        <v>6.0</v>
      </c>
      <c r="H3" s="950">
        <v>7.0</v>
      </c>
      <c r="I3" s="950">
        <v>8.0</v>
      </c>
      <c r="J3" s="950">
        <v>9.0</v>
      </c>
      <c r="K3" s="950">
        <v>10.0</v>
      </c>
      <c r="L3" s="950">
        <v>11.0</v>
      </c>
      <c r="M3" s="950">
        <v>12.0</v>
      </c>
      <c r="N3" s="950">
        <v>13.0</v>
      </c>
      <c r="O3" s="950">
        <v>14.0</v>
      </c>
      <c r="P3" s="950">
        <v>15.0</v>
      </c>
      <c r="Q3" s="950">
        <v>16.0</v>
      </c>
      <c r="R3" s="950">
        <v>17.0</v>
      </c>
      <c r="S3" s="950">
        <v>18.0</v>
      </c>
      <c r="T3" s="950">
        <v>19.0</v>
      </c>
      <c r="U3" s="950">
        <v>20.0</v>
      </c>
      <c r="V3" s="950">
        <v>21.0</v>
      </c>
      <c r="W3" s="950">
        <v>22.0</v>
      </c>
      <c r="X3" s="950">
        <v>23.0</v>
      </c>
      <c r="Y3" s="950">
        <v>24.0</v>
      </c>
      <c r="Z3" s="950">
        <v>25.0</v>
      </c>
      <c r="AA3" s="950">
        <v>26.0</v>
      </c>
      <c r="AB3" s="950">
        <v>27.0</v>
      </c>
      <c r="AC3" s="950">
        <v>28.0</v>
      </c>
      <c r="AD3" s="950">
        <v>29.0</v>
      </c>
      <c r="AE3" s="950">
        <v>30.0</v>
      </c>
      <c r="AF3" s="950">
        <v>31.0</v>
      </c>
    </row>
    <row r="4">
      <c r="A4" s="952" t="s">
        <v>473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953"/>
      <c r="X4" s="663"/>
      <c r="Y4" s="663"/>
      <c r="Z4" s="663"/>
      <c r="AA4" s="663"/>
      <c r="AB4" s="663"/>
      <c r="AC4" s="663"/>
      <c r="AD4" s="953"/>
      <c r="AE4" s="663"/>
      <c r="AF4" s="663"/>
    </row>
    <row r="5">
      <c r="A5" s="952" t="s">
        <v>144</v>
      </c>
      <c r="B5" s="663"/>
      <c r="C5" s="663"/>
      <c r="D5" s="663"/>
      <c r="E5" s="663"/>
      <c r="F5" s="663"/>
      <c r="G5" s="663"/>
      <c r="H5" s="663"/>
      <c r="I5" s="663"/>
      <c r="J5" s="663"/>
      <c r="K5" s="663"/>
      <c r="L5" s="663"/>
      <c r="M5" s="663"/>
      <c r="N5" s="663"/>
      <c r="O5" s="663"/>
      <c r="P5" s="663"/>
      <c r="Q5" s="663"/>
      <c r="R5" s="663"/>
      <c r="S5" s="663"/>
      <c r="T5" s="663"/>
      <c r="U5" s="663"/>
      <c r="V5" s="663"/>
      <c r="W5" s="663"/>
      <c r="X5" s="663"/>
      <c r="Y5" s="663"/>
      <c r="Z5" s="663"/>
      <c r="AA5" s="663"/>
      <c r="AB5" s="663"/>
      <c r="AC5" s="663"/>
      <c r="AD5" s="663"/>
      <c r="AE5" s="663"/>
      <c r="AF5" s="663"/>
    </row>
    <row r="6">
      <c r="A6" s="948" t="s">
        <v>175</v>
      </c>
      <c r="B6" s="663"/>
      <c r="C6" s="663"/>
      <c r="D6" s="663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663"/>
      <c r="R6" s="663"/>
      <c r="S6" s="663"/>
      <c r="T6" s="663"/>
      <c r="U6" s="663"/>
      <c r="V6" s="663"/>
      <c r="W6" s="663"/>
      <c r="X6" s="663"/>
      <c r="Y6" s="663"/>
      <c r="Z6" s="663"/>
      <c r="AA6" s="663"/>
      <c r="AB6" s="663"/>
      <c r="AC6" s="663"/>
      <c r="AD6" s="663"/>
      <c r="AE6" s="663"/>
      <c r="AF6" s="663"/>
    </row>
    <row r="7">
      <c r="A7" s="948" t="s">
        <v>316</v>
      </c>
      <c r="B7" s="663"/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3"/>
      <c r="X7" s="663"/>
      <c r="Y7" s="953"/>
    </row>
    <row r="8">
      <c r="A8" s="948" t="s">
        <v>286</v>
      </c>
      <c r="B8" s="663"/>
      <c r="C8" s="663"/>
      <c r="D8" s="663"/>
      <c r="E8" s="663"/>
      <c r="F8" s="663"/>
      <c r="G8" s="663"/>
      <c r="H8" s="663"/>
      <c r="I8" s="663"/>
      <c r="J8" s="663"/>
      <c r="K8" s="663"/>
      <c r="L8" s="663"/>
      <c r="M8" s="663"/>
      <c r="N8" s="663"/>
      <c r="O8" s="663"/>
      <c r="P8" s="663"/>
      <c r="Q8" s="663"/>
      <c r="R8" s="663"/>
      <c r="S8" s="663"/>
      <c r="T8" s="663"/>
      <c r="U8" s="663"/>
      <c r="V8" s="663"/>
      <c r="W8" s="663"/>
      <c r="X8" s="663"/>
      <c r="Y8" s="953"/>
      <c r="Z8" s="663"/>
      <c r="AA8" s="663"/>
      <c r="AB8" s="663"/>
      <c r="AC8" s="663"/>
      <c r="AD8" s="663"/>
      <c r="AE8" s="663"/>
      <c r="AF8" s="663"/>
    </row>
    <row r="9">
      <c r="A9" s="948" t="s">
        <v>194</v>
      </c>
      <c r="B9" s="663"/>
      <c r="C9" s="663"/>
      <c r="D9" s="663"/>
      <c r="E9" s="663"/>
      <c r="F9" s="663"/>
      <c r="G9" s="663"/>
      <c r="H9" s="663"/>
      <c r="I9" s="663"/>
      <c r="J9" s="663"/>
      <c r="K9" s="663"/>
      <c r="L9" s="663"/>
      <c r="M9" s="663"/>
      <c r="N9" s="663"/>
      <c r="O9" s="663"/>
      <c r="P9" s="663"/>
      <c r="Q9" s="663"/>
      <c r="R9" s="663"/>
      <c r="S9" s="663"/>
      <c r="T9" s="663"/>
      <c r="U9" s="663"/>
      <c r="V9" s="663"/>
      <c r="W9" s="663"/>
      <c r="X9" s="663"/>
      <c r="Y9" s="663"/>
      <c r="Z9" s="663"/>
      <c r="AA9" s="663"/>
      <c r="AB9" s="663"/>
      <c r="AC9" s="663"/>
      <c r="AD9" s="663"/>
      <c r="AE9" s="663"/>
      <c r="AF9" s="663"/>
    </row>
    <row r="10">
      <c r="A10" s="948" t="s">
        <v>293</v>
      </c>
      <c r="B10" s="663"/>
      <c r="C10" s="663"/>
      <c r="D10" s="663"/>
      <c r="E10" s="663"/>
      <c r="F10" s="663"/>
      <c r="G10" s="954"/>
      <c r="H10" s="663"/>
      <c r="I10" s="663"/>
      <c r="J10" s="663"/>
      <c r="K10" s="663"/>
      <c r="L10" s="663"/>
      <c r="M10" s="663"/>
      <c r="N10" s="663"/>
      <c r="O10" s="663"/>
      <c r="P10" s="663"/>
      <c r="Q10" s="663"/>
      <c r="R10" s="663"/>
      <c r="S10" s="663"/>
      <c r="T10" s="663"/>
      <c r="U10" s="663"/>
      <c r="V10" s="663"/>
      <c r="W10" s="663"/>
      <c r="X10" s="663"/>
      <c r="Y10" s="663"/>
      <c r="Z10" s="663"/>
      <c r="AA10" s="663"/>
      <c r="AB10" s="663"/>
      <c r="AC10" s="663"/>
      <c r="AD10" s="663"/>
      <c r="AE10" s="663"/>
      <c r="AF10" s="663"/>
    </row>
    <row r="11">
      <c r="A11" s="948" t="s">
        <v>72</v>
      </c>
      <c r="B11" s="663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</row>
    <row r="12">
      <c r="A12" s="948" t="s">
        <v>276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663"/>
      <c r="O12" s="663"/>
      <c r="P12" s="663"/>
      <c r="Q12" s="663"/>
      <c r="R12" s="663"/>
      <c r="S12" s="663"/>
      <c r="T12" s="663"/>
      <c r="U12" s="663"/>
      <c r="V12" s="663"/>
      <c r="W12" s="663"/>
      <c r="X12" s="663"/>
      <c r="Y12" s="663"/>
      <c r="Z12" s="663"/>
      <c r="AA12" s="663"/>
      <c r="AB12" s="663"/>
      <c r="AC12" s="663"/>
      <c r="AD12" s="663"/>
      <c r="AE12" s="663"/>
      <c r="AF12" s="663"/>
    </row>
    <row r="13">
      <c r="A13" s="948" t="s">
        <v>317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3"/>
      <c r="N13" s="663"/>
      <c r="O13" s="663"/>
      <c r="P13" s="663"/>
      <c r="Q13" s="663"/>
      <c r="R13" s="663"/>
      <c r="S13" s="663"/>
      <c r="T13" s="663"/>
      <c r="U13" s="663"/>
      <c r="V13" s="663"/>
      <c r="W13" s="663"/>
      <c r="X13" s="663"/>
      <c r="Y13" s="663"/>
      <c r="Z13" s="663"/>
      <c r="AA13" s="663"/>
      <c r="AB13" s="663"/>
      <c r="AC13" s="663"/>
      <c r="AD13" s="953"/>
      <c r="AE13" s="663"/>
      <c r="AF13" s="663"/>
    </row>
    <row r="14">
      <c r="A14" s="955" t="s">
        <v>312</v>
      </c>
      <c r="B14" s="896"/>
      <c r="C14" s="896"/>
      <c r="D14" s="896"/>
      <c r="E14" s="896"/>
      <c r="F14" s="896"/>
      <c r="G14" s="896"/>
      <c r="H14" s="896"/>
      <c r="I14" s="896"/>
      <c r="J14" s="896"/>
      <c r="K14" s="896"/>
      <c r="L14" s="896"/>
      <c r="M14" s="896"/>
      <c r="N14" s="896"/>
      <c r="O14" s="896"/>
      <c r="P14" s="896"/>
      <c r="Q14" s="896"/>
      <c r="R14" s="896"/>
      <c r="S14" s="896"/>
      <c r="T14" s="896"/>
      <c r="U14" s="896"/>
      <c r="V14" s="896"/>
      <c r="W14" s="896"/>
      <c r="X14" s="896"/>
      <c r="Y14" s="896"/>
      <c r="Z14" s="896"/>
      <c r="AA14" s="896"/>
      <c r="AB14" s="896"/>
      <c r="AC14" s="896"/>
      <c r="AD14" s="896"/>
      <c r="AE14" s="896"/>
      <c r="AF14" s="896"/>
    </row>
    <row r="15">
      <c r="A15" s="955" t="s">
        <v>302</v>
      </c>
    </row>
    <row r="16">
      <c r="A16" s="955" t="s">
        <v>274</v>
      </c>
    </row>
    <row r="17">
      <c r="A17" s="955" t="s">
        <v>93</v>
      </c>
    </row>
    <row r="18">
      <c r="A18" s="955" t="s">
        <v>455</v>
      </c>
    </row>
    <row r="19">
      <c r="A19" s="955" t="s">
        <v>309</v>
      </c>
    </row>
    <row r="20">
      <c r="A20" s="955" t="s">
        <v>474</v>
      </c>
    </row>
    <row r="21">
      <c r="A21" s="955" t="s">
        <v>283</v>
      </c>
      <c r="X21" s="903"/>
    </row>
    <row r="22">
      <c r="A22" s="955" t="s">
        <v>139</v>
      </c>
    </row>
    <row r="23">
      <c r="A23" s="955" t="s">
        <v>456</v>
      </c>
    </row>
    <row r="24">
      <c r="A24" s="955" t="s">
        <v>223</v>
      </c>
    </row>
    <row r="25">
      <c r="A25" s="955" t="s">
        <v>234</v>
      </c>
    </row>
    <row r="26">
      <c r="A26" s="955" t="s">
        <v>475</v>
      </c>
    </row>
    <row r="27">
      <c r="A27" s="955" t="s">
        <v>476</v>
      </c>
    </row>
    <row r="28">
      <c r="A28" s="955" t="s">
        <v>477</v>
      </c>
      <c r="W28" s="903"/>
      <c r="AD28" s="903"/>
    </row>
    <row r="29">
      <c r="A29" s="955" t="s">
        <v>478</v>
      </c>
      <c r="AF29" s="903"/>
    </row>
    <row r="30">
      <c r="A30" s="955" t="s">
        <v>479</v>
      </c>
    </row>
    <row r="31">
      <c r="A31" s="955" t="s">
        <v>292</v>
      </c>
    </row>
    <row r="32">
      <c r="A32" s="955" t="s">
        <v>480</v>
      </c>
      <c r="AE32" s="903"/>
    </row>
    <row r="33">
      <c r="A33" s="955" t="s">
        <v>481</v>
      </c>
      <c r="AB33" s="903"/>
    </row>
    <row r="34">
      <c r="A34" s="955" t="s">
        <v>482</v>
      </c>
    </row>
    <row r="35">
      <c r="A35" s="955" t="s">
        <v>483</v>
      </c>
    </row>
    <row r="36">
      <c r="A36" s="948"/>
      <c r="B36" s="956">
        <v>45689.0</v>
      </c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334"/>
    </row>
    <row r="37">
      <c r="A37" s="948"/>
      <c r="B37" s="957">
        <v>1.0</v>
      </c>
      <c r="C37" s="957">
        <v>2.0</v>
      </c>
      <c r="D37" s="957">
        <v>3.0</v>
      </c>
      <c r="E37" s="957">
        <v>4.0</v>
      </c>
      <c r="F37" s="957">
        <v>5.0</v>
      </c>
      <c r="G37" s="957">
        <v>6.0</v>
      </c>
      <c r="H37" s="957">
        <v>7.0</v>
      </c>
      <c r="I37" s="957">
        <v>8.0</v>
      </c>
      <c r="J37" s="957">
        <v>9.0</v>
      </c>
      <c r="K37" s="957">
        <v>10.0</v>
      </c>
      <c r="L37" s="957">
        <v>11.0</v>
      </c>
      <c r="M37" s="957">
        <v>12.0</v>
      </c>
      <c r="N37" s="957">
        <v>13.0</v>
      </c>
      <c r="O37" s="957">
        <v>14.0</v>
      </c>
      <c r="P37" s="957">
        <v>15.0</v>
      </c>
      <c r="Q37" s="957">
        <v>16.0</v>
      </c>
      <c r="R37" s="957">
        <v>17.0</v>
      </c>
      <c r="S37" s="957">
        <v>18.0</v>
      </c>
      <c r="T37" s="957">
        <v>19.0</v>
      </c>
      <c r="U37" s="957">
        <v>20.0</v>
      </c>
      <c r="V37" s="957">
        <v>21.0</v>
      </c>
      <c r="W37" s="957">
        <v>22.0</v>
      </c>
      <c r="X37" s="957">
        <v>23.0</v>
      </c>
      <c r="Y37" s="957">
        <v>24.0</v>
      </c>
      <c r="Z37" s="957">
        <v>25.0</v>
      </c>
      <c r="AA37" s="957">
        <v>26.0</v>
      </c>
      <c r="AB37" s="957">
        <v>27.0</v>
      </c>
      <c r="AC37" s="957">
        <v>28.0</v>
      </c>
      <c r="AD37" s="950"/>
      <c r="AE37" s="950"/>
      <c r="AF37" s="950"/>
    </row>
    <row r="38">
      <c r="A38" s="948"/>
      <c r="B38" s="958" t="s">
        <v>469</v>
      </c>
      <c r="C38" s="958" t="s">
        <v>470</v>
      </c>
      <c r="D38" s="958" t="s">
        <v>471</v>
      </c>
      <c r="E38" s="958" t="s">
        <v>472</v>
      </c>
      <c r="F38" s="958" t="s">
        <v>466</v>
      </c>
      <c r="G38" s="957" t="s">
        <v>467</v>
      </c>
      <c r="H38" s="957" t="s">
        <v>468</v>
      </c>
      <c r="I38" s="957" t="s">
        <v>469</v>
      </c>
      <c r="J38" s="957" t="s">
        <v>470</v>
      </c>
      <c r="K38" s="957" t="s">
        <v>471</v>
      </c>
      <c r="L38" s="957" t="s">
        <v>472</v>
      </c>
      <c r="M38" s="957" t="s">
        <v>466</v>
      </c>
      <c r="N38" s="957" t="s">
        <v>467</v>
      </c>
      <c r="O38" s="957" t="s">
        <v>468</v>
      </c>
      <c r="P38" s="957" t="s">
        <v>469</v>
      </c>
      <c r="Q38" s="957" t="s">
        <v>470</v>
      </c>
      <c r="R38" s="957" t="s">
        <v>471</v>
      </c>
      <c r="S38" s="957" t="s">
        <v>472</v>
      </c>
      <c r="T38" s="957" t="s">
        <v>466</v>
      </c>
      <c r="U38" s="957" t="s">
        <v>467</v>
      </c>
      <c r="V38" s="957" t="s">
        <v>468</v>
      </c>
      <c r="W38" s="957" t="s">
        <v>469</v>
      </c>
      <c r="X38" s="957" t="s">
        <v>470</v>
      </c>
      <c r="Y38" s="957" t="s">
        <v>471</v>
      </c>
      <c r="Z38" s="957" t="s">
        <v>472</v>
      </c>
      <c r="AA38" s="957" t="s">
        <v>466</v>
      </c>
      <c r="AB38" s="957" t="s">
        <v>467</v>
      </c>
      <c r="AC38" s="957" t="s">
        <v>468</v>
      </c>
      <c r="AD38" s="950"/>
      <c r="AE38" s="950"/>
      <c r="AF38" s="950"/>
    </row>
    <row r="39">
      <c r="A39" s="952" t="s">
        <v>473</v>
      </c>
      <c r="B39" s="663"/>
      <c r="C39" s="663"/>
      <c r="D39" s="663"/>
      <c r="E39" s="663"/>
      <c r="F39" s="663"/>
      <c r="G39" s="953"/>
      <c r="H39" s="663"/>
      <c r="I39" s="663"/>
      <c r="J39" s="663"/>
      <c r="K39" s="663"/>
      <c r="L39" s="663"/>
      <c r="M39" s="663"/>
      <c r="N39" s="663"/>
      <c r="O39" s="663"/>
      <c r="P39" s="663"/>
      <c r="Q39" s="663"/>
      <c r="R39" s="663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</row>
    <row r="40">
      <c r="A40" s="952" t="s">
        <v>144</v>
      </c>
      <c r="B40" s="663"/>
      <c r="C40" s="663"/>
      <c r="D40" s="663"/>
      <c r="E40" s="663"/>
      <c r="F40" s="95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63"/>
      <c r="AB40" s="663"/>
      <c r="AC40" s="663"/>
      <c r="AD40" s="663"/>
      <c r="AE40" s="663"/>
      <c r="AF40" s="663"/>
    </row>
    <row r="41">
      <c r="A41" s="948" t="s">
        <v>175</v>
      </c>
      <c r="B41" s="663"/>
      <c r="C41" s="663"/>
      <c r="D41" s="663"/>
      <c r="E41" s="663"/>
      <c r="F41" s="663"/>
      <c r="G41" s="663"/>
      <c r="H41" s="663"/>
      <c r="I41" s="663"/>
      <c r="J41" s="663"/>
      <c r="K41" s="663"/>
      <c r="L41" s="663"/>
      <c r="M41" s="663"/>
      <c r="N41" s="663"/>
      <c r="O41" s="663"/>
      <c r="P41" s="663"/>
      <c r="Q41" s="663"/>
      <c r="R41" s="663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</row>
    <row r="42">
      <c r="A42" s="948" t="s">
        <v>316</v>
      </c>
      <c r="B42" s="953"/>
      <c r="D42" s="663"/>
      <c r="E42" s="663"/>
      <c r="F42" s="663"/>
      <c r="G42" s="953"/>
      <c r="H42" s="663"/>
      <c r="I42" s="663"/>
      <c r="J42" s="663"/>
      <c r="K42" s="663"/>
      <c r="L42" s="663"/>
      <c r="M42" s="663"/>
      <c r="N42" s="663"/>
      <c r="O42" s="663"/>
      <c r="P42" s="663"/>
      <c r="Q42" s="663"/>
      <c r="R42" s="663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</row>
    <row r="43">
      <c r="A43" s="948" t="s">
        <v>286</v>
      </c>
      <c r="B43" s="663"/>
      <c r="C43" s="663"/>
      <c r="D43" s="663"/>
      <c r="E43" s="663"/>
      <c r="F43" s="663"/>
      <c r="G43" s="663"/>
      <c r="H43" s="953"/>
      <c r="I43" s="663"/>
      <c r="J43" s="663"/>
      <c r="K43" s="663"/>
      <c r="L43" s="663"/>
      <c r="M43" s="663"/>
      <c r="N43" s="663"/>
      <c r="O43" s="663"/>
      <c r="P43" s="663"/>
      <c r="Q43" s="663"/>
      <c r="R43" s="663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</row>
    <row r="44">
      <c r="A44" s="948" t="s">
        <v>194</v>
      </c>
      <c r="B44" s="663"/>
      <c r="C44" s="663"/>
      <c r="D44" s="663"/>
      <c r="E44" s="663"/>
      <c r="F44" s="663"/>
      <c r="G44" s="95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</row>
    <row r="45">
      <c r="A45" s="948" t="s">
        <v>293</v>
      </c>
      <c r="B45" s="663"/>
      <c r="C45" s="663"/>
      <c r="D45" s="663"/>
      <c r="E45" s="663"/>
      <c r="F45" s="663"/>
      <c r="G45" s="954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</row>
    <row r="46">
      <c r="A46" s="948" t="s">
        <v>72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</row>
    <row r="47">
      <c r="A47" s="948" t="s">
        <v>276</v>
      </c>
      <c r="B47" s="663"/>
      <c r="C47" s="663"/>
      <c r="D47" s="663"/>
      <c r="E47" s="663"/>
      <c r="F47" s="663"/>
      <c r="G47" s="663"/>
      <c r="H47" s="663"/>
      <c r="I47" s="663"/>
      <c r="J47" s="663"/>
      <c r="K47" s="663"/>
      <c r="L47" s="663"/>
      <c r="M47" s="663"/>
      <c r="N47" s="663"/>
      <c r="O47" s="663"/>
      <c r="P47" s="663"/>
      <c r="Q47" s="663"/>
      <c r="R47" s="663"/>
      <c r="S47" s="663"/>
      <c r="T47" s="663"/>
      <c r="U47" s="663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</row>
    <row r="48">
      <c r="A48" s="948" t="s">
        <v>317</v>
      </c>
      <c r="B48" s="663"/>
      <c r="C48" s="663"/>
      <c r="D48" s="663"/>
      <c r="E48" s="663"/>
      <c r="F48" s="663"/>
      <c r="G48" s="663"/>
      <c r="H48" s="663"/>
      <c r="I48" s="663"/>
      <c r="J48" s="663"/>
      <c r="K48" s="663"/>
      <c r="L48" s="663"/>
      <c r="M48" s="663"/>
      <c r="N48" s="663"/>
      <c r="O48" s="663"/>
      <c r="P48" s="663"/>
      <c r="Q48" s="663"/>
      <c r="R48" s="663"/>
      <c r="S48" s="663"/>
      <c r="T48" s="663"/>
      <c r="U48" s="663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</row>
    <row r="49">
      <c r="A49" s="955" t="s">
        <v>312</v>
      </c>
      <c r="B49" s="896"/>
      <c r="C49" s="896"/>
      <c r="D49" s="896"/>
      <c r="E49" s="896"/>
      <c r="F49" s="896"/>
      <c r="G49" s="896"/>
      <c r="H49" s="896"/>
      <c r="I49" s="896"/>
      <c r="J49" s="896"/>
      <c r="K49" s="896"/>
      <c r="L49" s="896"/>
      <c r="M49" s="896"/>
      <c r="N49" s="896"/>
      <c r="O49" s="896"/>
      <c r="P49" s="896"/>
      <c r="Q49" s="896"/>
      <c r="R49" s="896"/>
      <c r="S49" s="896"/>
      <c r="T49" s="896"/>
      <c r="U49" s="896"/>
      <c r="V49" s="896"/>
      <c r="W49" s="896"/>
      <c r="X49" s="896"/>
      <c r="Y49" s="896"/>
      <c r="Z49" s="896"/>
      <c r="AA49" s="896"/>
      <c r="AB49" s="896"/>
      <c r="AC49" s="896"/>
      <c r="AD49" s="896"/>
      <c r="AE49" s="896"/>
      <c r="AF49" s="896"/>
    </row>
    <row r="50">
      <c r="A50" s="955" t="s">
        <v>302</v>
      </c>
      <c r="E50" s="903"/>
    </row>
    <row r="51">
      <c r="A51" s="955" t="s">
        <v>274</v>
      </c>
      <c r="E51" s="953"/>
    </row>
    <row r="52">
      <c r="A52" s="955" t="s">
        <v>93</v>
      </c>
    </row>
    <row r="53">
      <c r="A53" s="955" t="s">
        <v>455</v>
      </c>
      <c r="E53" s="903"/>
    </row>
    <row r="54">
      <c r="A54" s="955" t="s">
        <v>309</v>
      </c>
      <c r="F54" s="903"/>
    </row>
    <row r="55">
      <c r="A55" s="955" t="s">
        <v>474</v>
      </c>
    </row>
    <row r="56">
      <c r="A56" s="955" t="s">
        <v>283</v>
      </c>
    </row>
    <row r="57">
      <c r="A57" s="955" t="s">
        <v>139</v>
      </c>
    </row>
    <row r="58">
      <c r="A58" s="955" t="s">
        <v>456</v>
      </c>
      <c r="F58" s="903"/>
      <c r="AC58" s="896"/>
    </row>
    <row r="59">
      <c r="A59" s="955" t="s">
        <v>223</v>
      </c>
    </row>
    <row r="60">
      <c r="A60" s="955" t="s">
        <v>234</v>
      </c>
    </row>
    <row r="61">
      <c r="A61" s="955" t="s">
        <v>475</v>
      </c>
    </row>
    <row r="62">
      <c r="A62" s="955" t="s">
        <v>476</v>
      </c>
    </row>
    <row r="63">
      <c r="A63" s="955" t="s">
        <v>477</v>
      </c>
    </row>
    <row r="64">
      <c r="A64" s="955" t="s">
        <v>478</v>
      </c>
      <c r="H64" s="903"/>
    </row>
    <row r="65">
      <c r="A65" s="955" t="s">
        <v>479</v>
      </c>
    </row>
    <row r="66">
      <c r="A66" s="955" t="s">
        <v>292</v>
      </c>
    </row>
    <row r="67">
      <c r="A67" s="955" t="s">
        <v>480</v>
      </c>
      <c r="H67" s="903"/>
    </row>
    <row r="68">
      <c r="A68" s="955" t="s">
        <v>481</v>
      </c>
      <c r="AB68" s="896"/>
    </row>
    <row r="69">
      <c r="A69" s="955" t="s">
        <v>482</v>
      </c>
      <c r="D69" s="903"/>
    </row>
    <row r="70">
      <c r="A70" s="955" t="s">
        <v>483</v>
      </c>
    </row>
    <row r="71">
      <c r="A71" s="948"/>
      <c r="B71" s="956">
        <v>45717.0</v>
      </c>
      <c r="C71" s="506"/>
      <c r="D71" s="506"/>
      <c r="E71" s="506"/>
      <c r="F71" s="506"/>
      <c r="G71" s="506"/>
      <c r="H71" s="506"/>
      <c r="I71" s="506"/>
      <c r="J71" s="506"/>
      <c r="K71" s="506"/>
      <c r="L71" s="506"/>
      <c r="M71" s="506"/>
      <c r="N71" s="506"/>
      <c r="O71" s="506"/>
      <c r="P71" s="506"/>
      <c r="Q71" s="506"/>
      <c r="R71" s="506"/>
      <c r="S71" s="506"/>
      <c r="T71" s="506"/>
      <c r="U71" s="506"/>
      <c r="V71" s="506"/>
      <c r="W71" s="506"/>
      <c r="X71" s="506"/>
      <c r="Y71" s="506"/>
      <c r="Z71" s="506"/>
      <c r="AA71" s="506"/>
      <c r="AB71" s="506"/>
      <c r="AC71" s="506"/>
      <c r="AD71" s="506"/>
      <c r="AE71" s="506"/>
      <c r="AF71" s="334"/>
    </row>
    <row r="72">
      <c r="A72" s="948"/>
      <c r="B72" s="957">
        <v>1.0</v>
      </c>
      <c r="C72" s="957">
        <v>2.0</v>
      </c>
      <c r="D72" s="957">
        <v>3.0</v>
      </c>
      <c r="E72" s="957">
        <v>4.0</v>
      </c>
      <c r="F72" s="957">
        <v>5.0</v>
      </c>
      <c r="G72" s="957">
        <v>6.0</v>
      </c>
      <c r="H72" s="957">
        <v>7.0</v>
      </c>
      <c r="I72" s="957">
        <v>8.0</v>
      </c>
      <c r="J72" s="957">
        <v>9.0</v>
      </c>
      <c r="K72" s="957">
        <v>10.0</v>
      </c>
      <c r="L72" s="957">
        <v>11.0</v>
      </c>
      <c r="M72" s="957">
        <v>12.0</v>
      </c>
      <c r="N72" s="957">
        <v>13.0</v>
      </c>
      <c r="O72" s="957">
        <v>14.0</v>
      </c>
      <c r="P72" s="957">
        <v>15.0</v>
      </c>
      <c r="Q72" s="957">
        <v>16.0</v>
      </c>
      <c r="R72" s="957">
        <v>17.0</v>
      </c>
      <c r="S72" s="957">
        <v>18.0</v>
      </c>
      <c r="T72" s="957">
        <v>19.0</v>
      </c>
      <c r="U72" s="957">
        <v>20.0</v>
      </c>
      <c r="V72" s="957">
        <v>21.0</v>
      </c>
      <c r="W72" s="957">
        <v>22.0</v>
      </c>
      <c r="X72" s="957">
        <v>23.0</v>
      </c>
      <c r="Y72" s="957">
        <v>24.0</v>
      </c>
      <c r="Z72" s="957">
        <v>25.0</v>
      </c>
      <c r="AA72" s="957">
        <v>26.0</v>
      </c>
      <c r="AB72" s="957">
        <v>27.0</v>
      </c>
      <c r="AC72" s="957">
        <v>28.0</v>
      </c>
      <c r="AD72" s="957">
        <v>29.0</v>
      </c>
      <c r="AE72" s="957">
        <v>30.0</v>
      </c>
      <c r="AF72" s="957">
        <v>31.0</v>
      </c>
    </row>
    <row r="73">
      <c r="A73" s="948"/>
      <c r="B73" s="958" t="s">
        <v>469</v>
      </c>
      <c r="C73" s="958" t="s">
        <v>470</v>
      </c>
      <c r="D73" s="958" t="s">
        <v>471</v>
      </c>
      <c r="E73" s="958" t="s">
        <v>472</v>
      </c>
      <c r="F73" s="958" t="s">
        <v>466</v>
      </c>
      <c r="G73" s="957" t="s">
        <v>467</v>
      </c>
      <c r="H73" s="957" t="s">
        <v>468</v>
      </c>
      <c r="I73" s="957" t="s">
        <v>469</v>
      </c>
      <c r="J73" s="957" t="s">
        <v>470</v>
      </c>
      <c r="K73" s="957" t="s">
        <v>471</v>
      </c>
      <c r="L73" s="957" t="s">
        <v>472</v>
      </c>
      <c r="M73" s="957" t="s">
        <v>466</v>
      </c>
      <c r="N73" s="957" t="s">
        <v>467</v>
      </c>
      <c r="O73" s="957" t="s">
        <v>468</v>
      </c>
      <c r="P73" s="957" t="s">
        <v>469</v>
      </c>
      <c r="Q73" s="957" t="s">
        <v>470</v>
      </c>
      <c r="R73" s="957" t="s">
        <v>471</v>
      </c>
      <c r="S73" s="957" t="s">
        <v>472</v>
      </c>
      <c r="T73" s="957" t="s">
        <v>466</v>
      </c>
      <c r="U73" s="957" t="s">
        <v>467</v>
      </c>
      <c r="V73" s="957" t="s">
        <v>468</v>
      </c>
      <c r="W73" s="957" t="s">
        <v>469</v>
      </c>
      <c r="X73" s="957" t="s">
        <v>470</v>
      </c>
      <c r="Y73" s="957" t="s">
        <v>471</v>
      </c>
      <c r="Z73" s="957" t="s">
        <v>472</v>
      </c>
      <c r="AA73" s="957" t="s">
        <v>466</v>
      </c>
      <c r="AB73" s="957" t="s">
        <v>467</v>
      </c>
      <c r="AC73" s="957" t="s">
        <v>468</v>
      </c>
      <c r="AD73" s="957" t="s">
        <v>469</v>
      </c>
      <c r="AE73" s="957" t="s">
        <v>470</v>
      </c>
      <c r="AF73" s="957" t="s">
        <v>471</v>
      </c>
    </row>
    <row r="74">
      <c r="A74" s="952" t="s">
        <v>473</v>
      </c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  <c r="AA74" s="663"/>
      <c r="AB74" s="953"/>
      <c r="AC74" s="663"/>
      <c r="AD74" s="663"/>
      <c r="AE74" s="663"/>
      <c r="AF74" s="663"/>
    </row>
    <row r="75">
      <c r="A75" s="952" t="s">
        <v>144</v>
      </c>
      <c r="B75" s="663"/>
      <c r="C75" s="663"/>
      <c r="D75" s="663"/>
      <c r="E75" s="663"/>
      <c r="F75" s="663"/>
      <c r="G75" s="953"/>
      <c r="H75" s="663"/>
      <c r="I75" s="663"/>
      <c r="J75" s="663"/>
      <c r="K75" s="663"/>
      <c r="L75" s="663"/>
      <c r="M75" s="663"/>
      <c r="N75" s="663"/>
      <c r="O75" s="663"/>
      <c r="P75" s="663"/>
      <c r="Q75" s="663"/>
      <c r="R75" s="663"/>
      <c r="S75" s="663"/>
      <c r="T75" s="663"/>
      <c r="U75" s="663"/>
      <c r="V75" s="663"/>
      <c r="W75" s="663"/>
      <c r="X75" s="663"/>
      <c r="Y75" s="663"/>
      <c r="Z75" s="663"/>
      <c r="AA75" s="663"/>
      <c r="AB75" s="663"/>
      <c r="AC75" s="663"/>
      <c r="AD75" s="663"/>
      <c r="AE75" s="663"/>
      <c r="AF75" s="663"/>
    </row>
    <row r="76">
      <c r="A76" s="948" t="s">
        <v>175</v>
      </c>
      <c r="B76" s="663"/>
      <c r="C76" s="663"/>
      <c r="D76" s="663"/>
      <c r="E76" s="663"/>
      <c r="F76" s="663"/>
      <c r="G76" s="663"/>
      <c r="H76" s="663"/>
      <c r="I76" s="663"/>
      <c r="J76" s="663"/>
      <c r="K76" s="663"/>
      <c r="L76" s="663"/>
      <c r="M76" s="663"/>
      <c r="N76" s="663"/>
      <c r="O76" s="663"/>
      <c r="P76" s="663"/>
      <c r="Q76" s="663"/>
      <c r="R76" s="663"/>
      <c r="S76" s="663"/>
      <c r="T76" s="663"/>
      <c r="U76" s="663"/>
      <c r="V76" s="663"/>
      <c r="W76" s="663"/>
      <c r="X76" s="663"/>
      <c r="Y76" s="663"/>
      <c r="Z76" s="663"/>
      <c r="AA76" s="663"/>
      <c r="AB76" s="663"/>
      <c r="AC76" s="663"/>
      <c r="AD76" s="663"/>
      <c r="AE76" s="663"/>
      <c r="AF76" s="663"/>
    </row>
    <row r="77">
      <c r="A77" s="948" t="s">
        <v>316</v>
      </c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3"/>
      <c r="P77" s="663"/>
      <c r="Q77" s="663"/>
      <c r="R77" s="663"/>
      <c r="S77" s="663"/>
      <c r="T77" s="663"/>
      <c r="U77" s="663"/>
      <c r="V77" s="663"/>
      <c r="W77" s="663"/>
      <c r="X77" s="663"/>
      <c r="Y77" s="663"/>
      <c r="Z77" s="663"/>
      <c r="AA77" s="663"/>
      <c r="AB77" s="663"/>
      <c r="AC77" s="663"/>
      <c r="AD77" s="663"/>
      <c r="AE77" s="663"/>
      <c r="AF77" s="663"/>
    </row>
    <row r="78">
      <c r="A78" s="948" t="s">
        <v>286</v>
      </c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3"/>
      <c r="P78" s="663"/>
      <c r="Q78" s="663"/>
      <c r="R78" s="663"/>
      <c r="S78" s="663"/>
      <c r="T78" s="663"/>
      <c r="U78" s="663"/>
      <c r="V78" s="663"/>
      <c r="W78" s="663"/>
      <c r="X78" s="663"/>
      <c r="Y78" s="663"/>
      <c r="Z78" s="663"/>
      <c r="AA78" s="663"/>
      <c r="AB78" s="663"/>
      <c r="AC78" s="663"/>
      <c r="AD78" s="663"/>
      <c r="AE78" s="663"/>
      <c r="AF78" s="663"/>
    </row>
    <row r="79">
      <c r="A79" s="948" t="s">
        <v>194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95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63"/>
      <c r="AB79" s="663"/>
      <c r="AC79" s="663"/>
      <c r="AD79" s="663"/>
      <c r="AE79" s="663"/>
      <c r="AF79" s="663"/>
    </row>
    <row r="80">
      <c r="A80" s="948" t="s">
        <v>293</v>
      </c>
      <c r="B80" s="663"/>
      <c r="C80" s="663"/>
      <c r="D80" s="663"/>
      <c r="E80" s="663"/>
      <c r="F80" s="663"/>
      <c r="G80" s="954"/>
      <c r="H80" s="663"/>
      <c r="I80" s="663"/>
      <c r="J80" s="663"/>
      <c r="K80" s="663"/>
      <c r="L80" s="663"/>
      <c r="M80" s="663"/>
      <c r="N80" s="663"/>
      <c r="O80" s="663"/>
      <c r="P80" s="663"/>
      <c r="Q80" s="663"/>
      <c r="R80" s="663"/>
      <c r="S80" s="663"/>
      <c r="T80" s="663"/>
      <c r="U80" s="663"/>
      <c r="V80" s="663"/>
      <c r="W80" s="663"/>
      <c r="X80" s="663"/>
      <c r="Y80" s="663"/>
      <c r="Z80" s="663"/>
      <c r="AA80" s="663"/>
      <c r="AB80" s="663"/>
      <c r="AC80" s="663"/>
      <c r="AD80" s="663"/>
      <c r="AE80" s="663"/>
      <c r="AF80" s="663"/>
    </row>
    <row r="81">
      <c r="A81" s="948" t="s">
        <v>72</v>
      </c>
      <c r="B81" s="663"/>
      <c r="C81" s="663"/>
      <c r="D81" s="663"/>
      <c r="E81" s="663"/>
      <c r="F81" s="663"/>
      <c r="G81" s="663"/>
      <c r="H81" s="663"/>
      <c r="I81" s="663"/>
      <c r="J81" s="663"/>
      <c r="K81" s="663"/>
      <c r="L81" s="663"/>
      <c r="M81" s="663"/>
      <c r="N81" s="663"/>
      <c r="O81" s="663"/>
      <c r="P81" s="663"/>
      <c r="Q81" s="663"/>
      <c r="R81" s="663"/>
      <c r="S81" s="663"/>
      <c r="T81" s="663"/>
      <c r="U81" s="663"/>
      <c r="V81" s="663"/>
      <c r="W81" s="663"/>
      <c r="X81" s="663"/>
      <c r="Y81" s="663"/>
      <c r="Z81" s="663"/>
      <c r="AA81" s="663"/>
      <c r="AB81" s="663"/>
      <c r="AC81" s="663"/>
      <c r="AD81" s="663"/>
      <c r="AE81" s="663"/>
      <c r="AF81" s="663"/>
    </row>
    <row r="82">
      <c r="A82" s="948" t="s">
        <v>276</v>
      </c>
      <c r="B82" s="663"/>
      <c r="C82" s="663"/>
      <c r="D82" s="663"/>
      <c r="E82" s="663"/>
      <c r="F82" s="663"/>
      <c r="G82" s="663"/>
      <c r="H82" s="663"/>
      <c r="I82" s="663"/>
      <c r="J82" s="663"/>
      <c r="K82" s="663"/>
      <c r="L82" s="663"/>
      <c r="M82" s="663"/>
      <c r="N82" s="663"/>
      <c r="O82" s="663"/>
      <c r="P82" s="663"/>
      <c r="Q82" s="663"/>
      <c r="R82" s="663"/>
      <c r="S82" s="663"/>
      <c r="T82" s="663"/>
      <c r="U82" s="663"/>
      <c r="V82" s="663"/>
      <c r="W82" s="663"/>
      <c r="X82" s="663"/>
      <c r="Y82" s="663"/>
      <c r="Z82" s="663"/>
      <c r="AA82" s="663"/>
      <c r="AB82" s="663"/>
      <c r="AC82" s="663"/>
      <c r="AD82" s="663"/>
      <c r="AE82" s="663"/>
      <c r="AF82" s="663"/>
    </row>
    <row r="83">
      <c r="A83" s="948" t="s">
        <v>317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63"/>
      <c r="AB83" s="663"/>
      <c r="AC83" s="663"/>
      <c r="AD83" s="663"/>
      <c r="AE83" s="663"/>
      <c r="AF83" s="663"/>
    </row>
    <row r="84">
      <c r="A84" s="955" t="s">
        <v>312</v>
      </c>
      <c r="B84" s="896"/>
      <c r="C84" s="896"/>
      <c r="D84" s="896"/>
      <c r="E84" s="896"/>
      <c r="F84" s="896"/>
      <c r="G84" s="896"/>
      <c r="H84" s="896"/>
      <c r="I84" s="896"/>
      <c r="J84" s="896"/>
      <c r="K84" s="896"/>
      <c r="L84" s="896"/>
      <c r="M84" s="896"/>
      <c r="N84" s="896"/>
      <c r="O84" s="896"/>
      <c r="P84" s="896"/>
      <c r="Q84" s="896"/>
      <c r="R84" s="896"/>
      <c r="S84" s="896"/>
      <c r="T84" s="896"/>
      <c r="U84" s="896"/>
      <c r="V84" s="896"/>
      <c r="W84" s="896"/>
      <c r="X84" s="896"/>
      <c r="Y84" s="896"/>
      <c r="Z84" s="896"/>
      <c r="AA84" s="896"/>
      <c r="AB84" s="896"/>
      <c r="AC84" s="896"/>
      <c r="AD84" s="896"/>
      <c r="AE84" s="896"/>
      <c r="AF84" s="896"/>
    </row>
    <row r="85">
      <c r="A85" s="955" t="s">
        <v>302</v>
      </c>
    </row>
    <row r="86">
      <c r="A86" s="955" t="s">
        <v>274</v>
      </c>
    </row>
    <row r="87">
      <c r="A87" s="955" t="s">
        <v>93</v>
      </c>
    </row>
    <row r="88">
      <c r="A88" s="955" t="s">
        <v>455</v>
      </c>
    </row>
    <row r="89">
      <c r="A89" s="955" t="s">
        <v>309</v>
      </c>
    </row>
    <row r="90">
      <c r="A90" s="955" t="s">
        <v>474</v>
      </c>
    </row>
    <row r="91">
      <c r="A91" s="955" t="s">
        <v>283</v>
      </c>
    </row>
    <row r="92">
      <c r="A92" s="955" t="s">
        <v>139</v>
      </c>
      <c r="F92" s="903"/>
    </row>
    <row r="93">
      <c r="A93" s="955" t="s">
        <v>456</v>
      </c>
      <c r="F93" s="903"/>
    </row>
    <row r="94">
      <c r="A94" s="955" t="s">
        <v>223</v>
      </c>
      <c r="G94" s="903"/>
    </row>
    <row r="95">
      <c r="A95" s="955" t="s">
        <v>234</v>
      </c>
    </row>
    <row r="96">
      <c r="A96" s="955" t="s">
        <v>475</v>
      </c>
    </row>
    <row r="97">
      <c r="A97" s="955" t="s">
        <v>476</v>
      </c>
    </row>
    <row r="98">
      <c r="A98" s="955" t="s">
        <v>477</v>
      </c>
      <c r="Z98" s="903"/>
    </row>
    <row r="99">
      <c r="A99" s="955" t="s">
        <v>478</v>
      </c>
    </row>
    <row r="100">
      <c r="A100" s="955" t="s">
        <v>479</v>
      </c>
    </row>
    <row r="101">
      <c r="A101" s="955" t="s">
        <v>292</v>
      </c>
      <c r="G101" s="903"/>
    </row>
    <row r="102">
      <c r="A102" s="955" t="s">
        <v>480</v>
      </c>
    </row>
    <row r="103">
      <c r="A103" s="955" t="s">
        <v>481</v>
      </c>
    </row>
    <row r="104">
      <c r="A104" s="955" t="s">
        <v>482</v>
      </c>
    </row>
    <row r="105">
      <c r="A105" s="955" t="s">
        <v>483</v>
      </c>
      <c r="F105" s="903"/>
    </row>
    <row r="106">
      <c r="A106" s="948"/>
      <c r="B106" s="956">
        <v>45748.0</v>
      </c>
      <c r="C106" s="506"/>
      <c r="D106" s="506"/>
      <c r="E106" s="506"/>
      <c r="F106" s="506"/>
      <c r="G106" s="506"/>
      <c r="H106" s="506"/>
      <c r="I106" s="506"/>
      <c r="J106" s="506"/>
      <c r="K106" s="506"/>
      <c r="L106" s="506"/>
      <c r="M106" s="506"/>
      <c r="N106" s="506"/>
      <c r="O106" s="506"/>
      <c r="P106" s="506"/>
      <c r="Q106" s="506"/>
      <c r="R106" s="506"/>
      <c r="S106" s="506"/>
      <c r="T106" s="506"/>
      <c r="U106" s="506"/>
      <c r="V106" s="506"/>
      <c r="W106" s="506"/>
      <c r="X106" s="506"/>
      <c r="Y106" s="506"/>
      <c r="Z106" s="506"/>
      <c r="AA106" s="506"/>
      <c r="AB106" s="506"/>
      <c r="AC106" s="506"/>
      <c r="AD106" s="506"/>
      <c r="AE106" s="506"/>
      <c r="AF106" s="334"/>
    </row>
    <row r="107">
      <c r="A107" s="948"/>
      <c r="B107" s="957">
        <v>1.0</v>
      </c>
      <c r="C107" s="957">
        <v>2.0</v>
      </c>
      <c r="D107" s="957">
        <v>3.0</v>
      </c>
      <c r="E107" s="957">
        <v>4.0</v>
      </c>
      <c r="F107" s="957">
        <v>5.0</v>
      </c>
      <c r="G107" s="957">
        <v>6.0</v>
      </c>
      <c r="H107" s="957">
        <v>7.0</v>
      </c>
      <c r="I107" s="957">
        <v>8.0</v>
      </c>
      <c r="J107" s="957">
        <v>9.0</v>
      </c>
      <c r="K107" s="957">
        <v>10.0</v>
      </c>
      <c r="L107" s="957">
        <v>11.0</v>
      </c>
      <c r="M107" s="957">
        <v>12.0</v>
      </c>
      <c r="N107" s="957">
        <v>13.0</v>
      </c>
      <c r="O107" s="957">
        <v>14.0</v>
      </c>
      <c r="P107" s="957">
        <v>15.0</v>
      </c>
      <c r="Q107" s="957">
        <v>16.0</v>
      </c>
      <c r="R107" s="957">
        <v>17.0</v>
      </c>
      <c r="S107" s="957">
        <v>18.0</v>
      </c>
      <c r="T107" s="957">
        <v>19.0</v>
      </c>
      <c r="U107" s="957">
        <v>20.0</v>
      </c>
      <c r="V107" s="957">
        <v>21.0</v>
      </c>
      <c r="W107" s="957">
        <v>22.0</v>
      </c>
      <c r="X107" s="957">
        <v>23.0</v>
      </c>
      <c r="Y107" s="957">
        <v>24.0</v>
      </c>
      <c r="Z107" s="957">
        <v>25.0</v>
      </c>
      <c r="AA107" s="957">
        <v>26.0</v>
      </c>
      <c r="AB107" s="957">
        <v>27.0</v>
      </c>
      <c r="AC107" s="957">
        <v>28.0</v>
      </c>
      <c r="AD107" s="957">
        <v>29.0</v>
      </c>
      <c r="AE107" s="957">
        <v>30.0</v>
      </c>
      <c r="AF107" s="957"/>
    </row>
    <row r="108">
      <c r="A108" s="948"/>
      <c r="B108" s="958" t="s">
        <v>472</v>
      </c>
      <c r="C108" s="958" t="s">
        <v>466</v>
      </c>
      <c r="D108" s="958" t="s">
        <v>467</v>
      </c>
      <c r="E108" s="958" t="s">
        <v>468</v>
      </c>
      <c r="F108" s="958" t="s">
        <v>469</v>
      </c>
      <c r="G108" s="957" t="s">
        <v>470</v>
      </c>
      <c r="H108" s="957" t="s">
        <v>471</v>
      </c>
      <c r="I108" s="957" t="s">
        <v>472</v>
      </c>
      <c r="J108" s="957" t="s">
        <v>466</v>
      </c>
      <c r="K108" s="957" t="s">
        <v>467</v>
      </c>
      <c r="L108" s="957" t="s">
        <v>468</v>
      </c>
      <c r="M108" s="957" t="s">
        <v>469</v>
      </c>
      <c r="N108" s="957" t="s">
        <v>470</v>
      </c>
      <c r="O108" s="957" t="s">
        <v>471</v>
      </c>
      <c r="P108" s="957" t="s">
        <v>472</v>
      </c>
      <c r="Q108" s="957" t="s">
        <v>466</v>
      </c>
      <c r="R108" s="957" t="s">
        <v>467</v>
      </c>
      <c r="S108" s="957" t="s">
        <v>468</v>
      </c>
      <c r="T108" s="957" t="s">
        <v>469</v>
      </c>
      <c r="U108" s="957" t="s">
        <v>470</v>
      </c>
      <c r="V108" s="957" t="s">
        <v>471</v>
      </c>
      <c r="W108" s="957" t="s">
        <v>472</v>
      </c>
      <c r="X108" s="957" t="s">
        <v>466</v>
      </c>
      <c r="Y108" s="957" t="s">
        <v>467</v>
      </c>
      <c r="Z108" s="957" t="s">
        <v>468</v>
      </c>
      <c r="AA108" s="957" t="s">
        <v>469</v>
      </c>
      <c r="AB108" s="957" t="s">
        <v>470</v>
      </c>
      <c r="AC108" s="957" t="s">
        <v>471</v>
      </c>
      <c r="AD108" s="957" t="s">
        <v>472</v>
      </c>
      <c r="AE108" s="957" t="s">
        <v>466</v>
      </c>
      <c r="AF108" s="957"/>
    </row>
    <row r="109">
      <c r="A109" s="952" t="s">
        <v>473</v>
      </c>
      <c r="B109" s="663"/>
      <c r="C109" s="663"/>
      <c r="D109" s="663"/>
      <c r="E109" s="663"/>
      <c r="F109" s="663"/>
      <c r="G109" s="663"/>
      <c r="H109" s="663"/>
      <c r="I109" s="663"/>
      <c r="J109" s="663"/>
      <c r="K109" s="663"/>
      <c r="L109" s="663"/>
      <c r="M109" s="663"/>
      <c r="N109" s="663"/>
      <c r="O109" s="663"/>
      <c r="P109" s="663"/>
      <c r="Q109" s="663"/>
      <c r="R109" s="663"/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</row>
    <row r="110">
      <c r="A110" s="952" t="s">
        <v>144</v>
      </c>
      <c r="B110" s="663"/>
      <c r="C110" s="663"/>
      <c r="D110" s="663"/>
      <c r="E110" s="663"/>
      <c r="F110" s="663"/>
      <c r="G110" s="663"/>
      <c r="H110" s="663"/>
      <c r="I110" s="663"/>
      <c r="J110" s="663"/>
      <c r="K110" s="663"/>
      <c r="L110" s="663"/>
      <c r="M110" s="663"/>
      <c r="N110" s="663"/>
      <c r="O110" s="663"/>
      <c r="P110" s="663"/>
      <c r="Q110" s="663"/>
      <c r="R110" s="663"/>
      <c r="S110" s="663"/>
      <c r="T110" s="663"/>
      <c r="U110" s="663"/>
      <c r="V110" s="663"/>
      <c r="W110" s="663"/>
      <c r="X110" s="663"/>
      <c r="Y110" s="663"/>
      <c r="Z110" s="663"/>
      <c r="AA110" s="663"/>
      <c r="AB110" s="663"/>
      <c r="AC110" s="953"/>
      <c r="AD110" s="663"/>
      <c r="AE110" s="663"/>
      <c r="AF110" s="663"/>
    </row>
    <row r="111">
      <c r="A111" s="948" t="s">
        <v>175</v>
      </c>
      <c r="B111" s="663"/>
      <c r="C111" s="663"/>
      <c r="D111" s="663"/>
      <c r="E111" s="663"/>
      <c r="F111" s="663"/>
      <c r="G111" s="663"/>
      <c r="H111" s="663"/>
      <c r="I111" s="663"/>
      <c r="J111" s="663"/>
      <c r="K111" s="663"/>
      <c r="L111" s="663"/>
      <c r="M111" s="663"/>
      <c r="N111" s="663"/>
      <c r="O111" s="663"/>
      <c r="P111" s="663"/>
      <c r="Q111" s="663"/>
      <c r="R111" s="663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</row>
    <row r="112">
      <c r="A112" s="948" t="s">
        <v>316</v>
      </c>
      <c r="B112" s="663"/>
      <c r="C112" s="663"/>
      <c r="D112" s="663"/>
      <c r="E112" s="663"/>
      <c r="F112" s="663"/>
      <c r="G112" s="663"/>
      <c r="H112" s="663"/>
      <c r="I112" s="663"/>
      <c r="J112" s="663"/>
      <c r="K112" s="663"/>
      <c r="L112" s="663"/>
      <c r="M112" s="663"/>
      <c r="N112" s="663"/>
      <c r="O112" s="663"/>
      <c r="P112" s="663"/>
      <c r="Q112" s="663"/>
      <c r="R112" s="663"/>
      <c r="S112" s="663"/>
      <c r="T112" s="663"/>
      <c r="U112" s="663"/>
      <c r="V112" s="663"/>
      <c r="W112" s="663"/>
      <c r="X112" s="663"/>
      <c r="Y112" s="663"/>
      <c r="Z112" s="663"/>
      <c r="AA112" s="663"/>
      <c r="AB112" s="663"/>
      <c r="AC112" s="663"/>
      <c r="AD112" s="663"/>
      <c r="AE112" s="663"/>
      <c r="AF112" s="663"/>
    </row>
    <row r="113">
      <c r="A113" s="948" t="s">
        <v>286</v>
      </c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3"/>
      <c r="P113" s="663"/>
      <c r="Q113" s="663"/>
      <c r="R113" s="663"/>
      <c r="S113" s="663"/>
      <c r="T113" s="663"/>
      <c r="U113" s="663"/>
      <c r="V113" s="663"/>
      <c r="W113" s="663"/>
      <c r="X113" s="663"/>
      <c r="Y113" s="663"/>
      <c r="Z113" s="663"/>
      <c r="AA113" s="663"/>
      <c r="AB113" s="663"/>
      <c r="AC113" s="663"/>
      <c r="AD113" s="663"/>
      <c r="AE113" s="663"/>
      <c r="AF113" s="663"/>
    </row>
    <row r="114">
      <c r="A114" s="948" t="s">
        <v>194</v>
      </c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3"/>
      <c r="P114" s="663"/>
      <c r="Q114" s="663"/>
      <c r="R114" s="663"/>
      <c r="S114" s="663"/>
      <c r="T114" s="663"/>
      <c r="U114" s="663"/>
      <c r="V114" s="663"/>
      <c r="W114" s="663"/>
      <c r="X114" s="663"/>
      <c r="Y114" s="663"/>
      <c r="Z114" s="663"/>
      <c r="AA114" s="663"/>
      <c r="AB114" s="663"/>
      <c r="AC114" s="663"/>
      <c r="AD114" s="663"/>
      <c r="AE114" s="663"/>
      <c r="AF114" s="663"/>
    </row>
    <row r="115">
      <c r="A115" s="948" t="s">
        <v>293</v>
      </c>
      <c r="B115" s="663"/>
      <c r="C115" s="663"/>
      <c r="D115" s="663"/>
      <c r="E115" s="663"/>
      <c r="F115" s="663"/>
      <c r="G115" s="954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63"/>
      <c r="AB115" s="663"/>
      <c r="AC115" s="663"/>
      <c r="AD115" s="663"/>
      <c r="AE115" s="663"/>
      <c r="AF115" s="663"/>
    </row>
    <row r="116">
      <c r="A116" s="948" t="s">
        <v>72</v>
      </c>
      <c r="B116" s="663"/>
      <c r="C116" s="663"/>
      <c r="D116" s="663"/>
      <c r="E116" s="663"/>
      <c r="F116" s="663"/>
      <c r="G116" s="663"/>
      <c r="H116" s="663"/>
      <c r="I116" s="663"/>
      <c r="J116" s="663"/>
      <c r="K116" s="663"/>
      <c r="L116" s="663"/>
      <c r="M116" s="663"/>
      <c r="N116" s="663"/>
      <c r="O116" s="663"/>
      <c r="P116" s="663"/>
      <c r="Q116" s="663"/>
      <c r="R116" s="663"/>
      <c r="S116" s="663"/>
      <c r="T116" s="663"/>
      <c r="U116" s="663"/>
      <c r="V116" s="663"/>
      <c r="W116" s="663"/>
      <c r="X116" s="663"/>
      <c r="Y116" s="663"/>
      <c r="Z116" s="663"/>
      <c r="AA116" s="663"/>
      <c r="AB116" s="663"/>
      <c r="AC116" s="663"/>
      <c r="AD116" s="663"/>
      <c r="AE116" s="663"/>
      <c r="AF116" s="663"/>
    </row>
    <row r="117">
      <c r="A117" s="948" t="s">
        <v>276</v>
      </c>
      <c r="B117" s="663"/>
      <c r="C117" s="663"/>
      <c r="D117" s="663"/>
      <c r="E117" s="663"/>
      <c r="F117" s="663"/>
      <c r="G117" s="663"/>
      <c r="H117" s="663"/>
      <c r="I117" s="663"/>
      <c r="J117" s="663"/>
      <c r="K117" s="663"/>
      <c r="L117" s="663"/>
      <c r="M117" s="663"/>
      <c r="N117" s="663"/>
      <c r="O117" s="663"/>
      <c r="P117" s="663"/>
      <c r="Q117" s="663"/>
      <c r="R117" s="663"/>
      <c r="S117" s="663"/>
      <c r="T117" s="663"/>
      <c r="U117" s="663"/>
      <c r="V117" s="663"/>
      <c r="W117" s="663"/>
      <c r="X117" s="663"/>
      <c r="Y117" s="663"/>
      <c r="Z117" s="663"/>
      <c r="AA117" s="663"/>
      <c r="AB117" s="663"/>
      <c r="AC117" s="663"/>
      <c r="AD117" s="663"/>
      <c r="AE117" s="663"/>
      <c r="AF117" s="663"/>
    </row>
    <row r="118">
      <c r="A118" s="948" t="s">
        <v>317</v>
      </c>
      <c r="B118" s="663"/>
      <c r="C118" s="663"/>
      <c r="D118" s="663"/>
      <c r="E118" s="663"/>
      <c r="F118" s="663"/>
      <c r="G118" s="663"/>
      <c r="H118" s="663"/>
      <c r="I118" s="663"/>
      <c r="J118" s="663"/>
      <c r="K118" s="663"/>
      <c r="L118" s="663"/>
      <c r="M118" s="663"/>
      <c r="N118" s="663"/>
      <c r="O118" s="663"/>
      <c r="P118" s="663"/>
      <c r="Q118" s="663"/>
      <c r="R118" s="663"/>
      <c r="S118" s="663"/>
      <c r="T118" s="663"/>
      <c r="U118" s="663"/>
      <c r="V118" s="663"/>
      <c r="W118" s="663"/>
      <c r="X118" s="663"/>
      <c r="Y118" s="663"/>
      <c r="Z118" s="663"/>
      <c r="AA118" s="663"/>
      <c r="AB118" s="663"/>
      <c r="AC118" s="663"/>
      <c r="AD118" s="663"/>
      <c r="AE118" s="663"/>
      <c r="AF118" s="663"/>
    </row>
    <row r="119">
      <c r="A119" s="955" t="s">
        <v>312</v>
      </c>
      <c r="B119" s="896"/>
      <c r="C119" s="896"/>
      <c r="D119" s="896"/>
      <c r="E119" s="896"/>
      <c r="F119" s="896"/>
      <c r="G119" s="896"/>
      <c r="H119" s="896"/>
      <c r="I119" s="896"/>
      <c r="J119" s="896"/>
      <c r="K119" s="896"/>
      <c r="L119" s="896"/>
      <c r="M119" s="896"/>
      <c r="N119" s="896"/>
      <c r="O119" s="896"/>
      <c r="P119" s="896"/>
      <c r="Q119" s="896"/>
      <c r="R119" s="896"/>
      <c r="S119" s="896"/>
      <c r="T119" s="896"/>
      <c r="U119" s="896"/>
      <c r="V119" s="896"/>
      <c r="W119" s="896"/>
      <c r="X119" s="896"/>
      <c r="Y119" s="896"/>
      <c r="Z119" s="896"/>
      <c r="AA119" s="896"/>
      <c r="AB119" s="896"/>
      <c r="AC119" s="896"/>
      <c r="AD119" s="896"/>
      <c r="AE119" s="896"/>
      <c r="AF119" s="896"/>
    </row>
    <row r="120">
      <c r="A120" s="955" t="s">
        <v>302</v>
      </c>
    </row>
    <row r="121">
      <c r="A121" s="955" t="s">
        <v>274</v>
      </c>
    </row>
    <row r="122">
      <c r="A122" s="955" t="s">
        <v>93</v>
      </c>
    </row>
    <row r="123">
      <c r="A123" s="955" t="s">
        <v>455</v>
      </c>
    </row>
    <row r="124">
      <c r="A124" s="955" t="s">
        <v>309</v>
      </c>
    </row>
    <row r="125">
      <c r="A125" s="955" t="s">
        <v>474</v>
      </c>
    </row>
    <row r="126">
      <c r="A126" s="955" t="s">
        <v>283</v>
      </c>
    </row>
    <row r="127">
      <c r="A127" s="955" t="s">
        <v>139</v>
      </c>
    </row>
    <row r="128">
      <c r="A128" s="955" t="s">
        <v>456</v>
      </c>
    </row>
    <row r="129">
      <c r="A129" s="955" t="s">
        <v>223</v>
      </c>
    </row>
    <row r="130">
      <c r="A130" s="955" t="s">
        <v>234</v>
      </c>
    </row>
    <row r="131">
      <c r="A131" s="955" t="s">
        <v>475</v>
      </c>
    </row>
    <row r="132">
      <c r="A132" s="955" t="s">
        <v>476</v>
      </c>
    </row>
    <row r="133">
      <c r="A133" s="955" t="s">
        <v>477</v>
      </c>
    </row>
    <row r="134">
      <c r="A134" s="955" t="s">
        <v>478</v>
      </c>
    </row>
    <row r="135">
      <c r="A135" s="955" t="s">
        <v>479</v>
      </c>
    </row>
    <row r="136">
      <c r="A136" s="955" t="s">
        <v>292</v>
      </c>
    </row>
    <row r="137">
      <c r="A137" s="955" t="s">
        <v>480</v>
      </c>
    </row>
    <row r="138">
      <c r="A138" s="955" t="s">
        <v>481</v>
      </c>
    </row>
    <row r="139">
      <c r="A139" s="955" t="s">
        <v>482</v>
      </c>
    </row>
    <row r="140">
      <c r="A140" s="955" t="s">
        <v>483</v>
      </c>
    </row>
    <row r="141">
      <c r="A141" s="948"/>
      <c r="B141" s="956">
        <v>45778.0</v>
      </c>
      <c r="C141" s="506"/>
      <c r="D141" s="506"/>
      <c r="E141" s="506"/>
      <c r="F141" s="506"/>
      <c r="G141" s="506"/>
      <c r="H141" s="506"/>
      <c r="I141" s="506"/>
      <c r="J141" s="506"/>
      <c r="K141" s="506"/>
      <c r="L141" s="506"/>
      <c r="M141" s="506"/>
      <c r="N141" s="506"/>
      <c r="O141" s="506"/>
      <c r="P141" s="506"/>
      <c r="Q141" s="506"/>
      <c r="R141" s="506"/>
      <c r="S141" s="506"/>
      <c r="T141" s="506"/>
      <c r="U141" s="506"/>
      <c r="V141" s="506"/>
      <c r="W141" s="506"/>
      <c r="X141" s="506"/>
      <c r="Y141" s="506"/>
      <c r="Z141" s="506"/>
      <c r="AA141" s="506"/>
      <c r="AB141" s="506"/>
      <c r="AC141" s="506"/>
      <c r="AD141" s="506"/>
      <c r="AE141" s="506"/>
      <c r="AF141" s="334"/>
    </row>
    <row r="142">
      <c r="A142" s="948"/>
      <c r="B142" s="957">
        <v>1.0</v>
      </c>
      <c r="C142" s="957">
        <v>2.0</v>
      </c>
      <c r="D142" s="957">
        <v>3.0</v>
      </c>
      <c r="E142" s="957">
        <v>4.0</v>
      </c>
      <c r="F142" s="957">
        <v>5.0</v>
      </c>
      <c r="G142" s="957">
        <v>6.0</v>
      </c>
      <c r="H142" s="957">
        <v>7.0</v>
      </c>
      <c r="I142" s="957">
        <v>8.0</v>
      </c>
      <c r="J142" s="957">
        <v>9.0</v>
      </c>
      <c r="K142" s="957">
        <v>10.0</v>
      </c>
      <c r="L142" s="957">
        <v>11.0</v>
      </c>
      <c r="M142" s="957">
        <v>12.0</v>
      </c>
      <c r="N142" s="957">
        <v>13.0</v>
      </c>
      <c r="O142" s="957">
        <v>14.0</v>
      </c>
      <c r="P142" s="957">
        <v>15.0</v>
      </c>
      <c r="Q142" s="957">
        <v>16.0</v>
      </c>
      <c r="R142" s="957">
        <v>17.0</v>
      </c>
      <c r="S142" s="957">
        <v>18.0</v>
      </c>
      <c r="T142" s="957">
        <v>19.0</v>
      </c>
      <c r="U142" s="957">
        <v>20.0</v>
      </c>
      <c r="V142" s="957">
        <v>21.0</v>
      </c>
      <c r="W142" s="957">
        <v>22.0</v>
      </c>
      <c r="X142" s="957">
        <v>23.0</v>
      </c>
      <c r="Y142" s="957">
        <v>24.0</v>
      </c>
      <c r="Z142" s="957">
        <v>25.0</v>
      </c>
      <c r="AA142" s="957">
        <v>26.0</v>
      </c>
      <c r="AB142" s="957">
        <v>27.0</v>
      </c>
      <c r="AC142" s="957">
        <v>28.0</v>
      </c>
      <c r="AD142" s="957">
        <v>29.0</v>
      </c>
      <c r="AE142" s="957">
        <v>30.0</v>
      </c>
      <c r="AF142" s="957">
        <v>31.0</v>
      </c>
    </row>
    <row r="143">
      <c r="A143" s="948"/>
      <c r="B143" s="958" t="s">
        <v>467</v>
      </c>
      <c r="C143" s="958" t="s">
        <v>468</v>
      </c>
      <c r="D143" s="958" t="s">
        <v>469</v>
      </c>
      <c r="E143" s="958" t="s">
        <v>470</v>
      </c>
      <c r="F143" s="958" t="s">
        <v>471</v>
      </c>
      <c r="G143" s="957" t="s">
        <v>472</v>
      </c>
      <c r="H143" s="957" t="s">
        <v>466</v>
      </c>
      <c r="I143" s="957" t="s">
        <v>467</v>
      </c>
      <c r="J143" s="957" t="s">
        <v>468</v>
      </c>
      <c r="K143" s="957" t="s">
        <v>469</v>
      </c>
      <c r="L143" s="957" t="s">
        <v>470</v>
      </c>
      <c r="M143" s="957" t="s">
        <v>471</v>
      </c>
      <c r="N143" s="957" t="s">
        <v>472</v>
      </c>
      <c r="O143" s="957" t="s">
        <v>466</v>
      </c>
      <c r="P143" s="957" t="s">
        <v>467</v>
      </c>
      <c r="Q143" s="957" t="s">
        <v>468</v>
      </c>
      <c r="R143" s="957" t="s">
        <v>469</v>
      </c>
      <c r="S143" s="957" t="s">
        <v>470</v>
      </c>
      <c r="T143" s="957" t="s">
        <v>471</v>
      </c>
      <c r="U143" s="957" t="s">
        <v>472</v>
      </c>
      <c r="V143" s="957" t="s">
        <v>466</v>
      </c>
      <c r="W143" s="957" t="s">
        <v>467</v>
      </c>
      <c r="X143" s="957" t="s">
        <v>468</v>
      </c>
      <c r="Y143" s="957" t="s">
        <v>469</v>
      </c>
      <c r="Z143" s="957" t="s">
        <v>470</v>
      </c>
      <c r="AA143" s="957" t="s">
        <v>471</v>
      </c>
      <c r="AB143" s="957" t="s">
        <v>472</v>
      </c>
      <c r="AC143" s="957" t="s">
        <v>466</v>
      </c>
      <c r="AD143" s="957" t="s">
        <v>467</v>
      </c>
      <c r="AE143" s="957" t="s">
        <v>468</v>
      </c>
      <c r="AF143" s="957" t="s">
        <v>469</v>
      </c>
    </row>
    <row r="144">
      <c r="A144" s="952" t="s">
        <v>473</v>
      </c>
      <c r="B144" s="663"/>
      <c r="C144" s="663"/>
      <c r="D144" s="663"/>
      <c r="E144" s="663"/>
      <c r="F144" s="663"/>
      <c r="G144" s="663"/>
      <c r="H144" s="663"/>
      <c r="I144" s="663"/>
      <c r="J144" s="663"/>
      <c r="K144" s="663"/>
      <c r="L144" s="663"/>
      <c r="M144" s="663"/>
      <c r="N144" s="663"/>
      <c r="O144" s="663"/>
      <c r="P144" s="663"/>
      <c r="Q144" s="663"/>
      <c r="R144" s="663"/>
      <c r="S144" s="663"/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</row>
    <row r="145">
      <c r="A145" s="952" t="s">
        <v>144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</row>
    <row r="146">
      <c r="A146" s="948" t="s">
        <v>175</v>
      </c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3"/>
      <c r="P146" s="663"/>
      <c r="Q146" s="663"/>
      <c r="R146" s="663"/>
      <c r="S146" s="663"/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</row>
    <row r="147">
      <c r="A147" s="948" t="s">
        <v>316</v>
      </c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3"/>
      <c r="P147" s="663"/>
      <c r="Q147" s="663"/>
      <c r="R147" s="663"/>
      <c r="S147" s="663"/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</row>
    <row r="148">
      <c r="A148" s="948" t="s">
        <v>286</v>
      </c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</row>
    <row r="149">
      <c r="A149" s="948" t="s">
        <v>194</v>
      </c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</row>
    <row r="150">
      <c r="A150" s="948" t="s">
        <v>293</v>
      </c>
      <c r="B150" s="663"/>
      <c r="C150" s="663"/>
      <c r="D150" s="663"/>
      <c r="E150" s="663"/>
      <c r="F150" s="663"/>
      <c r="G150" s="954"/>
      <c r="H150" s="663"/>
      <c r="I150" s="663"/>
      <c r="J150" s="663"/>
      <c r="K150" s="663"/>
      <c r="L150" s="663"/>
      <c r="M150" s="663"/>
      <c r="N150" s="663"/>
      <c r="O150" s="663"/>
      <c r="P150" s="663"/>
      <c r="Q150" s="663"/>
      <c r="R150" s="663"/>
      <c r="S150" s="663"/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</row>
    <row r="151">
      <c r="A151" s="948" t="s">
        <v>72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</row>
    <row r="152">
      <c r="A152" s="948" t="s">
        <v>276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</row>
    <row r="153">
      <c r="A153" s="948" t="s">
        <v>317</v>
      </c>
      <c r="B153" s="663"/>
      <c r="C153" s="663"/>
      <c r="D153" s="663"/>
      <c r="E153" s="663"/>
      <c r="F153" s="663"/>
      <c r="G153" s="663"/>
      <c r="H153" s="663"/>
      <c r="I153" s="663"/>
      <c r="J153" s="663"/>
      <c r="K153" s="663"/>
      <c r="L153" s="663"/>
      <c r="M153" s="663"/>
      <c r="N153" s="663"/>
      <c r="O153" s="663"/>
      <c r="P153" s="663"/>
      <c r="Q153" s="663"/>
      <c r="R153" s="663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  <c r="AF153" s="663"/>
    </row>
    <row r="154">
      <c r="A154" s="955" t="s">
        <v>312</v>
      </c>
      <c r="B154" s="896"/>
      <c r="C154" s="896"/>
      <c r="D154" s="896"/>
      <c r="E154" s="896"/>
      <c r="F154" s="896"/>
      <c r="G154" s="896"/>
      <c r="H154" s="896"/>
      <c r="I154" s="896"/>
      <c r="J154" s="896"/>
      <c r="K154" s="896"/>
      <c r="L154" s="896"/>
      <c r="M154" s="896"/>
      <c r="N154" s="896"/>
      <c r="O154" s="896"/>
      <c r="P154" s="896"/>
      <c r="Q154" s="896"/>
      <c r="R154" s="896"/>
      <c r="S154" s="896"/>
      <c r="T154" s="896"/>
      <c r="U154" s="896"/>
      <c r="V154" s="896"/>
      <c r="W154" s="896"/>
      <c r="X154" s="896"/>
      <c r="Y154" s="896"/>
      <c r="Z154" s="896"/>
      <c r="AA154" s="896"/>
      <c r="AB154" s="896"/>
      <c r="AC154" s="896"/>
      <c r="AD154" s="896"/>
      <c r="AE154" s="896"/>
      <c r="AF154" s="896"/>
    </row>
    <row r="155">
      <c r="A155" s="955" t="s">
        <v>302</v>
      </c>
    </row>
    <row r="156">
      <c r="A156" s="955" t="s">
        <v>274</v>
      </c>
    </row>
    <row r="157">
      <c r="A157" s="955" t="s">
        <v>93</v>
      </c>
    </row>
    <row r="158">
      <c r="A158" s="955" t="s">
        <v>455</v>
      </c>
    </row>
    <row r="159">
      <c r="A159" s="955" t="s">
        <v>309</v>
      </c>
    </row>
    <row r="160">
      <c r="A160" s="955" t="s">
        <v>474</v>
      </c>
    </row>
    <row r="161">
      <c r="A161" s="955" t="s">
        <v>283</v>
      </c>
    </row>
    <row r="162">
      <c r="A162" s="955" t="s">
        <v>139</v>
      </c>
    </row>
    <row r="163">
      <c r="A163" s="955" t="s">
        <v>456</v>
      </c>
    </row>
    <row r="164">
      <c r="A164" s="955" t="s">
        <v>223</v>
      </c>
    </row>
    <row r="165">
      <c r="A165" s="955" t="s">
        <v>234</v>
      </c>
    </row>
    <row r="166">
      <c r="A166" s="955" t="s">
        <v>475</v>
      </c>
    </row>
    <row r="167">
      <c r="A167" s="955" t="s">
        <v>476</v>
      </c>
    </row>
    <row r="168">
      <c r="A168" s="955" t="s">
        <v>477</v>
      </c>
    </row>
    <row r="169">
      <c r="A169" s="955" t="s">
        <v>478</v>
      </c>
    </row>
    <row r="170">
      <c r="A170" s="955" t="s">
        <v>479</v>
      </c>
    </row>
    <row r="171">
      <c r="A171" s="955" t="s">
        <v>292</v>
      </c>
    </row>
    <row r="172">
      <c r="A172" s="955" t="s">
        <v>480</v>
      </c>
    </row>
    <row r="173">
      <c r="A173" s="955" t="s">
        <v>481</v>
      </c>
    </row>
    <row r="174">
      <c r="A174" s="955" t="s">
        <v>482</v>
      </c>
    </row>
    <row r="175">
      <c r="A175" s="955" t="s">
        <v>483</v>
      </c>
    </row>
    <row r="177">
      <c r="A177" s="948"/>
      <c r="B177" s="956">
        <v>45809.0</v>
      </c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6"/>
      <c r="N177" s="506"/>
      <c r="O177" s="506"/>
      <c r="P177" s="506"/>
      <c r="Q177" s="506"/>
      <c r="R177" s="506"/>
      <c r="S177" s="506"/>
      <c r="T177" s="506"/>
      <c r="U177" s="506"/>
      <c r="V177" s="506"/>
      <c r="W177" s="506"/>
      <c r="X177" s="506"/>
      <c r="Y177" s="506"/>
      <c r="Z177" s="506"/>
      <c r="AA177" s="506"/>
      <c r="AB177" s="506"/>
      <c r="AC177" s="506"/>
      <c r="AD177" s="506"/>
      <c r="AE177" s="506"/>
      <c r="AF177" s="334"/>
    </row>
    <row r="178">
      <c r="A178" s="948"/>
      <c r="B178" s="957">
        <v>1.0</v>
      </c>
      <c r="C178" s="957">
        <v>2.0</v>
      </c>
      <c r="D178" s="957">
        <v>3.0</v>
      </c>
      <c r="E178" s="957">
        <v>4.0</v>
      </c>
      <c r="F178" s="957">
        <v>5.0</v>
      </c>
      <c r="G178" s="957">
        <v>6.0</v>
      </c>
      <c r="H178" s="957">
        <v>7.0</v>
      </c>
      <c r="I178" s="957">
        <v>8.0</v>
      </c>
      <c r="J178" s="957">
        <v>9.0</v>
      </c>
      <c r="K178" s="957">
        <v>10.0</v>
      </c>
      <c r="L178" s="957">
        <v>11.0</v>
      </c>
      <c r="M178" s="957">
        <v>12.0</v>
      </c>
      <c r="N178" s="957">
        <v>13.0</v>
      </c>
      <c r="O178" s="957">
        <v>14.0</v>
      </c>
      <c r="P178" s="957">
        <v>15.0</v>
      </c>
      <c r="Q178" s="957">
        <v>16.0</v>
      </c>
      <c r="R178" s="957">
        <v>17.0</v>
      </c>
      <c r="S178" s="957">
        <v>18.0</v>
      </c>
      <c r="T178" s="957">
        <v>19.0</v>
      </c>
      <c r="U178" s="957">
        <v>20.0</v>
      </c>
      <c r="V178" s="957">
        <v>21.0</v>
      </c>
      <c r="W178" s="957">
        <v>22.0</v>
      </c>
      <c r="X178" s="957">
        <v>23.0</v>
      </c>
      <c r="Y178" s="957">
        <v>24.0</v>
      </c>
      <c r="Z178" s="957">
        <v>25.0</v>
      </c>
      <c r="AA178" s="957">
        <v>26.0</v>
      </c>
      <c r="AB178" s="957">
        <v>27.0</v>
      </c>
      <c r="AC178" s="957">
        <v>28.0</v>
      </c>
      <c r="AD178" s="957">
        <v>29.0</v>
      </c>
      <c r="AE178" s="957">
        <v>30.0</v>
      </c>
      <c r="AF178" s="957">
        <v>31.0</v>
      </c>
    </row>
    <row r="179">
      <c r="A179" s="948"/>
      <c r="B179" s="957" t="s">
        <v>470</v>
      </c>
      <c r="C179" s="957" t="s">
        <v>471</v>
      </c>
      <c r="D179" s="957" t="s">
        <v>472</v>
      </c>
      <c r="E179" s="957" t="s">
        <v>466</v>
      </c>
      <c r="F179" s="957" t="s">
        <v>467</v>
      </c>
      <c r="G179" s="957" t="s">
        <v>468</v>
      </c>
      <c r="H179" s="957" t="s">
        <v>469</v>
      </c>
      <c r="I179" s="957" t="s">
        <v>470</v>
      </c>
      <c r="J179" s="957" t="s">
        <v>471</v>
      </c>
      <c r="K179" s="957" t="s">
        <v>472</v>
      </c>
      <c r="L179" s="957" t="s">
        <v>466</v>
      </c>
      <c r="M179" s="957" t="s">
        <v>467</v>
      </c>
      <c r="N179" s="957" t="s">
        <v>468</v>
      </c>
      <c r="O179" s="957" t="s">
        <v>469</v>
      </c>
      <c r="P179" s="957" t="s">
        <v>470</v>
      </c>
      <c r="Q179" s="957" t="s">
        <v>471</v>
      </c>
      <c r="R179" s="957" t="s">
        <v>472</v>
      </c>
      <c r="S179" s="957" t="s">
        <v>466</v>
      </c>
      <c r="T179" s="957" t="s">
        <v>467</v>
      </c>
      <c r="U179" s="957" t="s">
        <v>468</v>
      </c>
      <c r="V179" s="957" t="s">
        <v>469</v>
      </c>
      <c r="W179" s="957" t="s">
        <v>470</v>
      </c>
      <c r="X179" s="957" t="s">
        <v>471</v>
      </c>
      <c r="Y179" s="957" t="s">
        <v>472</v>
      </c>
      <c r="Z179" s="957" t="s">
        <v>466</v>
      </c>
      <c r="AA179" s="957" t="s">
        <v>467</v>
      </c>
      <c r="AB179" s="957" t="s">
        <v>468</v>
      </c>
      <c r="AC179" s="957" t="s">
        <v>469</v>
      </c>
      <c r="AD179" s="957" t="s">
        <v>470</v>
      </c>
      <c r="AE179" s="957" t="s">
        <v>471</v>
      </c>
      <c r="AF179" s="957" t="s">
        <v>472</v>
      </c>
    </row>
    <row r="180">
      <c r="A180" s="952" t="s">
        <v>473</v>
      </c>
      <c r="B180" s="663"/>
      <c r="C180" s="663"/>
      <c r="D180" s="663"/>
      <c r="E180" s="663"/>
      <c r="F180" s="663"/>
      <c r="G180" s="663"/>
      <c r="H180" s="663"/>
      <c r="I180" s="663"/>
      <c r="J180" s="663"/>
      <c r="K180" s="663"/>
      <c r="L180" s="663"/>
      <c r="M180" s="663"/>
      <c r="N180" s="663"/>
      <c r="O180" s="663"/>
      <c r="P180" s="663"/>
      <c r="Q180" s="663"/>
      <c r="R180" s="663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  <c r="AF180" s="663"/>
    </row>
    <row r="181">
      <c r="A181" s="952" t="s">
        <v>144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63"/>
    </row>
    <row r="182">
      <c r="A182" s="948" t="s">
        <v>175</v>
      </c>
      <c r="B182" s="663"/>
      <c r="C182" s="663"/>
      <c r="D182" s="663"/>
      <c r="E182" s="663"/>
      <c r="F182" s="663"/>
      <c r="G182" s="663"/>
      <c r="H182" s="663"/>
      <c r="I182" s="663"/>
      <c r="J182" s="663"/>
      <c r="K182" s="663"/>
      <c r="L182" s="663"/>
      <c r="M182" s="663"/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</row>
    <row r="183">
      <c r="A183" s="948" t="s">
        <v>316</v>
      </c>
      <c r="B183" s="663"/>
      <c r="C183" s="663"/>
      <c r="D183" s="663"/>
      <c r="E183" s="663"/>
      <c r="F183" s="663"/>
      <c r="G183" s="663"/>
      <c r="H183" s="663"/>
      <c r="I183" s="663"/>
      <c r="J183" s="663"/>
      <c r="K183" s="663"/>
      <c r="L183" s="663"/>
      <c r="M183" s="663"/>
      <c r="N183" s="663"/>
      <c r="O183" s="663"/>
      <c r="P183" s="663"/>
      <c r="Q183" s="663"/>
      <c r="R183" s="663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</row>
    <row r="184">
      <c r="A184" s="948" t="s">
        <v>286</v>
      </c>
      <c r="B184" s="663"/>
      <c r="C184" s="663"/>
      <c r="D184" s="663"/>
      <c r="E184" s="663"/>
      <c r="F184" s="663"/>
      <c r="G184" s="663"/>
      <c r="H184" s="663"/>
      <c r="I184" s="663"/>
      <c r="J184" s="663"/>
      <c r="K184" s="663"/>
      <c r="L184" s="663"/>
      <c r="M184" s="663"/>
      <c r="N184" s="663"/>
      <c r="O184" s="663"/>
      <c r="P184" s="663"/>
      <c r="Q184" s="663"/>
      <c r="R184" s="663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</row>
    <row r="185">
      <c r="A185" s="948" t="s">
        <v>194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</row>
    <row r="186">
      <c r="A186" s="948" t="s">
        <v>293</v>
      </c>
      <c r="B186" s="663"/>
      <c r="C186" s="663"/>
      <c r="D186" s="663"/>
      <c r="E186" s="663"/>
      <c r="F186" s="663"/>
      <c r="G186" s="954"/>
      <c r="H186" s="663"/>
      <c r="I186" s="663"/>
      <c r="J186" s="663"/>
      <c r="K186" s="663"/>
      <c r="L186" s="663"/>
      <c r="M186" s="663"/>
      <c r="N186" s="663"/>
      <c r="O186" s="663"/>
      <c r="P186" s="663"/>
      <c r="Q186" s="663"/>
      <c r="R186" s="663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</row>
    <row r="187">
      <c r="A187" s="948" t="s">
        <v>72</v>
      </c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3"/>
      <c r="P187" s="663"/>
      <c r="Q187" s="663"/>
      <c r="R187" s="663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</row>
    <row r="188">
      <c r="A188" s="948" t="s">
        <v>276</v>
      </c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3"/>
      <c r="P188" s="663"/>
      <c r="Q188" s="663"/>
      <c r="R188" s="663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  <c r="AF188" s="663"/>
    </row>
    <row r="189">
      <c r="A189" s="948" t="s">
        <v>317</v>
      </c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  <c r="AF189" s="663"/>
    </row>
    <row r="190">
      <c r="A190" s="955" t="s">
        <v>312</v>
      </c>
      <c r="B190" s="896"/>
      <c r="C190" s="896"/>
      <c r="D190" s="896"/>
      <c r="E190" s="896"/>
      <c r="F190" s="896"/>
      <c r="G190" s="896"/>
      <c r="H190" s="896"/>
      <c r="I190" s="896"/>
      <c r="J190" s="896"/>
      <c r="K190" s="896"/>
      <c r="L190" s="896"/>
      <c r="M190" s="896"/>
      <c r="N190" s="896"/>
      <c r="O190" s="896"/>
      <c r="P190" s="896"/>
      <c r="Q190" s="896"/>
      <c r="R190" s="896"/>
      <c r="S190" s="896"/>
      <c r="T190" s="896"/>
      <c r="U190" s="896"/>
      <c r="V190" s="896"/>
      <c r="W190" s="896"/>
      <c r="X190" s="896"/>
      <c r="Y190" s="896"/>
      <c r="Z190" s="896"/>
      <c r="AA190" s="896"/>
      <c r="AB190" s="896"/>
      <c r="AC190" s="896"/>
      <c r="AD190" s="896"/>
      <c r="AE190" s="896"/>
      <c r="AF190" s="896"/>
    </row>
    <row r="191">
      <c r="A191" s="955" t="s">
        <v>302</v>
      </c>
    </row>
    <row r="192">
      <c r="A192" s="955" t="s">
        <v>274</v>
      </c>
    </row>
    <row r="193">
      <c r="A193" s="955" t="s">
        <v>93</v>
      </c>
    </row>
    <row r="194">
      <c r="A194" s="955" t="s">
        <v>455</v>
      </c>
    </row>
    <row r="195">
      <c r="A195" s="955" t="s">
        <v>309</v>
      </c>
      <c r="H195" s="903"/>
    </row>
    <row r="196">
      <c r="A196" s="955" t="s">
        <v>474</v>
      </c>
    </row>
    <row r="197">
      <c r="A197" s="955" t="s">
        <v>283</v>
      </c>
    </row>
    <row r="198">
      <c r="A198" s="955" t="s">
        <v>139</v>
      </c>
    </row>
    <row r="199">
      <c r="A199" s="955" t="s">
        <v>456</v>
      </c>
    </row>
    <row r="200">
      <c r="A200" s="955" t="s">
        <v>223</v>
      </c>
    </row>
    <row r="201">
      <c r="A201" s="955" t="s">
        <v>234</v>
      </c>
    </row>
    <row r="202">
      <c r="A202" s="955" t="s">
        <v>475</v>
      </c>
    </row>
    <row r="203">
      <c r="A203" s="955" t="s">
        <v>476</v>
      </c>
    </row>
    <row r="204">
      <c r="A204" s="955" t="s">
        <v>477</v>
      </c>
    </row>
    <row r="205">
      <c r="A205" s="955" t="s">
        <v>478</v>
      </c>
    </row>
    <row r="206">
      <c r="A206" s="955" t="s">
        <v>479</v>
      </c>
    </row>
    <row r="207">
      <c r="A207" s="955" t="s">
        <v>292</v>
      </c>
    </row>
    <row r="208">
      <c r="A208" s="955" t="s">
        <v>480</v>
      </c>
    </row>
    <row r="209">
      <c r="A209" s="955" t="s">
        <v>481</v>
      </c>
    </row>
    <row r="210">
      <c r="A210" s="955" t="s">
        <v>482</v>
      </c>
    </row>
    <row r="211">
      <c r="A211" s="955" t="s">
        <v>483</v>
      </c>
    </row>
  </sheetData>
  <mergeCells count="8">
    <mergeCell ref="B1:AF1"/>
    <mergeCell ref="Y7:AF7"/>
    <mergeCell ref="B36:AF36"/>
    <mergeCell ref="B42:C42"/>
    <mergeCell ref="B71:AF71"/>
    <mergeCell ref="B106:AF106"/>
    <mergeCell ref="B141:AF141"/>
    <mergeCell ref="B177:AF177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1.57"/>
    <col customWidth="1" min="3" max="7" width="14.43"/>
    <col customWidth="1" min="9" max="9" width="28.71"/>
  </cols>
  <sheetData>
    <row r="1" ht="32.25" customHeight="1">
      <c r="A1" s="892"/>
      <c r="B1" s="959" t="s">
        <v>447</v>
      </c>
      <c r="I1" s="959" t="s">
        <v>457</v>
      </c>
    </row>
    <row r="2" ht="32.25" customHeight="1">
      <c r="A2" s="897"/>
      <c r="B2" s="960" t="s">
        <v>448</v>
      </c>
      <c r="C2" s="961" t="s">
        <v>449</v>
      </c>
      <c r="D2" s="961" t="s">
        <v>450</v>
      </c>
      <c r="E2" s="961" t="s">
        <v>451</v>
      </c>
      <c r="F2" s="961" t="s">
        <v>452</v>
      </c>
      <c r="G2" s="961" t="s">
        <v>453</v>
      </c>
      <c r="I2" s="960" t="s">
        <v>448</v>
      </c>
      <c r="J2" s="961" t="s">
        <v>449</v>
      </c>
      <c r="K2" s="961" t="s">
        <v>450</v>
      </c>
      <c r="L2" s="961" t="s">
        <v>451</v>
      </c>
      <c r="M2" s="961" t="s">
        <v>452</v>
      </c>
      <c r="N2" s="961" t="s">
        <v>453</v>
      </c>
    </row>
    <row r="3">
      <c r="A3" s="900">
        <v>1.0</v>
      </c>
      <c r="B3" s="910" t="s">
        <v>484</v>
      </c>
      <c r="C3" s="904"/>
      <c r="D3" s="904"/>
      <c r="E3" s="962"/>
      <c r="F3" s="902"/>
      <c r="G3" s="904"/>
      <c r="I3" s="929" t="s">
        <v>458</v>
      </c>
      <c r="J3" s="932"/>
      <c r="K3" s="932"/>
      <c r="L3" s="941"/>
      <c r="M3" s="932"/>
      <c r="N3" s="902"/>
    </row>
    <row r="4">
      <c r="A4" s="900">
        <v>2.0</v>
      </c>
      <c r="B4" s="913" t="s">
        <v>234</v>
      </c>
      <c r="C4" s="902"/>
      <c r="D4" s="904"/>
      <c r="E4" s="904"/>
      <c r="F4" s="904"/>
      <c r="G4" s="962"/>
      <c r="I4" s="929" t="s">
        <v>485</v>
      </c>
      <c r="J4" s="932"/>
      <c r="K4" s="902"/>
      <c r="L4" s="932"/>
      <c r="M4" s="941"/>
      <c r="N4" s="932"/>
    </row>
    <row r="5">
      <c r="A5" s="900">
        <v>3.0</v>
      </c>
      <c r="B5" s="913" t="s">
        <v>223</v>
      </c>
      <c r="C5" s="904"/>
      <c r="D5" s="902"/>
      <c r="E5" s="904"/>
      <c r="F5" s="904"/>
      <c r="G5" s="962"/>
      <c r="I5" s="940" t="s">
        <v>241</v>
      </c>
      <c r="J5" s="932"/>
      <c r="K5" s="932"/>
      <c r="L5" s="902"/>
      <c r="M5" s="932"/>
      <c r="N5" s="941"/>
    </row>
    <row r="6">
      <c r="A6" s="900">
        <v>4.0</v>
      </c>
      <c r="B6" s="913" t="s">
        <v>481</v>
      </c>
      <c r="C6" s="904"/>
      <c r="D6" s="962"/>
      <c r="E6" s="902"/>
      <c r="F6" s="904"/>
      <c r="G6" s="904"/>
      <c r="I6" s="931" t="s">
        <v>486</v>
      </c>
      <c r="J6" s="932"/>
      <c r="K6" s="932"/>
      <c r="L6" s="932"/>
      <c r="M6" s="902"/>
      <c r="N6" s="941"/>
    </row>
    <row r="7">
      <c r="A7" s="900">
        <v>5.0</v>
      </c>
      <c r="B7" s="913" t="s">
        <v>480</v>
      </c>
      <c r="C7" s="904"/>
      <c r="D7" s="902"/>
      <c r="E7" s="962"/>
      <c r="F7" s="904"/>
      <c r="G7" s="904"/>
      <c r="I7" s="959" t="s">
        <v>459</v>
      </c>
    </row>
    <row r="8">
      <c r="A8" s="900">
        <v>6.0</v>
      </c>
      <c r="B8" s="913" t="s">
        <v>487</v>
      </c>
      <c r="C8" s="904"/>
      <c r="D8" s="962"/>
      <c r="E8" s="902"/>
      <c r="F8" s="904"/>
      <c r="G8" s="904"/>
    </row>
    <row r="9">
      <c r="A9" s="900">
        <v>7.0</v>
      </c>
      <c r="B9" s="913" t="s">
        <v>292</v>
      </c>
      <c r="C9" s="904"/>
      <c r="D9" s="904"/>
      <c r="E9" s="911"/>
      <c r="F9" s="902"/>
      <c r="G9" s="904"/>
      <c r="I9" s="963" t="s">
        <v>448</v>
      </c>
      <c r="J9" s="964" t="s">
        <v>449</v>
      </c>
      <c r="K9" s="964" t="s">
        <v>450</v>
      </c>
      <c r="L9" s="964" t="s">
        <v>451</v>
      </c>
      <c r="M9" s="964" t="s">
        <v>452</v>
      </c>
      <c r="N9" s="964" t="s">
        <v>453</v>
      </c>
    </row>
    <row r="10">
      <c r="A10" s="900">
        <v>8.0</v>
      </c>
      <c r="B10" s="913" t="s">
        <v>488</v>
      </c>
      <c r="C10" s="904"/>
      <c r="D10" s="904"/>
      <c r="E10" s="904"/>
      <c r="F10" s="904"/>
      <c r="G10" s="911"/>
      <c r="I10" s="824"/>
      <c r="J10" s="824"/>
      <c r="K10" s="824"/>
      <c r="L10" s="824"/>
      <c r="M10" s="824"/>
      <c r="N10" s="824"/>
    </row>
    <row r="11">
      <c r="A11" s="900">
        <v>9.0</v>
      </c>
      <c r="B11" s="913" t="s">
        <v>477</v>
      </c>
      <c r="C11" s="904"/>
      <c r="D11" s="904"/>
      <c r="E11" s="902"/>
      <c r="F11" s="962"/>
      <c r="G11" s="904"/>
      <c r="I11" s="929" t="s">
        <v>30</v>
      </c>
      <c r="J11" s="932"/>
      <c r="K11" s="906"/>
      <c r="L11" s="941"/>
      <c r="M11" s="932"/>
      <c r="N11" s="932"/>
    </row>
    <row r="12">
      <c r="A12" s="900">
        <v>10.0</v>
      </c>
      <c r="B12" s="913" t="s">
        <v>474</v>
      </c>
      <c r="C12" s="904"/>
      <c r="D12" s="904"/>
      <c r="E12" s="904"/>
      <c r="F12" s="902"/>
      <c r="G12" s="962"/>
      <c r="I12" s="940" t="s">
        <v>461</v>
      </c>
      <c r="J12" s="932"/>
      <c r="K12" s="932"/>
      <c r="L12" s="932"/>
      <c r="M12" s="932"/>
      <c r="N12" s="930"/>
    </row>
    <row r="13">
      <c r="A13" s="900">
        <v>11.0</v>
      </c>
      <c r="B13" s="913" t="s">
        <v>312</v>
      </c>
      <c r="C13" s="904"/>
      <c r="D13" s="904"/>
      <c r="E13" s="902"/>
      <c r="F13" s="962"/>
      <c r="G13" s="904"/>
      <c r="I13" s="929" t="s">
        <v>460</v>
      </c>
      <c r="J13" s="932"/>
      <c r="K13" s="941"/>
      <c r="L13" s="932"/>
      <c r="M13" s="906"/>
      <c r="N13" s="932"/>
    </row>
    <row r="14">
      <c r="A14" s="900">
        <v>12.0</v>
      </c>
      <c r="B14" s="913" t="s">
        <v>93</v>
      </c>
      <c r="C14" s="904"/>
      <c r="D14" s="902"/>
      <c r="E14" s="962"/>
      <c r="F14" s="904"/>
      <c r="G14" s="904"/>
      <c r="I14" s="929" t="s">
        <v>40</v>
      </c>
      <c r="J14" s="932"/>
      <c r="K14" s="932"/>
      <c r="L14" s="932"/>
      <c r="M14" s="932"/>
      <c r="N14" s="930"/>
    </row>
    <row r="15">
      <c r="A15" s="900">
        <v>13.0</v>
      </c>
      <c r="B15" s="913" t="s">
        <v>302</v>
      </c>
      <c r="C15" s="904"/>
      <c r="D15" s="904"/>
      <c r="E15" s="904"/>
      <c r="F15" s="962"/>
      <c r="G15" s="902"/>
      <c r="I15" s="929" t="s">
        <v>267</v>
      </c>
      <c r="J15" s="932"/>
      <c r="K15" s="932"/>
      <c r="L15" s="906"/>
      <c r="M15" s="941"/>
      <c r="N15" s="932"/>
    </row>
    <row r="16">
      <c r="A16" s="900">
        <v>14.0</v>
      </c>
      <c r="B16" s="913" t="s">
        <v>455</v>
      </c>
      <c r="C16" s="904"/>
      <c r="D16" s="904"/>
      <c r="E16" s="904"/>
      <c r="F16" s="962"/>
      <c r="G16" s="902"/>
      <c r="I16" s="929" t="s">
        <v>462</v>
      </c>
      <c r="J16" s="932"/>
      <c r="K16" s="932"/>
      <c r="L16" s="906"/>
      <c r="M16" s="941"/>
      <c r="N16" s="932"/>
    </row>
    <row r="17">
      <c r="A17" s="900">
        <v>15.0</v>
      </c>
      <c r="B17" s="913" t="s">
        <v>476</v>
      </c>
      <c r="C17" s="904"/>
      <c r="D17" s="962"/>
      <c r="E17" s="904"/>
      <c r="F17" s="902"/>
      <c r="G17" s="904"/>
      <c r="I17" s="929" t="s">
        <v>290</v>
      </c>
      <c r="J17" s="932"/>
      <c r="K17" s="906"/>
      <c r="L17" s="941"/>
      <c r="M17" s="932"/>
      <c r="N17" s="932"/>
    </row>
    <row r="18">
      <c r="A18" s="900">
        <v>16.0</v>
      </c>
      <c r="B18" s="913" t="s">
        <v>139</v>
      </c>
      <c r="C18" s="962"/>
      <c r="D18" s="904"/>
      <c r="E18" s="902"/>
      <c r="F18" s="904"/>
      <c r="G18" s="904"/>
      <c r="I18" s="929"/>
      <c r="J18" s="932"/>
      <c r="K18" s="932"/>
      <c r="L18" s="932"/>
      <c r="M18" s="906"/>
      <c r="N18" s="932"/>
    </row>
    <row r="19">
      <c r="A19" s="900">
        <v>17.0</v>
      </c>
      <c r="B19" s="913" t="s">
        <v>274</v>
      </c>
      <c r="C19" s="962"/>
      <c r="D19" s="904"/>
      <c r="E19" s="904"/>
      <c r="F19" s="904"/>
      <c r="G19" s="902"/>
      <c r="I19" s="959" t="s">
        <v>464</v>
      </c>
    </row>
    <row r="20">
      <c r="A20" s="900">
        <v>18.0</v>
      </c>
      <c r="B20" s="913" t="s">
        <v>473</v>
      </c>
      <c r="C20" s="904"/>
      <c r="D20" s="904"/>
      <c r="E20" s="962"/>
      <c r="F20" s="902"/>
      <c r="G20" s="904"/>
    </row>
    <row r="21">
      <c r="A21" s="900">
        <v>19.0</v>
      </c>
      <c r="B21" s="913" t="s">
        <v>489</v>
      </c>
      <c r="C21" s="904"/>
      <c r="D21" s="902"/>
      <c r="E21" s="904"/>
      <c r="F21" s="962"/>
      <c r="G21" s="904"/>
      <c r="I21" s="963" t="s">
        <v>448</v>
      </c>
      <c r="J21" s="964" t="s">
        <v>449</v>
      </c>
      <c r="K21" s="964" t="s">
        <v>450</v>
      </c>
      <c r="L21" s="964" t="s">
        <v>451</v>
      </c>
      <c r="M21" s="964" t="s">
        <v>452</v>
      </c>
      <c r="N21" s="964" t="s">
        <v>453</v>
      </c>
    </row>
    <row r="22">
      <c r="A22" s="900">
        <v>20.0</v>
      </c>
      <c r="B22" s="913" t="s">
        <v>475</v>
      </c>
      <c r="C22" s="904"/>
      <c r="D22" s="902"/>
      <c r="E22" s="904"/>
      <c r="F22" s="904"/>
      <c r="G22" s="962"/>
      <c r="I22" s="824"/>
      <c r="J22" s="824"/>
      <c r="K22" s="824"/>
      <c r="L22" s="824"/>
      <c r="M22" s="824"/>
      <c r="N22" s="824"/>
    </row>
    <row r="23">
      <c r="A23" s="900">
        <v>21.0</v>
      </c>
      <c r="B23" s="913" t="s">
        <v>317</v>
      </c>
      <c r="C23" s="904"/>
      <c r="D23" s="904"/>
      <c r="E23" s="904"/>
      <c r="F23" s="911"/>
      <c r="G23" s="904"/>
      <c r="I23" s="940" t="s">
        <v>47</v>
      </c>
      <c r="J23" s="930"/>
      <c r="K23" s="932"/>
      <c r="L23" s="932"/>
      <c r="M23" s="932"/>
      <c r="N23" s="932"/>
    </row>
    <row r="24">
      <c r="A24" s="900">
        <v>22.0</v>
      </c>
      <c r="B24" s="913" t="s">
        <v>478</v>
      </c>
      <c r="C24" s="904"/>
      <c r="D24" s="962"/>
      <c r="E24" s="904"/>
      <c r="F24" s="904"/>
      <c r="G24" s="902"/>
      <c r="I24" s="940" t="s">
        <v>465</v>
      </c>
      <c r="J24" s="932"/>
      <c r="K24" s="932"/>
      <c r="L24" s="932"/>
      <c r="M24" s="930"/>
      <c r="N24" s="932"/>
    </row>
    <row r="25">
      <c r="A25" s="965"/>
      <c r="B25" s="913"/>
      <c r="C25" s="966"/>
      <c r="D25" s="967"/>
      <c r="E25" s="967"/>
      <c r="F25" s="967"/>
      <c r="G25" s="967"/>
      <c r="I25" s="943" t="s">
        <v>304</v>
      </c>
      <c r="J25" s="932"/>
      <c r="K25" s="932"/>
      <c r="L25" s="932"/>
      <c r="M25" s="932"/>
      <c r="N25" s="930"/>
    </row>
    <row r="26">
      <c r="A26" s="965"/>
      <c r="B26" s="901"/>
      <c r="C26" s="967"/>
      <c r="D26" s="967"/>
      <c r="E26" s="967"/>
      <c r="F26" s="966"/>
      <c r="G26" s="967"/>
      <c r="I26" s="931" t="s">
        <v>313</v>
      </c>
      <c r="J26" s="932"/>
      <c r="K26" s="932"/>
      <c r="L26" s="906"/>
      <c r="M26" s="941"/>
      <c r="N26" s="932"/>
    </row>
    <row r="27">
      <c r="B27" s="920"/>
      <c r="I27" s="931" t="s">
        <v>307</v>
      </c>
      <c r="J27" s="932"/>
      <c r="K27" s="906"/>
      <c r="L27" s="941"/>
      <c r="M27" s="932"/>
      <c r="N27" s="932"/>
    </row>
    <row r="28">
      <c r="B28" s="920"/>
    </row>
    <row r="29">
      <c r="B29" s="920"/>
    </row>
    <row r="30">
      <c r="B30" s="920"/>
    </row>
    <row r="31">
      <c r="B31" s="920"/>
    </row>
    <row r="32">
      <c r="B32" s="920"/>
    </row>
    <row r="33">
      <c r="B33" s="920"/>
    </row>
    <row r="34">
      <c r="B34" s="920"/>
    </row>
    <row r="35">
      <c r="B35" s="920"/>
    </row>
    <row r="36">
      <c r="B36" s="920"/>
    </row>
    <row r="37">
      <c r="B37" s="920"/>
    </row>
    <row r="38">
      <c r="B38" s="920"/>
    </row>
    <row r="39">
      <c r="B39" s="920"/>
    </row>
    <row r="40">
      <c r="B40" s="920"/>
    </row>
    <row r="41">
      <c r="B41" s="920"/>
    </row>
    <row r="42">
      <c r="B42" s="920"/>
    </row>
    <row r="43">
      <c r="B43" s="920"/>
    </row>
    <row r="44">
      <c r="B44" s="920"/>
    </row>
    <row r="45">
      <c r="B45" s="920"/>
    </row>
    <row r="46">
      <c r="B46" s="920"/>
    </row>
    <row r="47">
      <c r="B47" s="920"/>
    </row>
    <row r="48">
      <c r="B48" s="920"/>
    </row>
    <row r="49">
      <c r="B49" s="920"/>
    </row>
    <row r="50">
      <c r="B50" s="920"/>
    </row>
    <row r="51">
      <c r="B51" s="920"/>
    </row>
    <row r="52">
      <c r="B52" s="920"/>
    </row>
    <row r="53">
      <c r="B53" s="920"/>
    </row>
    <row r="54">
      <c r="B54" s="920"/>
    </row>
    <row r="55">
      <c r="B55" s="920"/>
    </row>
    <row r="56">
      <c r="B56" s="920"/>
    </row>
    <row r="57">
      <c r="B57" s="920"/>
    </row>
    <row r="58">
      <c r="B58" s="920"/>
    </row>
    <row r="59">
      <c r="B59" s="920"/>
    </row>
    <row r="60">
      <c r="B60" s="920"/>
    </row>
    <row r="61">
      <c r="B61" s="920"/>
    </row>
    <row r="62">
      <c r="B62" s="920"/>
    </row>
    <row r="63">
      <c r="B63" s="920"/>
    </row>
    <row r="64">
      <c r="B64" s="920"/>
    </row>
    <row r="65">
      <c r="B65" s="920"/>
    </row>
    <row r="66">
      <c r="B66" s="920"/>
    </row>
    <row r="67">
      <c r="B67" s="920"/>
    </row>
    <row r="68">
      <c r="B68" s="920"/>
    </row>
    <row r="69">
      <c r="B69" s="920"/>
    </row>
    <row r="70">
      <c r="B70" s="920"/>
    </row>
    <row r="71">
      <c r="B71" s="920"/>
    </row>
    <row r="72">
      <c r="B72" s="920"/>
    </row>
    <row r="73">
      <c r="B73" s="920"/>
    </row>
    <row r="74">
      <c r="B74" s="920"/>
    </row>
    <row r="75">
      <c r="B75" s="920"/>
    </row>
    <row r="76">
      <c r="B76" s="920"/>
    </row>
    <row r="77">
      <c r="B77" s="920"/>
    </row>
    <row r="78">
      <c r="B78" s="920"/>
    </row>
    <row r="79">
      <c r="B79" s="920"/>
    </row>
    <row r="80">
      <c r="B80" s="920"/>
    </row>
    <row r="81">
      <c r="B81" s="920"/>
    </row>
    <row r="82">
      <c r="B82" s="920"/>
    </row>
    <row r="83">
      <c r="B83" s="920"/>
    </row>
    <row r="84">
      <c r="B84" s="920"/>
    </row>
    <row r="85">
      <c r="B85" s="920"/>
    </row>
    <row r="86">
      <c r="B86" s="920"/>
    </row>
    <row r="87">
      <c r="B87" s="920"/>
    </row>
    <row r="88">
      <c r="B88" s="920"/>
    </row>
    <row r="89">
      <c r="B89" s="920"/>
    </row>
    <row r="90">
      <c r="B90" s="920"/>
    </row>
    <row r="91">
      <c r="B91" s="920"/>
    </row>
    <row r="92">
      <c r="B92" s="920"/>
    </row>
    <row r="93">
      <c r="B93" s="920"/>
    </row>
    <row r="94">
      <c r="B94" s="920"/>
    </row>
    <row r="95">
      <c r="B95" s="920"/>
    </row>
    <row r="96">
      <c r="B96" s="920"/>
    </row>
    <row r="97">
      <c r="B97" s="920"/>
    </row>
    <row r="98">
      <c r="B98" s="920"/>
    </row>
    <row r="99">
      <c r="B99" s="920"/>
    </row>
    <row r="100">
      <c r="B100" s="920"/>
    </row>
    <row r="101">
      <c r="B101" s="920"/>
    </row>
    <row r="102">
      <c r="B102" s="920"/>
    </row>
    <row r="103">
      <c r="B103" s="920"/>
    </row>
    <row r="104">
      <c r="B104" s="920"/>
    </row>
    <row r="105">
      <c r="B105" s="920"/>
    </row>
    <row r="106">
      <c r="B106" s="920"/>
    </row>
    <row r="107">
      <c r="B107" s="920"/>
    </row>
    <row r="108">
      <c r="B108" s="920"/>
    </row>
    <row r="109">
      <c r="B109" s="920"/>
    </row>
    <row r="110">
      <c r="B110" s="920"/>
    </row>
    <row r="111">
      <c r="B111" s="920"/>
    </row>
    <row r="112">
      <c r="B112" s="920"/>
    </row>
    <row r="113">
      <c r="B113" s="920"/>
    </row>
    <row r="114">
      <c r="B114" s="920"/>
    </row>
    <row r="115">
      <c r="B115" s="920"/>
    </row>
    <row r="116">
      <c r="B116" s="920"/>
    </row>
    <row r="117">
      <c r="B117" s="920"/>
    </row>
    <row r="118">
      <c r="B118" s="920"/>
    </row>
    <row r="119">
      <c r="B119" s="920"/>
    </row>
    <row r="120">
      <c r="B120" s="920"/>
    </row>
    <row r="121">
      <c r="B121" s="920"/>
    </row>
    <row r="122">
      <c r="B122" s="920"/>
    </row>
    <row r="123">
      <c r="B123" s="920"/>
    </row>
    <row r="124">
      <c r="B124" s="920"/>
    </row>
    <row r="125">
      <c r="B125" s="920"/>
    </row>
    <row r="126">
      <c r="B126" s="920"/>
    </row>
    <row r="127">
      <c r="B127" s="920"/>
    </row>
    <row r="128">
      <c r="B128" s="920"/>
    </row>
    <row r="129">
      <c r="B129" s="920"/>
    </row>
    <row r="130">
      <c r="B130" s="920"/>
    </row>
    <row r="131">
      <c r="B131" s="920"/>
    </row>
    <row r="132">
      <c r="B132" s="920"/>
    </row>
    <row r="133">
      <c r="B133" s="920"/>
    </row>
    <row r="134">
      <c r="B134" s="920"/>
    </row>
    <row r="135">
      <c r="B135" s="920"/>
    </row>
    <row r="136">
      <c r="B136" s="920"/>
    </row>
    <row r="137">
      <c r="B137" s="920"/>
    </row>
    <row r="138">
      <c r="B138" s="920"/>
    </row>
    <row r="139">
      <c r="B139" s="920"/>
    </row>
    <row r="140">
      <c r="B140" s="920"/>
    </row>
    <row r="141">
      <c r="B141" s="920"/>
    </row>
    <row r="142">
      <c r="B142" s="920"/>
    </row>
    <row r="143">
      <c r="B143" s="920"/>
    </row>
    <row r="144">
      <c r="B144" s="920"/>
    </row>
    <row r="145">
      <c r="B145" s="920"/>
    </row>
    <row r="146">
      <c r="B146" s="920"/>
    </row>
    <row r="147">
      <c r="B147" s="920"/>
    </row>
    <row r="148">
      <c r="B148" s="920"/>
    </row>
    <row r="149">
      <c r="B149" s="920"/>
    </row>
    <row r="150">
      <c r="B150" s="920"/>
    </row>
    <row r="151">
      <c r="B151" s="920"/>
    </row>
    <row r="152">
      <c r="B152" s="920"/>
    </row>
    <row r="153">
      <c r="B153" s="920"/>
    </row>
    <row r="154">
      <c r="B154" s="920"/>
    </row>
    <row r="155">
      <c r="B155" s="920"/>
    </row>
    <row r="156">
      <c r="B156" s="920"/>
    </row>
    <row r="157">
      <c r="B157" s="920"/>
    </row>
    <row r="158">
      <c r="B158" s="920"/>
    </row>
    <row r="159">
      <c r="B159" s="920"/>
    </row>
    <row r="160">
      <c r="B160" s="920"/>
    </row>
    <row r="161">
      <c r="B161" s="920"/>
    </row>
    <row r="162">
      <c r="B162" s="920"/>
    </row>
    <row r="163">
      <c r="B163" s="920"/>
    </row>
    <row r="164">
      <c r="B164" s="920"/>
    </row>
    <row r="165">
      <c r="B165" s="920"/>
    </row>
    <row r="166">
      <c r="B166" s="920"/>
    </row>
    <row r="167">
      <c r="B167" s="920"/>
    </row>
    <row r="168">
      <c r="B168" s="920"/>
    </row>
    <row r="169">
      <c r="B169" s="920"/>
    </row>
    <row r="170">
      <c r="B170" s="920"/>
    </row>
    <row r="171">
      <c r="B171" s="920"/>
    </row>
    <row r="172">
      <c r="B172" s="920"/>
    </row>
    <row r="173">
      <c r="B173" s="920"/>
    </row>
    <row r="174">
      <c r="B174" s="920"/>
    </row>
    <row r="175">
      <c r="B175" s="920"/>
    </row>
    <row r="176">
      <c r="B176" s="920"/>
    </row>
    <row r="177">
      <c r="B177" s="920"/>
    </row>
    <row r="178">
      <c r="B178" s="920"/>
    </row>
    <row r="179">
      <c r="B179" s="920"/>
    </row>
    <row r="180">
      <c r="B180" s="920"/>
    </row>
    <row r="181">
      <c r="B181" s="920"/>
    </row>
    <row r="182">
      <c r="B182" s="920"/>
    </row>
    <row r="183">
      <c r="B183" s="920"/>
    </row>
    <row r="184">
      <c r="B184" s="920"/>
    </row>
    <row r="185">
      <c r="B185" s="920"/>
    </row>
    <row r="186">
      <c r="B186" s="920"/>
    </row>
    <row r="187">
      <c r="B187" s="920"/>
    </row>
    <row r="188">
      <c r="B188" s="920"/>
    </row>
    <row r="189">
      <c r="B189" s="920"/>
    </row>
    <row r="190">
      <c r="B190" s="920"/>
    </row>
    <row r="191">
      <c r="B191" s="920"/>
    </row>
    <row r="192">
      <c r="B192" s="920"/>
    </row>
    <row r="193">
      <c r="B193" s="920"/>
    </row>
    <row r="194">
      <c r="B194" s="920"/>
    </row>
    <row r="195">
      <c r="B195" s="920"/>
    </row>
    <row r="196">
      <c r="B196" s="920"/>
    </row>
    <row r="197">
      <c r="B197" s="920"/>
    </row>
    <row r="198">
      <c r="B198" s="920"/>
    </row>
    <row r="199">
      <c r="B199" s="920"/>
    </row>
    <row r="200">
      <c r="B200" s="920"/>
    </row>
    <row r="201">
      <c r="B201" s="920"/>
    </row>
    <row r="202">
      <c r="B202" s="920"/>
    </row>
    <row r="203">
      <c r="B203" s="920"/>
    </row>
    <row r="204">
      <c r="B204" s="920"/>
    </row>
    <row r="205">
      <c r="B205" s="920"/>
    </row>
    <row r="206">
      <c r="B206" s="920"/>
    </row>
    <row r="207">
      <c r="B207" s="920"/>
    </row>
    <row r="208">
      <c r="B208" s="920"/>
    </row>
    <row r="209">
      <c r="B209" s="920"/>
    </row>
    <row r="210">
      <c r="B210" s="920"/>
    </row>
    <row r="211">
      <c r="B211" s="920"/>
    </row>
    <row r="212">
      <c r="B212" s="920"/>
    </row>
    <row r="213">
      <c r="B213" s="920"/>
    </row>
    <row r="214">
      <c r="B214" s="920"/>
    </row>
    <row r="215">
      <c r="B215" s="920"/>
    </row>
    <row r="216">
      <c r="B216" s="920"/>
    </row>
    <row r="217">
      <c r="B217" s="920"/>
    </row>
    <row r="218">
      <c r="B218" s="920"/>
    </row>
    <row r="219">
      <c r="B219" s="920"/>
    </row>
    <row r="220">
      <c r="B220" s="920"/>
    </row>
    <row r="221">
      <c r="B221" s="920"/>
    </row>
    <row r="222">
      <c r="B222" s="920"/>
    </row>
    <row r="223">
      <c r="B223" s="920"/>
    </row>
    <row r="224">
      <c r="B224" s="920"/>
    </row>
    <row r="225">
      <c r="B225" s="920"/>
    </row>
    <row r="226">
      <c r="B226" s="920"/>
    </row>
    <row r="227">
      <c r="B227" s="920"/>
    </row>
    <row r="228">
      <c r="B228" s="920"/>
    </row>
    <row r="229">
      <c r="B229" s="920"/>
    </row>
    <row r="230">
      <c r="B230" s="920"/>
    </row>
    <row r="231">
      <c r="B231" s="920"/>
    </row>
    <row r="232">
      <c r="B232" s="920"/>
    </row>
    <row r="233">
      <c r="B233" s="920"/>
    </row>
    <row r="234">
      <c r="B234" s="920"/>
    </row>
    <row r="235">
      <c r="B235" s="920"/>
    </row>
    <row r="236">
      <c r="B236" s="920"/>
    </row>
    <row r="237">
      <c r="B237" s="920"/>
    </row>
    <row r="238">
      <c r="B238" s="920"/>
    </row>
    <row r="239">
      <c r="B239" s="920"/>
    </row>
    <row r="240">
      <c r="B240" s="920"/>
    </row>
    <row r="241">
      <c r="B241" s="920"/>
    </row>
    <row r="242">
      <c r="B242" s="920"/>
    </row>
    <row r="243">
      <c r="B243" s="920"/>
    </row>
    <row r="244">
      <c r="B244" s="920"/>
    </row>
    <row r="245">
      <c r="B245" s="920"/>
    </row>
    <row r="246">
      <c r="B246" s="920"/>
    </row>
    <row r="247">
      <c r="B247" s="920"/>
    </row>
    <row r="248">
      <c r="B248" s="920"/>
    </row>
    <row r="249">
      <c r="B249" s="920"/>
    </row>
    <row r="250">
      <c r="B250" s="920"/>
    </row>
    <row r="251">
      <c r="B251" s="920"/>
    </row>
    <row r="252">
      <c r="B252" s="920"/>
    </row>
    <row r="253">
      <c r="B253" s="920"/>
    </row>
    <row r="254">
      <c r="B254" s="920"/>
    </row>
    <row r="255">
      <c r="B255" s="920"/>
    </row>
    <row r="256">
      <c r="B256" s="920"/>
    </row>
    <row r="257">
      <c r="B257" s="920"/>
    </row>
    <row r="258">
      <c r="B258" s="920"/>
    </row>
    <row r="259">
      <c r="B259" s="920"/>
    </row>
    <row r="260">
      <c r="B260" s="920"/>
    </row>
    <row r="261">
      <c r="B261" s="920"/>
    </row>
    <row r="262">
      <c r="B262" s="920"/>
    </row>
    <row r="263">
      <c r="B263" s="920"/>
    </row>
    <row r="264">
      <c r="B264" s="920"/>
    </row>
    <row r="265">
      <c r="B265" s="920"/>
    </row>
    <row r="266">
      <c r="B266" s="920"/>
    </row>
    <row r="267">
      <c r="B267" s="920"/>
    </row>
    <row r="268">
      <c r="B268" s="920"/>
    </row>
    <row r="269">
      <c r="B269" s="920"/>
    </row>
    <row r="270">
      <c r="B270" s="920"/>
    </row>
    <row r="271">
      <c r="B271" s="920"/>
    </row>
    <row r="272">
      <c r="B272" s="920"/>
    </row>
    <row r="273">
      <c r="B273" s="920"/>
    </row>
    <row r="274">
      <c r="B274" s="920"/>
    </row>
    <row r="275">
      <c r="B275" s="920"/>
    </row>
    <row r="276">
      <c r="B276" s="920"/>
    </row>
    <row r="277">
      <c r="B277" s="920"/>
    </row>
    <row r="278">
      <c r="B278" s="920"/>
    </row>
    <row r="279">
      <c r="B279" s="920"/>
    </row>
    <row r="280">
      <c r="B280" s="920"/>
    </row>
    <row r="281">
      <c r="B281" s="920"/>
    </row>
    <row r="282">
      <c r="B282" s="920"/>
    </row>
    <row r="283">
      <c r="B283" s="920"/>
    </row>
    <row r="284">
      <c r="B284" s="920"/>
    </row>
    <row r="285">
      <c r="B285" s="920"/>
    </row>
    <row r="286">
      <c r="B286" s="920"/>
    </row>
    <row r="287">
      <c r="B287" s="920"/>
    </row>
    <row r="288">
      <c r="B288" s="920"/>
    </row>
    <row r="289">
      <c r="B289" s="920"/>
    </row>
    <row r="290">
      <c r="B290" s="920"/>
    </row>
    <row r="291">
      <c r="B291" s="920"/>
    </row>
    <row r="292">
      <c r="B292" s="920"/>
    </row>
    <row r="293">
      <c r="B293" s="920"/>
    </row>
    <row r="294">
      <c r="B294" s="920"/>
    </row>
    <row r="295">
      <c r="B295" s="920"/>
    </row>
    <row r="296">
      <c r="B296" s="920"/>
    </row>
    <row r="297">
      <c r="B297" s="920"/>
    </row>
    <row r="298">
      <c r="B298" s="920"/>
    </row>
    <row r="299">
      <c r="B299" s="920"/>
    </row>
    <row r="300">
      <c r="B300" s="920"/>
    </row>
    <row r="301">
      <c r="B301" s="920"/>
    </row>
    <row r="302">
      <c r="B302" s="920"/>
    </row>
    <row r="303">
      <c r="B303" s="920"/>
    </row>
    <row r="304">
      <c r="B304" s="920"/>
    </row>
    <row r="305">
      <c r="B305" s="920"/>
    </row>
    <row r="306">
      <c r="B306" s="920"/>
    </row>
    <row r="307">
      <c r="B307" s="920"/>
    </row>
    <row r="308">
      <c r="B308" s="920"/>
    </row>
    <row r="309">
      <c r="B309" s="920"/>
    </row>
    <row r="310">
      <c r="B310" s="920"/>
    </row>
    <row r="311">
      <c r="B311" s="920"/>
    </row>
    <row r="312">
      <c r="B312" s="920"/>
    </row>
    <row r="313">
      <c r="B313" s="920"/>
    </row>
    <row r="314">
      <c r="B314" s="920"/>
    </row>
    <row r="315">
      <c r="B315" s="920"/>
    </row>
    <row r="316">
      <c r="B316" s="920"/>
    </row>
    <row r="317">
      <c r="B317" s="920"/>
    </row>
    <row r="318">
      <c r="B318" s="920"/>
    </row>
    <row r="319">
      <c r="B319" s="920"/>
    </row>
    <row r="320">
      <c r="B320" s="920"/>
    </row>
    <row r="321">
      <c r="B321" s="920"/>
    </row>
    <row r="322">
      <c r="B322" s="920"/>
    </row>
    <row r="323">
      <c r="B323" s="920"/>
    </row>
    <row r="324">
      <c r="B324" s="920"/>
    </row>
    <row r="325">
      <c r="B325" s="920"/>
    </row>
    <row r="326">
      <c r="B326" s="920"/>
    </row>
    <row r="327">
      <c r="B327" s="920"/>
    </row>
    <row r="328">
      <c r="B328" s="920"/>
    </row>
    <row r="329">
      <c r="B329" s="920"/>
    </row>
    <row r="330">
      <c r="B330" s="920"/>
    </row>
    <row r="331">
      <c r="B331" s="920"/>
    </row>
    <row r="332">
      <c r="B332" s="920"/>
    </row>
    <row r="333">
      <c r="B333" s="920"/>
    </row>
    <row r="334">
      <c r="B334" s="920"/>
    </row>
    <row r="335">
      <c r="B335" s="920"/>
    </row>
    <row r="336">
      <c r="B336" s="920"/>
    </row>
    <row r="337">
      <c r="B337" s="920"/>
    </row>
    <row r="338">
      <c r="B338" s="920"/>
    </row>
    <row r="339">
      <c r="B339" s="920"/>
    </row>
    <row r="340">
      <c r="B340" s="920"/>
    </row>
    <row r="341">
      <c r="B341" s="920"/>
    </row>
    <row r="342">
      <c r="B342" s="920"/>
    </row>
    <row r="343">
      <c r="B343" s="920"/>
    </row>
    <row r="344">
      <c r="B344" s="920"/>
    </row>
    <row r="345">
      <c r="B345" s="920"/>
    </row>
    <row r="346">
      <c r="B346" s="920"/>
    </row>
    <row r="347">
      <c r="B347" s="920"/>
    </row>
    <row r="348">
      <c r="B348" s="920"/>
    </row>
    <row r="349">
      <c r="B349" s="920"/>
    </row>
    <row r="350">
      <c r="B350" s="920"/>
    </row>
    <row r="351">
      <c r="B351" s="920"/>
    </row>
    <row r="352">
      <c r="B352" s="920"/>
    </row>
    <row r="353">
      <c r="B353" s="920"/>
    </row>
    <row r="354">
      <c r="B354" s="920"/>
    </row>
    <row r="355">
      <c r="B355" s="920"/>
    </row>
    <row r="356">
      <c r="B356" s="920"/>
    </row>
    <row r="357">
      <c r="B357" s="920"/>
    </row>
    <row r="358">
      <c r="B358" s="920"/>
    </row>
    <row r="359">
      <c r="B359" s="920"/>
    </row>
    <row r="360">
      <c r="B360" s="920"/>
    </row>
    <row r="361">
      <c r="B361" s="920"/>
    </row>
    <row r="362">
      <c r="B362" s="920"/>
    </row>
    <row r="363">
      <c r="B363" s="920"/>
    </row>
    <row r="364">
      <c r="B364" s="920"/>
    </row>
    <row r="365">
      <c r="B365" s="920"/>
    </row>
    <row r="366">
      <c r="B366" s="920"/>
    </row>
    <row r="367">
      <c r="B367" s="920"/>
    </row>
    <row r="368">
      <c r="B368" s="920"/>
    </row>
    <row r="369">
      <c r="B369" s="920"/>
    </row>
    <row r="370">
      <c r="B370" s="920"/>
    </row>
    <row r="371">
      <c r="B371" s="920"/>
    </row>
    <row r="372">
      <c r="B372" s="920"/>
    </row>
    <row r="373">
      <c r="B373" s="920"/>
    </row>
    <row r="374">
      <c r="B374" s="920"/>
    </row>
    <row r="375">
      <c r="B375" s="920"/>
    </row>
    <row r="376">
      <c r="B376" s="920"/>
    </row>
    <row r="377">
      <c r="B377" s="920"/>
    </row>
    <row r="378">
      <c r="B378" s="920"/>
    </row>
    <row r="379">
      <c r="B379" s="920"/>
    </row>
    <row r="380">
      <c r="B380" s="920"/>
    </row>
    <row r="381">
      <c r="B381" s="920"/>
    </row>
    <row r="382">
      <c r="B382" s="920"/>
    </row>
    <row r="383">
      <c r="B383" s="920"/>
    </row>
    <row r="384">
      <c r="B384" s="920"/>
    </row>
    <row r="385">
      <c r="B385" s="920"/>
    </row>
    <row r="386">
      <c r="B386" s="920"/>
    </row>
    <row r="387">
      <c r="B387" s="920"/>
    </row>
    <row r="388">
      <c r="B388" s="920"/>
    </row>
    <row r="389">
      <c r="B389" s="920"/>
    </row>
    <row r="390">
      <c r="B390" s="920"/>
    </row>
    <row r="391">
      <c r="B391" s="920"/>
    </row>
    <row r="392">
      <c r="B392" s="920"/>
    </row>
    <row r="393">
      <c r="B393" s="920"/>
    </row>
    <row r="394">
      <c r="B394" s="920"/>
    </row>
    <row r="395">
      <c r="B395" s="920"/>
    </row>
    <row r="396">
      <c r="B396" s="920"/>
    </row>
    <row r="397">
      <c r="B397" s="920"/>
    </row>
    <row r="398">
      <c r="B398" s="920"/>
    </row>
    <row r="399">
      <c r="B399" s="920"/>
    </row>
    <row r="400">
      <c r="B400" s="920"/>
    </row>
    <row r="401">
      <c r="B401" s="920"/>
    </row>
    <row r="402">
      <c r="B402" s="920"/>
    </row>
    <row r="403">
      <c r="B403" s="920"/>
    </row>
    <row r="404">
      <c r="B404" s="920"/>
    </row>
    <row r="405">
      <c r="B405" s="920"/>
    </row>
    <row r="406">
      <c r="B406" s="920"/>
    </row>
    <row r="407">
      <c r="B407" s="920"/>
    </row>
    <row r="408">
      <c r="B408" s="920"/>
    </row>
    <row r="409">
      <c r="B409" s="920"/>
    </row>
    <row r="410">
      <c r="B410" s="920"/>
    </row>
    <row r="411">
      <c r="B411" s="920"/>
    </row>
    <row r="412">
      <c r="B412" s="920"/>
    </row>
    <row r="413">
      <c r="B413" s="920"/>
    </row>
    <row r="414">
      <c r="B414" s="920"/>
    </row>
    <row r="415">
      <c r="B415" s="920"/>
    </row>
    <row r="416">
      <c r="B416" s="920"/>
    </row>
    <row r="417">
      <c r="B417" s="920"/>
    </row>
    <row r="418">
      <c r="B418" s="920"/>
    </row>
    <row r="419">
      <c r="B419" s="920"/>
    </row>
    <row r="420">
      <c r="B420" s="920"/>
    </row>
    <row r="421">
      <c r="B421" s="920"/>
    </row>
    <row r="422">
      <c r="B422" s="920"/>
    </row>
    <row r="423">
      <c r="B423" s="920"/>
    </row>
    <row r="424">
      <c r="B424" s="920"/>
    </row>
    <row r="425">
      <c r="B425" s="920"/>
    </row>
    <row r="426">
      <c r="B426" s="920"/>
    </row>
    <row r="427">
      <c r="B427" s="920"/>
    </row>
    <row r="428">
      <c r="B428" s="920"/>
    </row>
    <row r="429">
      <c r="B429" s="920"/>
    </row>
    <row r="430">
      <c r="B430" s="920"/>
    </row>
    <row r="431">
      <c r="B431" s="920"/>
    </row>
    <row r="432">
      <c r="B432" s="920"/>
    </row>
    <row r="433">
      <c r="B433" s="920"/>
    </row>
    <row r="434">
      <c r="B434" s="920"/>
    </row>
    <row r="435">
      <c r="B435" s="920"/>
    </row>
    <row r="436">
      <c r="B436" s="920"/>
    </row>
    <row r="437">
      <c r="B437" s="920"/>
    </row>
    <row r="438">
      <c r="B438" s="920"/>
    </row>
    <row r="439">
      <c r="B439" s="920"/>
    </row>
    <row r="440">
      <c r="B440" s="920"/>
    </row>
    <row r="441">
      <c r="B441" s="920"/>
    </row>
    <row r="442">
      <c r="B442" s="920"/>
    </row>
    <row r="443">
      <c r="B443" s="920"/>
    </row>
    <row r="444">
      <c r="B444" s="920"/>
    </row>
    <row r="445">
      <c r="B445" s="920"/>
    </row>
    <row r="446">
      <c r="B446" s="920"/>
    </row>
    <row r="447">
      <c r="B447" s="920"/>
    </row>
    <row r="448">
      <c r="B448" s="920"/>
    </row>
    <row r="449">
      <c r="B449" s="920"/>
    </row>
    <row r="450">
      <c r="B450" s="920"/>
    </row>
    <row r="451">
      <c r="B451" s="920"/>
    </row>
    <row r="452">
      <c r="B452" s="920"/>
    </row>
    <row r="453">
      <c r="B453" s="920"/>
    </row>
    <row r="454">
      <c r="B454" s="920"/>
    </row>
    <row r="455">
      <c r="B455" s="920"/>
    </row>
    <row r="456">
      <c r="B456" s="920"/>
    </row>
    <row r="457">
      <c r="B457" s="920"/>
    </row>
    <row r="458">
      <c r="B458" s="920"/>
    </row>
    <row r="459">
      <c r="B459" s="920"/>
    </row>
    <row r="460">
      <c r="B460" s="920"/>
    </row>
    <row r="461">
      <c r="B461" s="920"/>
    </row>
    <row r="462">
      <c r="B462" s="920"/>
    </row>
    <row r="463">
      <c r="B463" s="920"/>
    </row>
    <row r="464">
      <c r="B464" s="920"/>
    </row>
    <row r="465">
      <c r="B465" s="920"/>
    </row>
    <row r="466">
      <c r="B466" s="920"/>
    </row>
    <row r="467">
      <c r="B467" s="920"/>
    </row>
    <row r="468">
      <c r="B468" s="920"/>
    </row>
    <row r="469">
      <c r="B469" s="920"/>
    </row>
    <row r="470">
      <c r="B470" s="920"/>
    </row>
    <row r="471">
      <c r="B471" s="920"/>
    </row>
    <row r="472">
      <c r="B472" s="920"/>
    </row>
    <row r="473">
      <c r="B473" s="920"/>
    </row>
    <row r="474">
      <c r="B474" s="920"/>
    </row>
    <row r="475">
      <c r="B475" s="920"/>
    </row>
    <row r="476">
      <c r="B476" s="920"/>
    </row>
    <row r="477">
      <c r="B477" s="920"/>
    </row>
    <row r="478">
      <c r="B478" s="920"/>
    </row>
    <row r="479">
      <c r="B479" s="920"/>
    </row>
    <row r="480">
      <c r="B480" s="920"/>
    </row>
    <row r="481">
      <c r="B481" s="920"/>
    </row>
    <row r="482">
      <c r="B482" s="920"/>
    </row>
    <row r="483">
      <c r="B483" s="920"/>
    </row>
    <row r="484">
      <c r="B484" s="920"/>
    </row>
    <row r="485">
      <c r="B485" s="920"/>
    </row>
    <row r="486">
      <c r="B486" s="920"/>
    </row>
    <row r="487">
      <c r="B487" s="920"/>
    </row>
    <row r="488">
      <c r="B488" s="920"/>
    </row>
    <row r="489">
      <c r="B489" s="920"/>
    </row>
    <row r="490">
      <c r="B490" s="920"/>
    </row>
    <row r="491">
      <c r="B491" s="920"/>
    </row>
    <row r="492">
      <c r="B492" s="920"/>
    </row>
    <row r="493">
      <c r="B493" s="920"/>
    </row>
    <row r="494">
      <c r="B494" s="920"/>
    </row>
    <row r="495">
      <c r="B495" s="920"/>
    </row>
    <row r="496">
      <c r="B496" s="920"/>
    </row>
    <row r="497">
      <c r="B497" s="920"/>
    </row>
    <row r="498">
      <c r="B498" s="920"/>
    </row>
    <row r="499">
      <c r="B499" s="920"/>
    </row>
    <row r="500">
      <c r="B500" s="920"/>
    </row>
    <row r="501">
      <c r="B501" s="920"/>
    </row>
    <row r="502">
      <c r="B502" s="920"/>
    </row>
    <row r="503">
      <c r="B503" s="920"/>
    </row>
    <row r="504">
      <c r="B504" s="920"/>
    </row>
    <row r="505">
      <c r="B505" s="920"/>
    </row>
    <row r="506">
      <c r="B506" s="920"/>
    </row>
    <row r="507">
      <c r="B507" s="920"/>
    </row>
    <row r="508">
      <c r="B508" s="920"/>
    </row>
    <row r="509">
      <c r="B509" s="920"/>
    </row>
    <row r="510">
      <c r="B510" s="920"/>
    </row>
    <row r="511">
      <c r="B511" s="920"/>
    </row>
    <row r="512">
      <c r="B512" s="920"/>
    </row>
    <row r="513">
      <c r="B513" s="920"/>
    </row>
    <row r="514">
      <c r="B514" s="920"/>
    </row>
    <row r="515">
      <c r="B515" s="920"/>
    </row>
    <row r="516">
      <c r="B516" s="920"/>
    </row>
    <row r="517">
      <c r="B517" s="920"/>
    </row>
    <row r="518">
      <c r="B518" s="920"/>
    </row>
    <row r="519">
      <c r="B519" s="920"/>
    </row>
    <row r="520">
      <c r="B520" s="920"/>
    </row>
    <row r="521">
      <c r="B521" s="920"/>
    </row>
    <row r="522">
      <c r="B522" s="920"/>
    </row>
    <row r="523">
      <c r="B523" s="920"/>
    </row>
    <row r="524">
      <c r="B524" s="920"/>
    </row>
    <row r="525">
      <c r="B525" s="920"/>
    </row>
    <row r="526">
      <c r="B526" s="920"/>
    </row>
    <row r="527">
      <c r="B527" s="920"/>
    </row>
    <row r="528">
      <c r="B528" s="920"/>
    </row>
    <row r="529">
      <c r="B529" s="920"/>
    </row>
    <row r="530">
      <c r="B530" s="920"/>
    </row>
    <row r="531">
      <c r="B531" s="920"/>
    </row>
    <row r="532">
      <c r="B532" s="920"/>
    </row>
    <row r="533">
      <c r="B533" s="920"/>
    </row>
    <row r="534">
      <c r="B534" s="920"/>
    </row>
    <row r="535">
      <c r="B535" s="920"/>
    </row>
    <row r="536">
      <c r="B536" s="920"/>
    </row>
    <row r="537">
      <c r="B537" s="920"/>
    </row>
    <row r="538">
      <c r="B538" s="920"/>
    </row>
    <row r="539">
      <c r="B539" s="920"/>
    </row>
    <row r="540">
      <c r="B540" s="920"/>
    </row>
    <row r="541">
      <c r="B541" s="920"/>
    </row>
    <row r="542">
      <c r="B542" s="920"/>
    </row>
    <row r="543">
      <c r="B543" s="920"/>
    </row>
    <row r="544">
      <c r="B544" s="920"/>
    </row>
    <row r="545">
      <c r="B545" s="920"/>
    </row>
    <row r="546">
      <c r="B546" s="920"/>
    </row>
    <row r="547">
      <c r="B547" s="920"/>
    </row>
    <row r="548">
      <c r="B548" s="920"/>
    </row>
    <row r="549">
      <c r="B549" s="920"/>
    </row>
    <row r="550">
      <c r="B550" s="920"/>
    </row>
    <row r="551">
      <c r="B551" s="920"/>
    </row>
    <row r="552">
      <c r="B552" s="920"/>
    </row>
    <row r="553">
      <c r="B553" s="920"/>
    </row>
    <row r="554">
      <c r="B554" s="920"/>
    </row>
    <row r="555">
      <c r="B555" s="920"/>
    </row>
    <row r="556">
      <c r="B556" s="920"/>
    </row>
    <row r="557">
      <c r="B557" s="920"/>
    </row>
    <row r="558">
      <c r="B558" s="920"/>
    </row>
    <row r="559">
      <c r="B559" s="920"/>
    </row>
    <row r="560">
      <c r="B560" s="920"/>
    </row>
    <row r="561">
      <c r="B561" s="920"/>
    </row>
    <row r="562">
      <c r="B562" s="920"/>
    </row>
    <row r="563">
      <c r="B563" s="920"/>
    </row>
    <row r="564">
      <c r="B564" s="920"/>
    </row>
    <row r="565">
      <c r="B565" s="920"/>
    </row>
    <row r="566">
      <c r="B566" s="920"/>
    </row>
    <row r="567">
      <c r="B567" s="920"/>
    </row>
    <row r="568">
      <c r="B568" s="920"/>
    </row>
    <row r="569">
      <c r="B569" s="920"/>
    </row>
    <row r="570">
      <c r="B570" s="920"/>
    </row>
    <row r="571">
      <c r="B571" s="920"/>
    </row>
    <row r="572">
      <c r="B572" s="920"/>
    </row>
    <row r="573">
      <c r="B573" s="920"/>
    </row>
    <row r="574">
      <c r="B574" s="920"/>
    </row>
    <row r="575">
      <c r="B575" s="920"/>
    </row>
    <row r="576">
      <c r="B576" s="920"/>
    </row>
    <row r="577">
      <c r="B577" s="920"/>
    </row>
    <row r="578">
      <c r="B578" s="920"/>
    </row>
    <row r="579">
      <c r="B579" s="920"/>
    </row>
    <row r="580">
      <c r="B580" s="920"/>
    </row>
    <row r="581">
      <c r="B581" s="920"/>
    </row>
    <row r="582">
      <c r="B582" s="920"/>
    </row>
    <row r="583">
      <c r="B583" s="920"/>
    </row>
    <row r="584">
      <c r="B584" s="920"/>
    </row>
    <row r="585">
      <c r="B585" s="920"/>
    </row>
    <row r="586">
      <c r="B586" s="920"/>
    </row>
    <row r="587">
      <c r="B587" s="920"/>
    </row>
    <row r="588">
      <c r="B588" s="920"/>
    </row>
    <row r="589">
      <c r="B589" s="920"/>
    </row>
    <row r="590">
      <c r="B590" s="920"/>
    </row>
    <row r="591">
      <c r="B591" s="920"/>
    </row>
    <row r="592">
      <c r="B592" s="920"/>
    </row>
    <row r="593">
      <c r="B593" s="920"/>
    </row>
    <row r="594">
      <c r="B594" s="920"/>
    </row>
    <row r="595">
      <c r="B595" s="920"/>
    </row>
    <row r="596">
      <c r="B596" s="920"/>
    </row>
    <row r="597">
      <c r="B597" s="920"/>
    </row>
    <row r="598">
      <c r="B598" s="920"/>
    </row>
    <row r="599">
      <c r="B599" s="920"/>
    </row>
    <row r="600">
      <c r="B600" s="920"/>
    </row>
    <row r="601">
      <c r="B601" s="920"/>
    </row>
    <row r="602">
      <c r="B602" s="920"/>
    </row>
    <row r="603">
      <c r="B603" s="920"/>
    </row>
    <row r="604">
      <c r="B604" s="920"/>
    </row>
    <row r="605">
      <c r="B605" s="920"/>
    </row>
    <row r="606">
      <c r="B606" s="920"/>
    </row>
    <row r="607">
      <c r="B607" s="920"/>
    </row>
    <row r="608">
      <c r="B608" s="920"/>
    </row>
    <row r="609">
      <c r="B609" s="920"/>
    </row>
    <row r="610">
      <c r="B610" s="920"/>
    </row>
    <row r="611">
      <c r="B611" s="920"/>
    </row>
    <row r="612">
      <c r="B612" s="920"/>
    </row>
    <row r="613">
      <c r="B613" s="920"/>
    </row>
    <row r="614">
      <c r="B614" s="920"/>
    </row>
    <row r="615">
      <c r="B615" s="920"/>
    </row>
    <row r="616">
      <c r="B616" s="920"/>
    </row>
    <row r="617">
      <c r="B617" s="920"/>
    </row>
    <row r="618">
      <c r="B618" s="920"/>
    </row>
    <row r="619">
      <c r="B619" s="920"/>
    </row>
    <row r="620">
      <c r="B620" s="920"/>
    </row>
    <row r="621">
      <c r="B621" s="920"/>
    </row>
    <row r="622">
      <c r="B622" s="920"/>
    </row>
    <row r="623">
      <c r="B623" s="920"/>
    </row>
    <row r="624">
      <c r="B624" s="920"/>
    </row>
    <row r="625">
      <c r="B625" s="920"/>
    </row>
    <row r="626">
      <c r="B626" s="920"/>
    </row>
    <row r="627">
      <c r="B627" s="920"/>
    </row>
    <row r="628">
      <c r="B628" s="920"/>
    </row>
    <row r="629">
      <c r="B629" s="920"/>
    </row>
    <row r="630">
      <c r="B630" s="920"/>
    </row>
    <row r="631">
      <c r="B631" s="920"/>
    </row>
    <row r="632">
      <c r="B632" s="920"/>
    </row>
    <row r="633">
      <c r="B633" s="920"/>
    </row>
    <row r="634">
      <c r="B634" s="920"/>
    </row>
    <row r="635">
      <c r="B635" s="920"/>
    </row>
    <row r="636">
      <c r="B636" s="920"/>
    </row>
    <row r="637">
      <c r="B637" s="920"/>
    </row>
    <row r="638">
      <c r="B638" s="920"/>
    </row>
    <row r="639">
      <c r="B639" s="920"/>
    </row>
    <row r="640">
      <c r="B640" s="920"/>
    </row>
    <row r="641">
      <c r="B641" s="920"/>
    </row>
    <row r="642">
      <c r="B642" s="920"/>
    </row>
    <row r="643">
      <c r="B643" s="920"/>
    </row>
    <row r="644">
      <c r="B644" s="920"/>
    </row>
    <row r="645">
      <c r="B645" s="920"/>
    </row>
    <row r="646">
      <c r="B646" s="920"/>
    </row>
    <row r="647">
      <c r="B647" s="920"/>
    </row>
    <row r="648">
      <c r="B648" s="920"/>
    </row>
    <row r="649">
      <c r="B649" s="920"/>
    </row>
    <row r="650">
      <c r="B650" s="920"/>
    </row>
    <row r="651">
      <c r="B651" s="920"/>
    </row>
    <row r="652">
      <c r="B652" s="920"/>
    </row>
    <row r="653">
      <c r="B653" s="920"/>
    </row>
    <row r="654">
      <c r="B654" s="920"/>
    </row>
    <row r="655">
      <c r="B655" s="920"/>
    </row>
    <row r="656">
      <c r="B656" s="920"/>
    </row>
    <row r="657">
      <c r="B657" s="920"/>
    </row>
    <row r="658">
      <c r="B658" s="920"/>
    </row>
    <row r="659">
      <c r="B659" s="920"/>
    </row>
    <row r="660">
      <c r="B660" s="920"/>
    </row>
    <row r="661">
      <c r="B661" s="920"/>
    </row>
    <row r="662">
      <c r="B662" s="920"/>
    </row>
    <row r="663">
      <c r="B663" s="920"/>
    </row>
    <row r="664">
      <c r="B664" s="920"/>
    </row>
    <row r="665">
      <c r="B665" s="920"/>
    </row>
    <row r="666">
      <c r="B666" s="920"/>
    </row>
    <row r="667">
      <c r="B667" s="920"/>
    </row>
    <row r="668">
      <c r="B668" s="920"/>
    </row>
    <row r="669">
      <c r="B669" s="920"/>
    </row>
    <row r="670">
      <c r="B670" s="920"/>
    </row>
    <row r="671">
      <c r="B671" s="920"/>
    </row>
    <row r="672">
      <c r="B672" s="920"/>
    </row>
    <row r="673">
      <c r="B673" s="920"/>
    </row>
    <row r="674">
      <c r="B674" s="920"/>
    </row>
    <row r="675">
      <c r="B675" s="920"/>
    </row>
    <row r="676">
      <c r="B676" s="920"/>
    </row>
    <row r="677">
      <c r="B677" s="920"/>
    </row>
    <row r="678">
      <c r="B678" s="920"/>
    </row>
    <row r="679">
      <c r="B679" s="920"/>
    </row>
    <row r="680">
      <c r="B680" s="920"/>
    </row>
    <row r="681">
      <c r="B681" s="920"/>
    </row>
    <row r="682">
      <c r="B682" s="920"/>
    </row>
    <row r="683">
      <c r="B683" s="920"/>
    </row>
    <row r="684">
      <c r="B684" s="920"/>
    </row>
    <row r="685">
      <c r="B685" s="920"/>
    </row>
    <row r="686">
      <c r="B686" s="920"/>
    </row>
    <row r="687">
      <c r="B687" s="920"/>
    </row>
    <row r="688">
      <c r="B688" s="920"/>
    </row>
    <row r="689">
      <c r="B689" s="920"/>
    </row>
    <row r="690">
      <c r="B690" s="920"/>
    </row>
    <row r="691">
      <c r="B691" s="920"/>
    </row>
    <row r="692">
      <c r="B692" s="920"/>
    </row>
    <row r="693">
      <c r="B693" s="920"/>
    </row>
    <row r="694">
      <c r="B694" s="920"/>
    </row>
    <row r="695">
      <c r="B695" s="920"/>
    </row>
    <row r="696">
      <c r="B696" s="920"/>
    </row>
    <row r="697">
      <c r="B697" s="920"/>
    </row>
    <row r="698">
      <c r="B698" s="920"/>
    </row>
    <row r="699">
      <c r="B699" s="920"/>
    </row>
    <row r="700">
      <c r="B700" s="920"/>
    </row>
    <row r="701">
      <c r="B701" s="920"/>
    </row>
    <row r="702">
      <c r="B702" s="920"/>
    </row>
    <row r="703">
      <c r="B703" s="920"/>
    </row>
    <row r="704">
      <c r="B704" s="920"/>
    </row>
    <row r="705">
      <c r="B705" s="920"/>
    </row>
    <row r="706">
      <c r="B706" s="920"/>
    </row>
    <row r="707">
      <c r="B707" s="920"/>
    </row>
    <row r="708">
      <c r="B708" s="920"/>
    </row>
    <row r="709">
      <c r="B709" s="920"/>
    </row>
    <row r="710">
      <c r="B710" s="920"/>
    </row>
    <row r="711">
      <c r="B711" s="920"/>
    </row>
    <row r="712">
      <c r="B712" s="920"/>
    </row>
    <row r="713">
      <c r="B713" s="920"/>
    </row>
    <row r="714">
      <c r="B714" s="920"/>
    </row>
    <row r="715">
      <c r="B715" s="920"/>
    </row>
    <row r="716">
      <c r="B716" s="920"/>
    </row>
    <row r="717">
      <c r="B717" s="920"/>
    </row>
    <row r="718">
      <c r="B718" s="920"/>
    </row>
    <row r="719">
      <c r="B719" s="920"/>
    </row>
    <row r="720">
      <c r="B720" s="920"/>
    </row>
    <row r="721">
      <c r="B721" s="920"/>
    </row>
    <row r="722">
      <c r="B722" s="920"/>
    </row>
    <row r="723">
      <c r="B723" s="920"/>
    </row>
    <row r="724">
      <c r="B724" s="920"/>
    </row>
    <row r="725">
      <c r="B725" s="920"/>
    </row>
    <row r="726">
      <c r="B726" s="920"/>
    </row>
    <row r="727">
      <c r="B727" s="920"/>
    </row>
    <row r="728">
      <c r="B728" s="920"/>
    </row>
    <row r="729">
      <c r="B729" s="920"/>
    </row>
    <row r="730">
      <c r="B730" s="920"/>
    </row>
    <row r="731">
      <c r="B731" s="920"/>
    </row>
    <row r="732">
      <c r="B732" s="920"/>
    </row>
    <row r="733">
      <c r="B733" s="920"/>
    </row>
    <row r="734">
      <c r="B734" s="920"/>
    </row>
    <row r="735">
      <c r="B735" s="920"/>
    </row>
    <row r="736">
      <c r="B736" s="920"/>
    </row>
    <row r="737">
      <c r="B737" s="920"/>
    </row>
    <row r="738">
      <c r="B738" s="920"/>
    </row>
    <row r="739">
      <c r="B739" s="920"/>
    </row>
    <row r="740">
      <c r="B740" s="920"/>
    </row>
    <row r="741">
      <c r="B741" s="920"/>
    </row>
    <row r="742">
      <c r="B742" s="920"/>
    </row>
    <row r="743">
      <c r="B743" s="920"/>
    </row>
    <row r="744">
      <c r="B744" s="920"/>
    </row>
    <row r="745">
      <c r="B745" s="920"/>
    </row>
    <row r="746">
      <c r="B746" s="920"/>
    </row>
    <row r="747">
      <c r="B747" s="920"/>
    </row>
    <row r="748">
      <c r="B748" s="920"/>
    </row>
    <row r="749">
      <c r="B749" s="920"/>
    </row>
    <row r="750">
      <c r="B750" s="920"/>
    </row>
    <row r="751">
      <c r="B751" s="920"/>
    </row>
    <row r="752">
      <c r="B752" s="920"/>
    </row>
    <row r="753">
      <c r="B753" s="920"/>
    </row>
    <row r="754">
      <c r="B754" s="920"/>
    </row>
    <row r="755">
      <c r="B755" s="920"/>
    </row>
    <row r="756">
      <c r="B756" s="920"/>
    </row>
    <row r="757">
      <c r="B757" s="920"/>
    </row>
    <row r="758">
      <c r="B758" s="920"/>
    </row>
    <row r="759">
      <c r="B759" s="920"/>
    </row>
    <row r="760">
      <c r="B760" s="920"/>
    </row>
    <row r="761">
      <c r="B761" s="920"/>
    </row>
    <row r="762">
      <c r="B762" s="920"/>
    </row>
    <row r="763">
      <c r="B763" s="920"/>
    </row>
    <row r="764">
      <c r="B764" s="920"/>
    </row>
    <row r="765">
      <c r="B765" s="920"/>
    </row>
    <row r="766">
      <c r="B766" s="920"/>
    </row>
    <row r="767">
      <c r="B767" s="920"/>
    </row>
    <row r="768">
      <c r="B768" s="920"/>
    </row>
    <row r="769">
      <c r="B769" s="920"/>
    </row>
    <row r="770">
      <c r="B770" s="920"/>
    </row>
    <row r="771">
      <c r="B771" s="920"/>
    </row>
    <row r="772">
      <c r="B772" s="920"/>
    </row>
    <row r="773">
      <c r="B773" s="920"/>
    </row>
    <row r="774">
      <c r="B774" s="920"/>
    </row>
    <row r="775">
      <c r="B775" s="920"/>
    </row>
    <row r="776">
      <c r="B776" s="920"/>
    </row>
    <row r="777">
      <c r="B777" s="920"/>
    </row>
    <row r="778">
      <c r="B778" s="920"/>
    </row>
    <row r="779">
      <c r="B779" s="920"/>
    </row>
    <row r="780">
      <c r="B780" s="920"/>
    </row>
    <row r="781">
      <c r="B781" s="920"/>
    </row>
    <row r="782">
      <c r="B782" s="920"/>
    </row>
    <row r="783">
      <c r="B783" s="920"/>
    </row>
    <row r="784">
      <c r="B784" s="920"/>
    </row>
    <row r="785">
      <c r="B785" s="920"/>
    </row>
    <row r="786">
      <c r="B786" s="920"/>
    </row>
    <row r="787">
      <c r="B787" s="920"/>
    </row>
    <row r="788">
      <c r="B788" s="920"/>
    </row>
    <row r="789">
      <c r="B789" s="920"/>
    </row>
    <row r="790">
      <c r="B790" s="920"/>
    </row>
    <row r="791">
      <c r="B791" s="920"/>
    </row>
    <row r="792">
      <c r="B792" s="920"/>
    </row>
    <row r="793">
      <c r="B793" s="920"/>
    </row>
    <row r="794">
      <c r="B794" s="920"/>
    </row>
    <row r="795">
      <c r="B795" s="920"/>
    </row>
    <row r="796">
      <c r="B796" s="920"/>
    </row>
    <row r="797">
      <c r="B797" s="920"/>
    </row>
    <row r="798">
      <c r="B798" s="920"/>
    </row>
    <row r="799">
      <c r="B799" s="920"/>
    </row>
    <row r="800">
      <c r="B800" s="920"/>
    </row>
    <row r="801">
      <c r="B801" s="920"/>
    </row>
    <row r="802">
      <c r="B802" s="920"/>
    </row>
    <row r="803">
      <c r="B803" s="920"/>
    </row>
    <row r="804">
      <c r="B804" s="920"/>
    </row>
    <row r="805">
      <c r="B805" s="920"/>
    </row>
    <row r="806">
      <c r="B806" s="920"/>
    </row>
    <row r="807">
      <c r="B807" s="920"/>
    </row>
    <row r="808">
      <c r="B808" s="920"/>
    </row>
    <row r="809">
      <c r="B809" s="920"/>
    </row>
    <row r="810">
      <c r="B810" s="920"/>
    </row>
    <row r="811">
      <c r="B811" s="920"/>
    </row>
    <row r="812">
      <c r="B812" s="920"/>
    </row>
    <row r="813">
      <c r="B813" s="920"/>
    </row>
    <row r="814">
      <c r="B814" s="920"/>
    </row>
    <row r="815">
      <c r="B815" s="920"/>
    </row>
    <row r="816">
      <c r="B816" s="920"/>
    </row>
    <row r="817">
      <c r="B817" s="920"/>
    </row>
    <row r="818">
      <c r="B818" s="920"/>
    </row>
    <row r="819">
      <c r="B819" s="920"/>
    </row>
    <row r="820">
      <c r="B820" s="920"/>
    </row>
    <row r="821">
      <c r="B821" s="920"/>
    </row>
    <row r="822">
      <c r="B822" s="920"/>
    </row>
    <row r="823">
      <c r="B823" s="920"/>
    </row>
    <row r="824">
      <c r="B824" s="920"/>
    </row>
    <row r="825">
      <c r="B825" s="920"/>
    </row>
    <row r="826">
      <c r="B826" s="920"/>
    </row>
    <row r="827">
      <c r="B827" s="920"/>
    </row>
    <row r="828">
      <c r="B828" s="920"/>
    </row>
    <row r="829">
      <c r="B829" s="920"/>
    </row>
    <row r="830">
      <c r="B830" s="920"/>
    </row>
    <row r="831">
      <c r="B831" s="920"/>
    </row>
    <row r="832">
      <c r="B832" s="920"/>
    </row>
    <row r="833">
      <c r="B833" s="920"/>
    </row>
    <row r="834">
      <c r="B834" s="920"/>
    </row>
    <row r="835">
      <c r="B835" s="920"/>
    </row>
    <row r="836">
      <c r="B836" s="920"/>
    </row>
    <row r="837">
      <c r="B837" s="920"/>
    </row>
    <row r="838">
      <c r="B838" s="920"/>
    </row>
    <row r="839">
      <c r="B839" s="920"/>
    </row>
    <row r="840">
      <c r="B840" s="920"/>
    </row>
    <row r="841">
      <c r="B841" s="920"/>
    </row>
    <row r="842">
      <c r="B842" s="920"/>
    </row>
    <row r="843">
      <c r="B843" s="920"/>
    </row>
    <row r="844">
      <c r="B844" s="920"/>
    </row>
    <row r="845">
      <c r="B845" s="920"/>
    </row>
    <row r="846">
      <c r="B846" s="920"/>
    </row>
    <row r="847">
      <c r="B847" s="920"/>
    </row>
    <row r="848">
      <c r="B848" s="920"/>
    </row>
    <row r="849">
      <c r="B849" s="920"/>
    </row>
    <row r="850">
      <c r="B850" s="920"/>
    </row>
    <row r="851">
      <c r="B851" s="920"/>
    </row>
    <row r="852">
      <c r="B852" s="920"/>
    </row>
    <row r="853">
      <c r="B853" s="920"/>
    </row>
    <row r="854">
      <c r="B854" s="920"/>
    </row>
    <row r="855">
      <c r="B855" s="920"/>
    </row>
    <row r="856">
      <c r="B856" s="920"/>
    </row>
    <row r="857">
      <c r="B857" s="920"/>
    </row>
    <row r="858">
      <c r="B858" s="920"/>
    </row>
    <row r="859">
      <c r="B859" s="920"/>
    </row>
    <row r="860">
      <c r="B860" s="920"/>
    </row>
    <row r="861">
      <c r="B861" s="920"/>
    </row>
    <row r="862">
      <c r="B862" s="920"/>
    </row>
    <row r="863">
      <c r="B863" s="920"/>
    </row>
    <row r="864">
      <c r="B864" s="920"/>
    </row>
    <row r="865">
      <c r="B865" s="920"/>
    </row>
    <row r="866">
      <c r="B866" s="920"/>
    </row>
    <row r="867">
      <c r="B867" s="920"/>
    </row>
    <row r="868">
      <c r="B868" s="920"/>
    </row>
    <row r="869">
      <c r="B869" s="920"/>
    </row>
    <row r="870">
      <c r="B870" s="920"/>
    </row>
    <row r="871">
      <c r="B871" s="920"/>
    </row>
    <row r="872">
      <c r="B872" s="920"/>
    </row>
    <row r="873">
      <c r="B873" s="920"/>
    </row>
    <row r="874">
      <c r="B874" s="920"/>
    </row>
    <row r="875">
      <c r="B875" s="920"/>
    </row>
    <row r="876">
      <c r="B876" s="920"/>
    </row>
    <row r="877">
      <c r="B877" s="920"/>
    </row>
    <row r="878">
      <c r="B878" s="920"/>
    </row>
    <row r="879">
      <c r="B879" s="920"/>
    </row>
    <row r="880">
      <c r="B880" s="920"/>
    </row>
    <row r="881">
      <c r="B881" s="920"/>
    </row>
    <row r="882">
      <c r="B882" s="920"/>
    </row>
    <row r="883">
      <c r="B883" s="920"/>
    </row>
    <row r="884">
      <c r="B884" s="920"/>
    </row>
    <row r="885">
      <c r="B885" s="920"/>
    </row>
    <row r="886">
      <c r="B886" s="920"/>
    </row>
    <row r="887">
      <c r="B887" s="920"/>
    </row>
    <row r="888">
      <c r="B888" s="920"/>
    </row>
    <row r="889">
      <c r="B889" s="920"/>
    </row>
    <row r="890">
      <c r="B890" s="920"/>
    </row>
    <row r="891">
      <c r="B891" s="920"/>
    </row>
    <row r="892">
      <c r="B892" s="920"/>
    </row>
    <row r="893">
      <c r="B893" s="920"/>
    </row>
    <row r="894">
      <c r="B894" s="920"/>
    </row>
    <row r="895">
      <c r="B895" s="920"/>
    </row>
    <row r="896">
      <c r="B896" s="920"/>
    </row>
    <row r="897">
      <c r="B897" s="920"/>
    </row>
    <row r="898">
      <c r="B898" s="920"/>
    </row>
    <row r="899">
      <c r="B899" s="920"/>
    </row>
    <row r="900">
      <c r="B900" s="920"/>
    </row>
    <row r="901">
      <c r="B901" s="920"/>
    </row>
    <row r="902">
      <c r="B902" s="920"/>
    </row>
    <row r="903">
      <c r="B903" s="920"/>
    </row>
    <row r="904">
      <c r="B904" s="920"/>
    </row>
    <row r="905">
      <c r="B905" s="920"/>
    </row>
    <row r="906">
      <c r="B906" s="920"/>
    </row>
    <row r="907">
      <c r="B907" s="920"/>
    </row>
    <row r="908">
      <c r="B908" s="920"/>
    </row>
    <row r="909">
      <c r="B909" s="920"/>
    </row>
    <row r="910">
      <c r="B910" s="920"/>
    </row>
    <row r="911">
      <c r="B911" s="920"/>
    </row>
    <row r="912">
      <c r="B912" s="920"/>
    </row>
    <row r="913">
      <c r="B913" s="920"/>
    </row>
    <row r="914">
      <c r="B914" s="920"/>
    </row>
    <row r="915">
      <c r="B915" s="920"/>
    </row>
    <row r="916">
      <c r="B916" s="920"/>
    </row>
    <row r="917">
      <c r="B917" s="920"/>
    </row>
    <row r="918">
      <c r="B918" s="920"/>
    </row>
    <row r="919">
      <c r="B919" s="920"/>
    </row>
    <row r="920">
      <c r="B920" s="920"/>
    </row>
    <row r="921">
      <c r="B921" s="920"/>
    </row>
    <row r="922">
      <c r="B922" s="920"/>
    </row>
    <row r="923">
      <c r="B923" s="920"/>
    </row>
    <row r="924">
      <c r="B924" s="920"/>
    </row>
    <row r="925">
      <c r="B925" s="920"/>
    </row>
    <row r="926">
      <c r="B926" s="920"/>
    </row>
    <row r="927">
      <c r="B927" s="920"/>
    </row>
    <row r="928">
      <c r="B928" s="920"/>
    </row>
    <row r="929">
      <c r="B929" s="920"/>
    </row>
    <row r="930">
      <c r="B930" s="920"/>
    </row>
    <row r="931">
      <c r="B931" s="920"/>
    </row>
    <row r="932">
      <c r="B932" s="920"/>
    </row>
    <row r="933">
      <c r="B933" s="920"/>
    </row>
    <row r="934">
      <c r="B934" s="920"/>
    </row>
    <row r="935">
      <c r="B935" s="920"/>
    </row>
    <row r="936">
      <c r="B936" s="920"/>
    </row>
    <row r="937">
      <c r="B937" s="920"/>
    </row>
    <row r="938">
      <c r="B938" s="920"/>
    </row>
    <row r="939">
      <c r="B939" s="920"/>
    </row>
    <row r="940">
      <c r="B940" s="920"/>
    </row>
    <row r="941">
      <c r="B941" s="920"/>
    </row>
    <row r="942">
      <c r="B942" s="920"/>
    </row>
    <row r="943">
      <c r="B943" s="920"/>
    </row>
    <row r="944">
      <c r="B944" s="920"/>
    </row>
    <row r="945">
      <c r="B945" s="920"/>
    </row>
    <row r="946">
      <c r="B946" s="920"/>
    </row>
    <row r="947">
      <c r="B947" s="920"/>
    </row>
    <row r="948">
      <c r="B948" s="920"/>
    </row>
    <row r="949">
      <c r="B949" s="920"/>
    </row>
    <row r="950">
      <c r="B950" s="920"/>
    </row>
    <row r="951">
      <c r="B951" s="920"/>
    </row>
    <row r="952">
      <c r="B952" s="920"/>
    </row>
    <row r="953">
      <c r="B953" s="920"/>
    </row>
    <row r="954">
      <c r="B954" s="920"/>
    </row>
    <row r="955">
      <c r="B955" s="920"/>
    </row>
    <row r="956">
      <c r="B956" s="920"/>
    </row>
    <row r="957">
      <c r="B957" s="920"/>
    </row>
    <row r="958">
      <c r="B958" s="920"/>
    </row>
    <row r="959">
      <c r="B959" s="920"/>
    </row>
    <row r="960">
      <c r="B960" s="920"/>
    </row>
    <row r="961">
      <c r="B961" s="920"/>
    </row>
    <row r="962">
      <c r="B962" s="920"/>
    </row>
    <row r="963">
      <c r="B963" s="920"/>
    </row>
    <row r="964">
      <c r="B964" s="920"/>
    </row>
    <row r="965">
      <c r="B965" s="920"/>
    </row>
    <row r="966">
      <c r="B966" s="920"/>
    </row>
    <row r="967">
      <c r="B967" s="920"/>
    </row>
    <row r="968">
      <c r="B968" s="920"/>
    </row>
    <row r="969">
      <c r="B969" s="920"/>
    </row>
    <row r="970">
      <c r="B970" s="920"/>
    </row>
    <row r="971">
      <c r="B971" s="920"/>
    </row>
    <row r="972">
      <c r="B972" s="920"/>
    </row>
    <row r="973">
      <c r="B973" s="920"/>
    </row>
    <row r="974">
      <c r="B974" s="920"/>
    </row>
    <row r="975">
      <c r="B975" s="920"/>
    </row>
    <row r="976">
      <c r="B976" s="920"/>
    </row>
    <row r="977">
      <c r="B977" s="920"/>
    </row>
    <row r="978">
      <c r="B978" s="920"/>
    </row>
    <row r="979">
      <c r="B979" s="920"/>
    </row>
    <row r="980">
      <c r="B980" s="920"/>
    </row>
    <row r="981">
      <c r="B981" s="920"/>
    </row>
    <row r="982">
      <c r="B982" s="920"/>
    </row>
    <row r="983">
      <c r="B983" s="920"/>
    </row>
    <row r="984">
      <c r="B984" s="920"/>
    </row>
    <row r="985">
      <c r="B985" s="920"/>
    </row>
    <row r="986">
      <c r="B986" s="920"/>
    </row>
    <row r="987">
      <c r="B987" s="920"/>
    </row>
    <row r="988">
      <c r="B988" s="920"/>
    </row>
    <row r="989">
      <c r="B989" s="920"/>
    </row>
    <row r="990">
      <c r="B990" s="920"/>
    </row>
    <row r="991">
      <c r="B991" s="920"/>
    </row>
    <row r="992">
      <c r="B992" s="920"/>
    </row>
    <row r="993">
      <c r="B993" s="920"/>
    </row>
    <row r="994">
      <c r="B994" s="920"/>
    </row>
    <row r="995">
      <c r="B995" s="920"/>
    </row>
    <row r="996">
      <c r="B996" s="920"/>
    </row>
    <row r="997">
      <c r="B997" s="920"/>
    </row>
    <row r="998">
      <c r="B998" s="920"/>
    </row>
  </sheetData>
  <mergeCells count="16">
    <mergeCell ref="B1:G1"/>
    <mergeCell ref="I1:N1"/>
    <mergeCell ref="I7:N8"/>
    <mergeCell ref="I9:I10"/>
    <mergeCell ref="J9:J10"/>
    <mergeCell ref="K9:K10"/>
    <mergeCell ref="L9:L10"/>
    <mergeCell ref="M21:M22"/>
    <mergeCell ref="N21:N22"/>
    <mergeCell ref="M9:M10"/>
    <mergeCell ref="N9:N10"/>
    <mergeCell ref="I19:N20"/>
    <mergeCell ref="I21:I22"/>
    <mergeCell ref="J21:J22"/>
    <mergeCell ref="K21:K22"/>
    <mergeCell ref="L21:L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68" t="s">
        <v>490</v>
      </c>
      <c r="G1" s="968" t="s">
        <v>491</v>
      </c>
    </row>
    <row r="2">
      <c r="A2" s="969" t="str">
        <f>IFERROR(__xludf.DUMMYFUNCTION("QUERY(Calcul_mensuel!A2:AB1000,""SELECT A,J,AB,X WHERE A ENDS WITH '-GV' ORDER BY X DESC "")"),"#N/A")</f>
        <v>#N/A</v>
      </c>
      <c r="G2" s="969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H2" s="970">
        <f>IFERROR(__xludf.DUMMYFUNCTION("""COMPUTED_VALUE"""),4.821120324928076)</f>
        <v>4.821120325</v>
      </c>
      <c r="I2" s="955" t="str">
        <f>IFERROR(__xludf.DUMMYFUNCTION("""COMPUTED_VALUE"""),"#DIV/0!")</f>
        <v>#DIV/0!</v>
      </c>
      <c r="J2" s="955" t="str">
        <f>IFERROR(__xludf.DUMMYFUNCTION("""COMPUTED_VALUE"""),"#DIV/0!")</f>
        <v>#DIV/0!</v>
      </c>
    </row>
    <row r="3">
      <c r="G3" s="955"/>
      <c r="H3" s="970"/>
      <c r="I3" s="955"/>
      <c r="J3" s="955" t="str">
        <f>IFERROR(__xludf.DUMMYFUNCTION("""COMPUTED_VALUE"""),"#DIV/0!")</f>
        <v>#DIV/0!</v>
      </c>
    </row>
    <row r="4">
      <c r="G4" s="955"/>
      <c r="H4" s="970"/>
      <c r="I4" s="955"/>
      <c r="J4" s="955" t="str">
        <f>IFERROR(__xludf.DUMMYFUNCTION("""COMPUTED_VALUE"""),"#DIV/0!")</f>
        <v>#DIV/0!</v>
      </c>
    </row>
    <row r="5">
      <c r="G5" s="955"/>
      <c r="H5" s="970"/>
      <c r="I5" s="955"/>
      <c r="J5" s="955" t="str">
        <f>IFERROR(__xludf.DUMMYFUNCTION("""COMPUTED_VALUE"""),"#DIV/0!")</f>
        <v>#DIV/0!</v>
      </c>
    </row>
    <row r="6">
      <c r="G6" s="955"/>
      <c r="H6" s="970"/>
      <c r="I6" s="955"/>
      <c r="J6" s="955" t="str">
        <f>IFERROR(__xludf.DUMMYFUNCTION("""COMPUTED_VALUE"""),"#DIV/0!")</f>
        <v>#DIV/0!</v>
      </c>
    </row>
    <row r="7">
      <c r="G7" s="955"/>
      <c r="H7" s="970"/>
      <c r="I7" s="955"/>
      <c r="J7" s="955" t="str">
        <f>IFERROR(__xludf.DUMMYFUNCTION("""COMPUTED_VALUE"""),"#DIV/0!")</f>
        <v>#DIV/0!</v>
      </c>
    </row>
    <row r="8">
      <c r="G8" s="955"/>
      <c r="H8" s="970"/>
      <c r="I8" s="955"/>
      <c r="J8" s="955" t="str">
        <f>IFERROR(__xludf.DUMMYFUNCTION("""COMPUTED_VALUE"""),"#DIV/0!")</f>
        <v>#DIV/0!</v>
      </c>
    </row>
    <row r="9">
      <c r="G9" s="955"/>
      <c r="H9" s="970"/>
      <c r="I9" s="955"/>
      <c r="J9" s="955" t="str">
        <f>IFERROR(__xludf.DUMMYFUNCTION("""COMPUTED_VALUE"""),"#DIV/0!")</f>
        <v>#DIV/0!</v>
      </c>
    </row>
    <row r="10">
      <c r="G10" s="955"/>
      <c r="H10" s="970"/>
      <c r="I10" s="955"/>
      <c r="J10" s="955" t="str">
        <f>IFERROR(__xludf.DUMMYFUNCTION("""COMPUTED_VALUE"""),"#DIV/0!")</f>
        <v>#DIV/0!</v>
      </c>
    </row>
    <row r="11">
      <c r="A11" s="968" t="s">
        <v>492</v>
      </c>
      <c r="G11" s="955"/>
      <c r="H11" s="970"/>
      <c r="I11" s="955"/>
      <c r="J11" s="955" t="str">
        <f>IFERROR(__xludf.DUMMYFUNCTION("""COMPUTED_VALUE"""),"#DIV/0!")</f>
        <v>#DIV/0!</v>
      </c>
    </row>
    <row r="12">
      <c r="A12" s="969" t="str">
        <f>IFERROR(__xludf.DUMMYFUNCTION("QUERY(Calcul_mensuel!A2:AB1000,""SELECT A,J,AB,X WHERE A ENDS WITH '-INSTALL' ORDER BY X DESC "")"),"#N/A")</f>
        <v>#N/A</v>
      </c>
      <c r="G12" s="955"/>
      <c r="H12" s="970"/>
      <c r="I12" s="955"/>
      <c r="J12" s="955" t="str">
        <f>IFERROR(__xludf.DUMMYFUNCTION("""COMPUTED_VALUE"""),"#DIV/0!")</f>
        <v>#DIV/0!</v>
      </c>
    </row>
    <row r="13">
      <c r="G13" s="955"/>
      <c r="H13" s="970"/>
      <c r="I13" s="955"/>
      <c r="J13" s="955" t="str">
        <f>IFERROR(__xludf.DUMMYFUNCTION("""COMPUTED_VALUE"""),"#DIV/0!")</f>
        <v>#DIV/0!</v>
      </c>
    </row>
    <row r="14">
      <c r="G14" s="955"/>
      <c r="H14" s="970"/>
      <c r="I14" s="955"/>
      <c r="J14" s="955" t="str">
        <f>IFERROR(__xludf.DUMMYFUNCTION("""COMPUTED_VALUE"""),"#DIV/0!")</f>
        <v>#DIV/0!</v>
      </c>
    </row>
    <row r="15">
      <c r="G15" s="955"/>
      <c r="H15" s="970"/>
      <c r="I15" s="955"/>
      <c r="J15" s="955" t="str">
        <f>IFERROR(__xludf.DUMMYFUNCTION("""COMPUTED_VALUE"""),"#DIV/0!")</f>
        <v>#DIV/0!</v>
      </c>
    </row>
    <row r="16">
      <c r="G16" s="955"/>
      <c r="H16" s="970"/>
      <c r="I16" s="955"/>
      <c r="J16" s="955" t="str">
        <f>IFERROR(__xludf.DUMMYFUNCTION("""COMPUTED_VALUE"""),"#DIV/0!")</f>
        <v>#DIV/0!</v>
      </c>
    </row>
    <row r="17">
      <c r="G17" s="955"/>
      <c r="H17" s="970"/>
      <c r="I17" s="955"/>
      <c r="J17" s="955" t="str">
        <f>IFERROR(__xludf.DUMMYFUNCTION("""COMPUTED_VALUE"""),"#DIV/0!")</f>
        <v>#DIV/0!</v>
      </c>
    </row>
    <row r="18">
      <c r="A18" s="968" t="s">
        <v>493</v>
      </c>
      <c r="G18" s="955"/>
      <c r="H18" s="970"/>
      <c r="I18" s="955"/>
      <c r="J18" s="955" t="str">
        <f>IFERROR(__xludf.DUMMYFUNCTION("""COMPUTED_VALUE"""),"#DIV/0!")</f>
        <v>#DIV/0!</v>
      </c>
    </row>
    <row r="19">
      <c r="A19" s="969" t="str">
        <f>IFERROR(__xludf.DUMMYFUNCTION("QUERY(Calcul_mensuel!A2:AB1000,""SELECT A,J,AB,X WHERE A ENDS WITH '-MONO' ORDER BY X DESC "")"),"#N/A")</f>
        <v>#N/A</v>
      </c>
      <c r="G19" s="955"/>
      <c r="H19" s="970"/>
      <c r="I19" s="955"/>
      <c r="J19" s="955" t="str">
        <f>IFERROR(__xludf.DUMMYFUNCTION("""COMPUTED_VALUE"""),"#DIV/0!")</f>
        <v>#DIV/0!</v>
      </c>
    </row>
    <row r="20">
      <c r="G20" s="955"/>
      <c r="H20" s="970"/>
      <c r="I20" s="955"/>
      <c r="J20" s="955" t="str">
        <f>IFERROR(__xludf.DUMMYFUNCTION("""COMPUTED_VALUE"""),"#DIV/0!")</f>
        <v>#DIV/0!</v>
      </c>
    </row>
    <row r="21">
      <c r="G21" s="955"/>
      <c r="H21" s="970"/>
      <c r="I21" s="955"/>
      <c r="J21" s="955" t="str">
        <f>IFERROR(__xludf.DUMMYFUNCTION("""COMPUTED_VALUE"""),"#DIV/0!")</f>
        <v>#DIV/0!</v>
      </c>
    </row>
    <row r="22">
      <c r="G22" s="955"/>
      <c r="H22" s="970"/>
      <c r="I22" s="955"/>
      <c r="J22" s="955" t="str">
        <f>IFERROR(__xludf.DUMMYFUNCTION("""COMPUTED_VALUE"""),"#DIV/0!")</f>
        <v>#DIV/0!</v>
      </c>
    </row>
    <row r="23">
      <c r="G23" s="955"/>
      <c r="H23" s="970"/>
      <c r="I23" s="955"/>
      <c r="J23" s="955" t="str">
        <f>IFERROR(__xludf.DUMMYFUNCTION("""COMPUTED_VALUE"""),"#DIV/0!")</f>
        <v>#DIV/0!</v>
      </c>
    </row>
    <row r="24">
      <c r="G24" s="955"/>
      <c r="H24" s="970"/>
      <c r="I24" s="955"/>
      <c r="J24" s="955" t="str">
        <f>IFERROR(__xludf.DUMMYFUNCTION("""COMPUTED_VALUE"""),"#DIV/0!")</f>
        <v>#DIV/0!</v>
      </c>
    </row>
    <row r="25">
      <c r="G25" s="955"/>
      <c r="H25" s="970"/>
      <c r="I25" s="955"/>
      <c r="J25" s="955" t="str">
        <f>IFERROR(__xludf.DUMMYFUNCTION("""COMPUTED_VALUE"""),"#DIV/0!")</f>
        <v>#DIV/0!</v>
      </c>
    </row>
    <row r="26">
      <c r="G26" s="955"/>
      <c r="H26" s="970"/>
      <c r="I26" s="955"/>
      <c r="J26" s="955" t="str">
        <f>IFERROR(__xludf.DUMMYFUNCTION("""COMPUTED_VALUE"""),"#DIV/0!")</f>
        <v>#DIV/0!</v>
      </c>
    </row>
    <row r="27">
      <c r="G27" s="955"/>
      <c r="H27" s="970"/>
      <c r="I27" s="955"/>
      <c r="J27" s="955" t="str">
        <f>IFERROR(__xludf.DUMMYFUNCTION("""COMPUTED_VALUE"""),"#DIV/0!")</f>
        <v>#DIV/0!</v>
      </c>
    </row>
    <row r="28">
      <c r="G28" s="955"/>
      <c r="H28" s="970"/>
      <c r="I28" s="955"/>
      <c r="J28" s="955" t="str">
        <f>IFERROR(__xludf.DUMMYFUNCTION("""COMPUTED_VALUE"""),"#DIV/0!")</f>
        <v>#DIV/0!</v>
      </c>
    </row>
    <row r="29">
      <c r="G29" s="955"/>
      <c r="H29" s="970"/>
      <c r="I29" s="955"/>
      <c r="J29" s="955" t="str">
        <f>IFERROR(__xludf.DUMMYFUNCTION("""COMPUTED_VALUE"""),"#DIV/0!")</f>
        <v>#DIV/0!</v>
      </c>
    </row>
    <row r="30">
      <c r="G30" s="955"/>
      <c r="H30" s="970"/>
      <c r="I30" s="955"/>
      <c r="J30" s="955" t="str">
        <f>IFERROR(__xludf.DUMMYFUNCTION("""COMPUTED_VALUE"""),"#DIV/0!")</f>
        <v>#DIV/0!</v>
      </c>
    </row>
    <row r="31">
      <c r="G31" s="955"/>
      <c r="H31" s="970"/>
      <c r="I31" s="955"/>
      <c r="J31" s="955" t="str">
        <f>IFERROR(__xludf.DUMMYFUNCTION("""COMPUTED_VALUE"""),"#DIV/0!")</f>
        <v>#DIV/0!</v>
      </c>
    </row>
    <row r="32">
      <c r="G32" s="955"/>
      <c r="H32" s="970"/>
      <c r="I32" s="955"/>
      <c r="J32" s="955" t="str">
        <f>IFERROR(__xludf.DUMMYFUNCTION("""COMPUTED_VALUE"""),"#DIV/0!")</f>
        <v>#DIV/0!</v>
      </c>
    </row>
    <row r="33">
      <c r="G33" s="955"/>
      <c r="H33" s="970"/>
      <c r="I33" s="955"/>
      <c r="J33" s="955" t="str">
        <f>IFERROR(__xludf.DUMMYFUNCTION("""COMPUTED_VALUE"""),"#DIV/0!")</f>
        <v>#DIV/0!</v>
      </c>
    </row>
    <row r="34">
      <c r="G34" s="955"/>
      <c r="H34" s="970"/>
      <c r="I34" s="955"/>
      <c r="J34" s="955" t="str">
        <f>IFERROR(__xludf.DUMMYFUNCTION("""COMPUTED_VALUE"""),"#DIV/0!")</f>
        <v>#DIV/0!</v>
      </c>
    </row>
    <row r="35">
      <c r="G35" s="955"/>
      <c r="H35" s="970"/>
      <c r="I35" s="955"/>
      <c r="J35" s="955" t="str">
        <f>IFERROR(__xludf.DUMMYFUNCTION("""COMPUTED_VALUE"""),"#DIV/0!")</f>
        <v>#DIV/0!</v>
      </c>
    </row>
    <row r="36">
      <c r="G36" s="955"/>
      <c r="H36" s="970"/>
      <c r="I36" s="955"/>
      <c r="J36" s="955" t="str">
        <f>IFERROR(__xludf.DUMMYFUNCTION("""COMPUTED_VALUE"""),"#DIV/0!")</f>
        <v>#DIV/0!</v>
      </c>
    </row>
    <row r="37">
      <c r="G37" s="955"/>
      <c r="H37" s="970"/>
      <c r="I37" s="955"/>
      <c r="J37" s="955" t="str">
        <f>IFERROR(__xludf.DUMMYFUNCTION("""COMPUTED_VALUE"""),"#DIV/0!")</f>
        <v>#DIV/0!</v>
      </c>
    </row>
    <row r="38">
      <c r="G38" s="955"/>
      <c r="H38" s="970"/>
      <c r="I38" s="955"/>
      <c r="J38" s="955" t="str">
        <f>IFERROR(__xludf.DUMMYFUNCTION("""COMPUTED_VALUE"""),"#DIV/0!")</f>
        <v>#DIV/0!</v>
      </c>
    </row>
    <row r="39">
      <c r="G39" s="955"/>
      <c r="H39" s="970"/>
      <c r="I39" s="955"/>
      <c r="J39" s="955" t="str">
        <f>IFERROR(__xludf.DUMMYFUNCTION("""COMPUTED_VALUE"""),"#DIV/0!")</f>
        <v>#DIV/0!</v>
      </c>
    </row>
    <row r="40">
      <c r="G40" s="955"/>
      <c r="H40" s="970"/>
      <c r="I40" s="955"/>
      <c r="J40" s="955" t="str">
        <f>IFERROR(__xludf.DUMMYFUNCTION("""COMPUTED_VALUE"""),"#DIV/0!")</f>
        <v>#DIV/0!</v>
      </c>
    </row>
    <row r="41">
      <c r="G41" s="955"/>
      <c r="H41" s="970"/>
      <c r="I41" s="955"/>
      <c r="J41" s="955" t="str">
        <f>IFERROR(__xludf.DUMMYFUNCTION("""COMPUTED_VALUE"""),"#DIV/0!")</f>
        <v>#DIV/0!</v>
      </c>
    </row>
    <row r="42">
      <c r="G42" s="955"/>
      <c r="H42" s="970"/>
      <c r="I42" s="955"/>
      <c r="J42" s="955" t="str">
        <f>IFERROR(__xludf.DUMMYFUNCTION("""COMPUTED_VALUE"""),"#DIV/0!")</f>
        <v>#DIV/0!</v>
      </c>
    </row>
    <row r="43">
      <c r="G43" s="955"/>
      <c r="H43" s="970"/>
      <c r="I43" s="955"/>
      <c r="J43" s="955" t="str">
        <f>IFERROR(__xludf.DUMMYFUNCTION("""COMPUTED_VALUE"""),"#DIV/0!")</f>
        <v>#DIV/0!</v>
      </c>
    </row>
    <row r="44">
      <c r="G44" s="955"/>
      <c r="H44" s="970"/>
      <c r="I44" s="955"/>
      <c r="J44" s="955" t="str">
        <f>IFERROR(__xludf.DUMMYFUNCTION("""COMPUTED_VALUE"""),"#DIV/0!")</f>
        <v>#DIV/0!</v>
      </c>
    </row>
    <row r="45">
      <c r="G45" s="955"/>
      <c r="H45" s="970"/>
      <c r="I45" s="955"/>
      <c r="J45" s="955" t="str">
        <f>IFERROR(__xludf.DUMMYFUNCTION("""COMPUTED_VALUE"""),"#DIV/0!")</f>
        <v>#DIV/0!</v>
      </c>
    </row>
    <row r="46">
      <c r="G46" s="955"/>
      <c r="H46" s="970"/>
      <c r="I46" s="955"/>
      <c r="J46" s="955" t="str">
        <f>IFERROR(__xludf.DUMMYFUNCTION("""COMPUTED_VALUE"""),"#DIV/0!")</f>
        <v>#DIV/0!</v>
      </c>
    </row>
    <row r="47">
      <c r="G47" s="955"/>
      <c r="H47" s="970"/>
      <c r="I47" s="955"/>
      <c r="J47" s="955" t="str">
        <f>IFERROR(__xludf.DUMMYFUNCTION("""COMPUTED_VALUE"""),"#DIV/0!")</f>
        <v>#DIV/0!</v>
      </c>
    </row>
    <row r="48">
      <c r="G48" s="955"/>
      <c r="H48" s="970"/>
      <c r="I48" s="955"/>
      <c r="J48" s="955" t="str">
        <f>IFERROR(__xludf.DUMMYFUNCTION("""COMPUTED_VALUE"""),"#DIV/0!")</f>
        <v>#DIV/0!</v>
      </c>
    </row>
    <row r="49">
      <c r="G49" s="955"/>
      <c r="H49" s="970"/>
      <c r="I49" s="955"/>
      <c r="J49" s="955" t="str">
        <f>IFERROR(__xludf.DUMMYFUNCTION("""COMPUTED_VALUE"""),"#DIV/0!")</f>
        <v>#DIV/0!</v>
      </c>
    </row>
    <row r="50">
      <c r="G50" s="955"/>
      <c r="H50" s="970"/>
      <c r="I50" s="955"/>
      <c r="J50" s="955" t="str">
        <f>IFERROR(__xludf.DUMMYFUNCTION("""COMPUTED_VALUE"""),"#DIV/0!")</f>
        <v>#DIV/0!</v>
      </c>
    </row>
    <row r="51">
      <c r="G51" s="955"/>
      <c r="H51" s="970"/>
      <c r="I51" s="955"/>
      <c r="J51" s="955" t="str">
        <f>IFERROR(__xludf.DUMMYFUNCTION("""COMPUTED_VALUE"""),"#DIV/0!")</f>
        <v>#DIV/0!</v>
      </c>
    </row>
    <row r="52">
      <c r="G52" s="955"/>
      <c r="H52" s="970"/>
      <c r="I52" s="955"/>
      <c r="J52" s="955" t="str">
        <f>IFERROR(__xludf.DUMMYFUNCTION("""COMPUTED_VALUE"""),"#DIV/0!")</f>
        <v>#DIV/0!</v>
      </c>
    </row>
    <row r="53">
      <c r="G53" s="955"/>
      <c r="H53" s="970"/>
      <c r="I53" s="955"/>
      <c r="J53" s="955" t="str">
        <f>IFERROR(__xludf.DUMMYFUNCTION("""COMPUTED_VALUE"""),"#DIV/0!")</f>
        <v>#DIV/0!</v>
      </c>
    </row>
    <row r="54">
      <c r="G54" s="955"/>
      <c r="H54" s="970"/>
      <c r="I54" s="955"/>
      <c r="J54" s="955"/>
    </row>
    <row r="55">
      <c r="G55" s="955"/>
      <c r="H55" s="970"/>
      <c r="I55" s="955"/>
      <c r="J55" s="955"/>
    </row>
    <row r="56">
      <c r="G56" s="955"/>
      <c r="H56" s="970"/>
      <c r="I56" s="955"/>
      <c r="J56" s="955"/>
    </row>
    <row r="57">
      <c r="G57" s="955"/>
      <c r="H57" s="970"/>
      <c r="I57" s="955"/>
      <c r="J57" s="955"/>
    </row>
    <row r="58">
      <c r="G58" s="955"/>
      <c r="H58" s="970"/>
      <c r="I58" s="955"/>
      <c r="J58" s="955"/>
    </row>
    <row r="59">
      <c r="G59" s="955"/>
      <c r="H59" s="970"/>
      <c r="I59" s="955"/>
      <c r="J59" s="955"/>
    </row>
    <row r="60">
      <c r="G60" s="955"/>
      <c r="H60" s="970"/>
      <c r="I60" s="955"/>
      <c r="J60" s="955"/>
    </row>
    <row r="61">
      <c r="G61" s="955"/>
      <c r="H61" s="970"/>
      <c r="I61" s="955"/>
      <c r="J61" s="955"/>
    </row>
    <row r="62">
      <c r="G62" s="955"/>
      <c r="H62" s="970"/>
      <c r="I62" s="955"/>
      <c r="J62" s="955"/>
    </row>
    <row r="63">
      <c r="G63" s="955"/>
      <c r="H63" s="970"/>
      <c r="I63" s="955"/>
      <c r="J63" s="955"/>
    </row>
    <row r="64">
      <c r="G64" s="955"/>
      <c r="H64" s="970"/>
      <c r="I64" s="955"/>
      <c r="J64" s="955"/>
    </row>
    <row r="65">
      <c r="G65" s="955"/>
      <c r="H65" s="970"/>
      <c r="I65" s="955"/>
      <c r="J65" s="955"/>
    </row>
    <row r="66">
      <c r="G66" s="955"/>
      <c r="H66" s="970"/>
      <c r="I66" s="955"/>
      <c r="J66" s="955"/>
    </row>
    <row r="67">
      <c r="G67" s="955"/>
      <c r="H67" s="970"/>
      <c r="I67" s="955"/>
      <c r="J67" s="955"/>
    </row>
    <row r="68">
      <c r="G68" s="955"/>
      <c r="H68" s="970"/>
      <c r="I68" s="955"/>
      <c r="J68" s="955"/>
    </row>
    <row r="69">
      <c r="G69" s="955"/>
      <c r="H69" s="970"/>
      <c r="I69" s="955"/>
      <c r="J69" s="955"/>
    </row>
    <row r="70">
      <c r="G70" s="955"/>
      <c r="H70" s="970"/>
      <c r="I70" s="955"/>
      <c r="J70" s="955"/>
    </row>
    <row r="71">
      <c r="G71" s="955"/>
      <c r="H71" s="970"/>
      <c r="I71" s="955"/>
      <c r="J71" s="955"/>
    </row>
    <row r="72">
      <c r="G72" s="955"/>
      <c r="H72" s="970"/>
      <c r="I72" s="955"/>
      <c r="J72" s="955"/>
    </row>
    <row r="73">
      <c r="G73" s="955"/>
      <c r="H73" s="970"/>
      <c r="I73" s="955"/>
      <c r="J73" s="955"/>
    </row>
    <row r="74">
      <c r="G74" s="955"/>
      <c r="H74" s="970"/>
      <c r="I74" s="955"/>
      <c r="J74" s="955"/>
    </row>
    <row r="75">
      <c r="G75" s="955"/>
      <c r="H75" s="970"/>
      <c r="I75" s="955"/>
      <c r="J75" s="955"/>
    </row>
    <row r="76">
      <c r="G76" s="955"/>
      <c r="H76" s="970"/>
      <c r="I76" s="955"/>
      <c r="J76" s="955"/>
    </row>
    <row r="77">
      <c r="G77" s="955"/>
      <c r="H77" s="970"/>
      <c r="I77" s="955"/>
      <c r="J77" s="955"/>
    </row>
    <row r="78">
      <c r="G78" s="955"/>
      <c r="H78" s="970"/>
      <c r="I78" s="955"/>
      <c r="J78" s="955"/>
    </row>
    <row r="79">
      <c r="G79" s="955"/>
      <c r="H79" s="970"/>
      <c r="I79" s="955"/>
      <c r="J79" s="955"/>
    </row>
    <row r="80">
      <c r="G80" s="955"/>
      <c r="H80" s="970"/>
      <c r="I80" s="955"/>
      <c r="J80" s="955"/>
    </row>
    <row r="81">
      <c r="G81" s="955"/>
      <c r="H81" s="970"/>
      <c r="I81" s="955"/>
      <c r="J81" s="955"/>
    </row>
    <row r="82">
      <c r="G82" s="955"/>
      <c r="H82" s="970"/>
      <c r="I82" s="955"/>
      <c r="J82" s="955"/>
    </row>
    <row r="83">
      <c r="G83" s="955"/>
      <c r="H83" s="970"/>
      <c r="I83" s="955"/>
      <c r="J83" s="955"/>
    </row>
    <row r="84">
      <c r="G84" s="955"/>
      <c r="H84" s="970"/>
      <c r="I84" s="955"/>
      <c r="J84" s="955"/>
    </row>
    <row r="85">
      <c r="G85" s="955"/>
      <c r="H85" s="970"/>
      <c r="I85" s="955"/>
      <c r="J85" s="955"/>
    </row>
    <row r="86">
      <c r="G86" s="955"/>
      <c r="H86" s="970"/>
      <c r="I86" s="955"/>
      <c r="J86" s="955"/>
    </row>
    <row r="87">
      <c r="G87" s="955"/>
      <c r="H87" s="970"/>
      <c r="I87" s="955"/>
      <c r="J87" s="955"/>
    </row>
    <row r="88">
      <c r="G88" s="955"/>
      <c r="H88" s="970"/>
      <c r="I88" s="955"/>
      <c r="J88" s="955"/>
    </row>
    <row r="89">
      <c r="G89" s="955"/>
      <c r="H89" s="970"/>
      <c r="I89" s="955"/>
      <c r="J89" s="955"/>
    </row>
    <row r="90">
      <c r="G90" s="955"/>
      <c r="H90" s="970"/>
      <c r="I90" s="955"/>
      <c r="J90" s="955"/>
    </row>
    <row r="91">
      <c r="G91" s="955"/>
      <c r="H91" s="970"/>
      <c r="I91" s="955"/>
      <c r="J91" s="955"/>
    </row>
    <row r="92">
      <c r="G92" s="955"/>
      <c r="H92" s="970"/>
      <c r="I92" s="955"/>
      <c r="J92" s="955"/>
    </row>
    <row r="93">
      <c r="G93" s="955"/>
      <c r="H93" s="970"/>
      <c r="I93" s="955"/>
      <c r="J93" s="955"/>
    </row>
    <row r="94">
      <c r="G94" s="955"/>
      <c r="H94" s="970"/>
      <c r="I94" s="955"/>
      <c r="J94" s="955"/>
    </row>
    <row r="95">
      <c r="G95" s="955"/>
      <c r="H95" s="970"/>
      <c r="I95" s="955"/>
      <c r="J95" s="955"/>
    </row>
    <row r="96">
      <c r="G96" s="955"/>
      <c r="H96" s="970"/>
      <c r="I96" s="955"/>
      <c r="J96" s="955"/>
    </row>
    <row r="97">
      <c r="G97" s="955"/>
      <c r="H97" s="970"/>
      <c r="I97" s="955"/>
      <c r="J97" s="955"/>
    </row>
    <row r="98">
      <c r="G98" s="955"/>
      <c r="H98" s="970"/>
      <c r="I98" s="955"/>
      <c r="J98" s="955"/>
    </row>
    <row r="99">
      <c r="G99" s="955"/>
      <c r="H99" s="970"/>
      <c r="I99" s="955"/>
      <c r="J99" s="955"/>
    </row>
    <row r="100">
      <c r="G100" s="955"/>
      <c r="H100" s="970"/>
      <c r="I100" s="955"/>
      <c r="J100" s="955"/>
    </row>
    <row r="101">
      <c r="G101" s="955"/>
      <c r="H101" s="970"/>
      <c r="I101" s="955"/>
      <c r="J101" s="955"/>
    </row>
  </sheetData>
  <mergeCells count="4">
    <mergeCell ref="A1:D1"/>
    <mergeCell ref="G1:J1"/>
    <mergeCell ref="A11:D11"/>
    <mergeCell ref="A18:D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71" t="s">
        <v>322</v>
      </c>
      <c r="B1" s="972" t="s">
        <v>494</v>
      </c>
      <c r="C1" s="972" t="s">
        <v>495</v>
      </c>
      <c r="D1" s="973" t="s">
        <v>496</v>
      </c>
      <c r="E1" s="973" t="s">
        <v>327</v>
      </c>
    </row>
    <row r="2">
      <c r="A2" s="974" t="str">
        <f>IFERROR(__xludf.DUMMYFUNCTION("QUERY(Calcul_mensuel!A2:AB1000,""SELECT A,J,AB,X WHERE A ENDS WITH '-GV' ORDER BY X DESC "")"),"#N/A")</f>
        <v>#N/A</v>
      </c>
      <c r="B2" s="975"/>
      <c r="C2" s="975"/>
      <c r="D2" s="975"/>
      <c r="E2" s="975" t="str">
        <f t="shared" ref="E2:E9" si="1">RANK(D2,D$2:D$9,0)</f>
        <v>#N/A</v>
      </c>
    </row>
    <row r="3">
      <c r="A3" s="976"/>
      <c r="B3" s="975"/>
      <c r="C3" s="975"/>
      <c r="D3" s="975"/>
      <c r="E3" s="975" t="str">
        <f t="shared" si="1"/>
        <v>#N/A</v>
      </c>
    </row>
    <row r="4">
      <c r="A4" s="976"/>
      <c r="B4" s="975"/>
      <c r="C4" s="975"/>
      <c r="D4" s="975"/>
      <c r="E4" s="975" t="str">
        <f t="shared" si="1"/>
        <v>#N/A</v>
      </c>
    </row>
    <row r="5">
      <c r="A5" s="976"/>
      <c r="B5" s="975"/>
      <c r="C5" s="975"/>
      <c r="D5" s="975"/>
      <c r="E5" s="975" t="str">
        <f t="shared" si="1"/>
        <v>#N/A</v>
      </c>
    </row>
    <row r="6">
      <c r="A6" s="976"/>
      <c r="B6" s="975"/>
      <c r="C6" s="975"/>
      <c r="D6" s="975"/>
      <c r="E6" s="975" t="str">
        <f t="shared" si="1"/>
        <v>#N/A</v>
      </c>
    </row>
    <row r="7">
      <c r="A7" s="976"/>
      <c r="B7" s="975"/>
      <c r="C7" s="975"/>
      <c r="D7" s="975"/>
      <c r="E7" s="975" t="str">
        <f t="shared" si="1"/>
        <v>#N/A</v>
      </c>
    </row>
    <row r="8">
      <c r="A8" s="976"/>
      <c r="B8" s="975"/>
      <c r="C8" s="975"/>
      <c r="D8" s="975"/>
      <c r="E8" s="975" t="str">
        <f t="shared" si="1"/>
        <v>#N/A</v>
      </c>
    </row>
    <row r="9">
      <c r="A9" s="976"/>
      <c r="B9" s="975"/>
      <c r="C9" s="975"/>
      <c r="D9" s="975"/>
      <c r="E9" s="975" t="str">
        <f t="shared" si="1"/>
        <v>#N/A</v>
      </c>
    </row>
    <row r="14">
      <c r="A14" s="977"/>
      <c r="B14" s="978"/>
      <c r="C14" s="978"/>
      <c r="D14" s="978"/>
      <c r="E14" s="978"/>
      <c r="F14" s="978"/>
      <c r="G14" s="978"/>
    </row>
    <row r="15">
      <c r="A15" s="974"/>
      <c r="B15" s="979"/>
      <c r="C15" s="979"/>
      <c r="D15" s="979"/>
      <c r="E15" s="979"/>
      <c r="F15" s="896"/>
      <c r="G15" s="896"/>
    </row>
    <row r="16">
      <c r="A16" s="980"/>
      <c r="B16" s="979"/>
      <c r="C16" s="979"/>
      <c r="D16" s="979"/>
      <c r="E16" s="979"/>
      <c r="F16" s="896"/>
      <c r="G16" s="896"/>
    </row>
    <row r="17">
      <c r="A17" s="980"/>
      <c r="B17" s="979"/>
      <c r="C17" s="979"/>
      <c r="D17" s="979"/>
      <c r="E17" s="979"/>
      <c r="F17" s="896"/>
      <c r="G17" s="896"/>
    </row>
    <row r="18">
      <c r="A18" s="980"/>
      <c r="B18" s="979"/>
      <c r="C18" s="979"/>
      <c r="D18" s="979"/>
      <c r="E18" s="979"/>
      <c r="F18" s="896"/>
      <c r="G18" s="896"/>
    </row>
    <row r="19">
      <c r="A19" s="980"/>
      <c r="B19" s="979"/>
      <c r="C19" s="979"/>
      <c r="D19" s="979"/>
      <c r="E19" s="979"/>
      <c r="F19" s="896"/>
      <c r="G19" s="896"/>
    </row>
    <row r="20">
      <c r="A20" s="980"/>
      <c r="B20" s="979"/>
      <c r="C20" s="979"/>
      <c r="D20" s="979"/>
      <c r="E20" s="979"/>
      <c r="F20" s="896"/>
      <c r="G20" s="896"/>
    </row>
    <row r="21">
      <c r="A21" s="980"/>
      <c r="B21" s="979"/>
      <c r="C21" s="979"/>
      <c r="D21" s="979"/>
      <c r="E21" s="979"/>
      <c r="F21" s="896"/>
      <c r="G21" s="896"/>
    </row>
    <row r="22">
      <c r="A22" s="980"/>
      <c r="B22" s="979"/>
      <c r="C22" s="979"/>
      <c r="D22" s="979"/>
      <c r="E22" s="979"/>
      <c r="F22" s="896"/>
      <c r="G22" s="896"/>
    </row>
    <row r="23">
      <c r="A23" s="896"/>
      <c r="B23" s="896"/>
      <c r="C23" s="896"/>
      <c r="D23" s="896"/>
      <c r="E23" s="896"/>
      <c r="F23" s="896"/>
      <c r="G23" s="896"/>
    </row>
    <row r="24">
      <c r="A24" s="896"/>
      <c r="B24" s="896"/>
      <c r="C24" s="896"/>
      <c r="D24" s="896"/>
      <c r="E24" s="896"/>
      <c r="F24" s="896"/>
      <c r="G24" s="89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81" t="s">
        <v>322</v>
      </c>
      <c r="B1" s="982" t="s">
        <v>497</v>
      </c>
      <c r="C1" s="982" t="s">
        <v>326</v>
      </c>
      <c r="D1" s="982" t="s">
        <v>325</v>
      </c>
      <c r="E1" s="982" t="s">
        <v>498</v>
      </c>
      <c r="F1" s="982" t="s">
        <v>334</v>
      </c>
      <c r="G1" s="982" t="s">
        <v>327</v>
      </c>
    </row>
    <row r="2">
      <c r="A2" s="974" t="str">
        <f>IFERROR(__xludf.DUMMYFUNCTION("QUERY(Calcul_mensuel!A2:AE1000,""SELECT A,F,AE,AD,AC,E WHERE A ENDS WITH '-GV' ORDER BY E DESC "")"),"#N/A")</f>
        <v>#N/A</v>
      </c>
      <c r="B2" s="975"/>
      <c r="C2" s="975"/>
      <c r="D2" s="975"/>
      <c r="E2" s="975"/>
      <c r="G2" s="955" t="str">
        <f t="shared" ref="G2:G9" si="1">RANK(F2,F$2:F$10,0)</f>
        <v>#N/A</v>
      </c>
    </row>
    <row r="3">
      <c r="A3" s="976"/>
      <c r="B3" s="975"/>
      <c r="C3" s="975"/>
      <c r="D3" s="975"/>
      <c r="E3" s="975"/>
      <c r="G3" s="955" t="str">
        <f t="shared" si="1"/>
        <v>#N/A</v>
      </c>
    </row>
    <row r="4">
      <c r="A4" s="976"/>
      <c r="B4" s="975"/>
      <c r="C4" s="975"/>
      <c r="D4" s="975"/>
      <c r="E4" s="975"/>
      <c r="G4" s="955" t="str">
        <f t="shared" si="1"/>
        <v>#N/A</v>
      </c>
    </row>
    <row r="5">
      <c r="A5" s="976"/>
      <c r="B5" s="975"/>
      <c r="C5" s="975"/>
      <c r="D5" s="975"/>
      <c r="E5" s="975"/>
      <c r="G5" s="955" t="str">
        <f t="shared" si="1"/>
        <v>#N/A</v>
      </c>
    </row>
    <row r="6">
      <c r="A6" s="976"/>
      <c r="B6" s="975"/>
      <c r="C6" s="975"/>
      <c r="D6" s="975"/>
      <c r="E6" s="975"/>
      <c r="G6" s="955" t="str">
        <f t="shared" si="1"/>
        <v>#N/A</v>
      </c>
    </row>
    <row r="7">
      <c r="A7" s="976"/>
      <c r="B7" s="975"/>
      <c r="C7" s="975"/>
      <c r="D7" s="975"/>
      <c r="E7" s="975"/>
      <c r="G7" s="955" t="str">
        <f t="shared" si="1"/>
        <v>#N/A</v>
      </c>
    </row>
    <row r="8">
      <c r="A8" s="976"/>
      <c r="B8" s="975"/>
      <c r="C8" s="975"/>
      <c r="D8" s="975"/>
      <c r="E8" s="975"/>
      <c r="G8" s="955" t="str">
        <f t="shared" si="1"/>
        <v>#N/A</v>
      </c>
    </row>
    <row r="9">
      <c r="A9" s="976"/>
      <c r="B9" s="975"/>
      <c r="C9" s="975"/>
      <c r="D9" s="975"/>
      <c r="E9" s="975"/>
      <c r="G9" s="955" t="str">
        <f t="shared" si="1"/>
        <v>#N/A</v>
      </c>
    </row>
    <row r="14">
      <c r="A14" s="977"/>
      <c r="B14" s="978"/>
      <c r="C14" s="978"/>
      <c r="D14" s="978"/>
      <c r="E14" s="978"/>
      <c r="F14" s="978"/>
      <c r="G14" s="978"/>
    </row>
    <row r="15">
      <c r="A15" s="974"/>
      <c r="B15" s="979"/>
      <c r="C15" s="979"/>
      <c r="D15" s="979"/>
      <c r="E15" s="979"/>
      <c r="F15" s="896"/>
      <c r="G15" s="896"/>
    </row>
    <row r="16">
      <c r="A16" s="980"/>
      <c r="B16" s="979"/>
      <c r="C16" s="979"/>
      <c r="D16" s="979"/>
      <c r="E16" s="979"/>
      <c r="F16" s="896"/>
      <c r="G16" s="896"/>
    </row>
    <row r="17">
      <c r="A17" s="980"/>
      <c r="B17" s="979"/>
      <c r="C17" s="979"/>
      <c r="D17" s="979"/>
      <c r="E17" s="979"/>
      <c r="F17" s="896"/>
      <c r="G17" s="896"/>
    </row>
    <row r="18">
      <c r="A18" s="980"/>
      <c r="B18" s="979"/>
      <c r="C18" s="979"/>
      <c r="D18" s="979"/>
      <c r="E18" s="979"/>
      <c r="F18" s="896"/>
      <c r="G18" s="896"/>
    </row>
    <row r="19">
      <c r="A19" s="980"/>
      <c r="B19" s="979"/>
      <c r="C19" s="979"/>
      <c r="D19" s="979"/>
      <c r="E19" s="979"/>
      <c r="F19" s="896"/>
      <c r="G19" s="896"/>
    </row>
    <row r="20">
      <c r="A20" s="980"/>
      <c r="B20" s="979"/>
      <c r="C20" s="979"/>
      <c r="D20" s="979"/>
      <c r="E20" s="979"/>
      <c r="F20" s="896"/>
      <c r="G20" s="896"/>
    </row>
    <row r="21">
      <c r="A21" s="980"/>
      <c r="B21" s="979"/>
      <c r="C21" s="979"/>
      <c r="D21" s="979"/>
      <c r="E21" s="979"/>
      <c r="F21" s="896"/>
      <c r="G21" s="896"/>
    </row>
    <row r="22">
      <c r="A22" s="980"/>
      <c r="B22" s="979"/>
      <c r="C22" s="979"/>
      <c r="D22" s="979"/>
      <c r="E22" s="979"/>
      <c r="F22" s="896"/>
      <c r="G22" s="896"/>
    </row>
    <row r="23">
      <c r="A23" s="896"/>
      <c r="B23" s="896"/>
      <c r="C23" s="896"/>
      <c r="D23" s="896"/>
      <c r="E23" s="896"/>
      <c r="F23" s="896"/>
      <c r="G23" s="89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3" t="s">
        <v>322</v>
      </c>
      <c r="B1" s="984" t="s">
        <v>494</v>
      </c>
      <c r="C1" s="984" t="s">
        <v>495</v>
      </c>
      <c r="D1" s="984" t="s">
        <v>496</v>
      </c>
      <c r="E1" s="985" t="s">
        <v>327</v>
      </c>
    </row>
    <row r="2">
      <c r="A2" s="969" t="str">
        <f>IFERROR(__xludf.DUMMYFUNCTION("QUERY(Calcul_mensuel!A2:AB1000,""SELECT A,J,AB,X WHERE A ENDS WITH '-MONO' ORDER BY X DESC "")"),"#N/A")</f>
        <v>#N/A</v>
      </c>
      <c r="E2" s="969" t="str">
        <f>RANK(D2,D$2:D$6,0)</f>
        <v>#N/A</v>
      </c>
    </row>
    <row r="3">
      <c r="E3" s="969" t="str">
        <f t="shared" ref="E3:E7" si="1">RANK(D3,D$2:D$9,0)</f>
        <v>#N/A</v>
      </c>
    </row>
    <row r="4">
      <c r="E4" s="969" t="str">
        <f t="shared" si="1"/>
        <v>#N/A</v>
      </c>
    </row>
    <row r="5">
      <c r="E5" s="969" t="str">
        <f t="shared" si="1"/>
        <v>#N/A</v>
      </c>
    </row>
    <row r="6">
      <c r="E6" s="969" t="str">
        <f t="shared" si="1"/>
        <v>#N/A</v>
      </c>
    </row>
    <row r="7">
      <c r="E7" s="955" t="str">
        <f t="shared" si="1"/>
        <v>#N/A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6" t="s">
        <v>322</v>
      </c>
      <c r="B1" s="987" t="s">
        <v>494</v>
      </c>
      <c r="C1" s="987" t="s">
        <v>495</v>
      </c>
      <c r="D1" s="986" t="s">
        <v>496</v>
      </c>
      <c r="E1" s="986" t="s">
        <v>327</v>
      </c>
    </row>
    <row r="2">
      <c r="A2" s="969" t="str">
        <f>IFERROR(__xludf.DUMMYFUNCTION("QUERY(Calcul_mensuel!A2:AB1000,""SELECT A,J,AB,X WHERE A ENDS WITH '-INSTALL' ORDER BY X DESC "")"),"#N/A")</f>
        <v>#N/A</v>
      </c>
      <c r="E2" s="969" t="str">
        <f t="shared" ref="E2:E7" si="1">RANK(D2,D$2:D$6,0)</f>
        <v>#N/A</v>
      </c>
    </row>
    <row r="3">
      <c r="E3" s="969" t="str">
        <f t="shared" si="1"/>
        <v>#N/A</v>
      </c>
    </row>
    <row r="4">
      <c r="E4" s="969" t="str">
        <f t="shared" si="1"/>
        <v>#N/A</v>
      </c>
    </row>
    <row r="5">
      <c r="E5" s="969" t="str">
        <f t="shared" si="1"/>
        <v>#N/A</v>
      </c>
    </row>
    <row r="6">
      <c r="E6" s="969" t="str">
        <f t="shared" si="1"/>
        <v>#N/A</v>
      </c>
    </row>
    <row r="7">
      <c r="E7" s="955" t="str">
        <f t="shared" si="1"/>
        <v>#N/A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8" t="str">
        <f>IFERROR(__xludf.DUMMYFUNCTION("IMPORTRANGE(""https://docs.google.com/spreadsheets/d/1HSh_7ZbJ8mqpm7E5jz4xv0u9KlGNb9jU1lPjlqhwYZs/edit?gid=1136274861#gid=1136274861"",""Calcul_mensuel!BR1:CI"")"),"Nom")</f>
        <v>Nom</v>
      </c>
      <c r="B1" s="989" t="str">
        <f>IFERROR(__xludf.DUMMYFUNCTION("""COMPUTED_VALUE"""),"-")</f>
        <v>-</v>
      </c>
      <c r="C1" s="990" t="str">
        <f>IFERROR(__xludf.DUMMYFUNCTION("""COMPUTED_VALUE"""),"=")</f>
        <v>=</v>
      </c>
      <c r="D1" s="990" t="str">
        <f>IFERROR(__xludf.DUMMYFUNCTION("""COMPUTED_VALUE"""),"+")</f>
        <v>+</v>
      </c>
      <c r="E1" s="990" t="str">
        <f>IFERROR(__xludf.DUMMYFUNCTION("""COMPUTED_VALUE"""),"NPS")</f>
        <v>NPS</v>
      </c>
      <c r="F1" s="990" t="str">
        <f>IFERROR(__xludf.DUMMYFUNCTION("""COMPUTED_VALUE"""),"Nb rép")</f>
        <v>Nb rép</v>
      </c>
      <c r="G1" s="990" t="str">
        <f>IFERROR(__xludf.DUMMYFUNCTION("""COMPUTED_VALUE"""),"Tx rép")</f>
        <v>Tx rép</v>
      </c>
      <c r="H1" s="990" t="str">
        <f>IFERROR(__xludf.DUMMYFUNCTION("""COMPUTED_VALUE"""),"Nbr pos")</f>
        <v>Nbr pos</v>
      </c>
      <c r="I1" s="990" t="str">
        <f>IFERROR(__xludf.DUMMYFUNCTION("""COMPUTED_VALUE"""),"Nb rép ")</f>
        <v>Nb rép </v>
      </c>
      <c r="J1" s="990" t="str">
        <f>IFERROR(__xludf.DUMMYFUNCTION("""COMPUTED_VALUE"""),"Bringg")</f>
        <v>Bringg</v>
      </c>
      <c r="K1" s="990" t="str">
        <f>IFERROR(__xludf.DUMMYFUNCTION("""COMPUTED_VALUE"""),"Tx rép")</f>
        <v>Tx rép</v>
      </c>
      <c r="L1" s="990" t="str">
        <f>IFERROR(__xludf.DUMMYFUNCTION("""COMPUTED_VALUE"""),"Nbr cam")</f>
        <v>Nbr cam</v>
      </c>
      <c r="M1" s="990" t="str">
        <f>IFERROR(__xludf.DUMMYFUNCTION("""COMPUTED_VALUE"""),"Ratio")</f>
        <v>Ratio</v>
      </c>
      <c r="N1" s="990">
        <f>IFERROR(__xludf.DUMMYFUNCTION("""COMPUTED_VALUE"""),1.0)</f>
        <v>1</v>
      </c>
      <c r="O1" s="990">
        <f>IFERROR(__xludf.DUMMYFUNCTION("""COMPUTED_VALUE"""),2.0)</f>
        <v>2</v>
      </c>
      <c r="P1" s="990">
        <f>IFERROR(__xludf.DUMMYFUNCTION("""COMPUTED_VALUE"""),3.0)</f>
        <v>3</v>
      </c>
      <c r="Q1" s="990">
        <f>IFERROR(__xludf.DUMMYFUNCTION("""COMPUTED_VALUE"""),4.0)</f>
        <v>4</v>
      </c>
      <c r="R1" s="990">
        <f>IFERROR(__xludf.DUMMYFUNCTION("""COMPUTED_VALUE"""),5.0)</f>
        <v>5</v>
      </c>
      <c r="S1" s="989" t="s">
        <v>496</v>
      </c>
      <c r="T1" s="989" t="s">
        <v>499</v>
      </c>
      <c r="U1" s="989" t="s">
        <v>500</v>
      </c>
      <c r="V1" s="989" t="s">
        <v>501</v>
      </c>
      <c r="W1" s="991" t="s">
        <v>502</v>
      </c>
      <c r="X1" s="992" t="s">
        <v>503</v>
      </c>
      <c r="Y1" s="992" t="s">
        <v>495</v>
      </c>
      <c r="Z1" s="992"/>
      <c r="AA1" s="970" t="str">
        <f>IFERROR(__xludf.DUMMYFUNCTION("IMPORTRANGE(""https://docs.google.com/spreadsheets/d/1HSh_7ZbJ8mqpm7E5jz4xv0u9KlGNb9jU1lPjlqhwYZs/edit?gid=1136274861#gid=1136274861"",""Calcul_mensuel!DK1:DL60"")"),"Nom")</f>
        <v>Nom</v>
      </c>
      <c r="AB1" s="970" t="str">
        <f>IFERROR(__xludf.DUMMYFUNCTION("""COMPUTED_VALUE"""),"Satis NPS")</f>
        <v>Satis NPS</v>
      </c>
    </row>
    <row r="2">
      <c r="A2" s="993" t="str">
        <f>IFERROR(__xludf.DUMMYFUNCTION("""COMPUTED_VALUE"""),"#N/A")</f>
        <v>#N/A</v>
      </c>
      <c r="B2" s="994">
        <f>IFERROR(__xludf.DUMMYFUNCTION("""COMPUTED_VALUE"""),46.0)</f>
        <v>46</v>
      </c>
      <c r="C2" s="994">
        <f>IFERROR(__xludf.DUMMYFUNCTION("""COMPUTED_VALUE"""),161.0)</f>
        <v>161</v>
      </c>
      <c r="D2" s="994">
        <f>IFERROR(__xludf.DUMMYFUNCTION("""COMPUTED_VALUE"""),930.0)</f>
        <v>930</v>
      </c>
      <c r="E2" s="993">
        <f>IFERROR(__xludf.DUMMYFUNCTION("""COMPUTED_VALUE"""),77.74846086191732)</f>
        <v>77.74846086</v>
      </c>
      <c r="F2" s="994">
        <f>IFERROR(__xludf.DUMMYFUNCTION("""COMPUTED_VALUE"""),1137.0)</f>
        <v>1137</v>
      </c>
      <c r="G2" s="995">
        <f>IFERROR(__xludf.DUMMYFUNCTION("""COMPUTED_VALUE"""),0.05782139951179821)</f>
        <v>0.05782139951</v>
      </c>
      <c r="H2" s="994">
        <f>IFERROR(__xludf.DUMMYFUNCTION("""COMPUTED_VALUE"""),19664.0)</f>
        <v>19664</v>
      </c>
      <c r="I2" s="994">
        <f>IFERROR(__xludf.DUMMYFUNCTION("""COMPUTED_VALUE"""),5909.0)</f>
        <v>5909</v>
      </c>
      <c r="J2" s="993">
        <f>IFERROR(__xludf.DUMMYFUNCTION("""COMPUTED_VALUE"""),4.821120324928076)</f>
        <v>4.821120325</v>
      </c>
      <c r="K2" s="995">
        <f>IFERROR(__xludf.DUMMYFUNCTION("""COMPUTED_VALUE"""),0.30049837266069973)</f>
        <v>0.3004983727</v>
      </c>
      <c r="L2" s="996">
        <f>IFERROR(__xludf.DUMMYFUNCTION("""COMPUTED_VALUE"""),0.0)</f>
        <v>0</v>
      </c>
      <c r="M2" s="997" t="str">
        <f>IFERROR(__xludf.DUMMYFUNCTION("""COMPUTED_VALUE"""),"#DIV/0!")</f>
        <v>#DIV/0!</v>
      </c>
      <c r="N2" s="996">
        <f>IFERROR(__xludf.DUMMYFUNCTION("""COMPUTED_VALUE"""),128.0)</f>
        <v>128</v>
      </c>
      <c r="O2" s="996">
        <f>IFERROR(__xludf.DUMMYFUNCTION("""COMPUTED_VALUE"""),46.0)</f>
        <v>46</v>
      </c>
      <c r="P2" s="996">
        <f>IFERROR(__xludf.DUMMYFUNCTION("""COMPUTED_VALUE"""),64.0)</f>
        <v>64</v>
      </c>
      <c r="Q2" s="996">
        <f>IFERROR(__xludf.DUMMYFUNCTION("""COMPUTED_VALUE"""),279.0)</f>
        <v>279</v>
      </c>
      <c r="R2" s="996">
        <f>IFERROR(__xludf.DUMMYFUNCTION("""COMPUTED_VALUE"""),5392.0)</f>
        <v>5392</v>
      </c>
      <c r="S2" s="993">
        <f t="shared" ref="S2:S53" si="2">AVERAGE(E2,W2)</f>
        <v>87.08543368</v>
      </c>
      <c r="T2" s="990">
        <f t="shared" ref="T2:T53" si="3">RANK(J2,J$2:J$55,0)</f>
        <v>1</v>
      </c>
      <c r="U2" s="990">
        <f t="shared" ref="U2:U53" si="4">RANK(E2,E$2:E$55,0)</f>
        <v>1</v>
      </c>
      <c r="V2" s="990">
        <f t="shared" ref="V2:V53" si="5">AVERAGE(T2:U2)</f>
        <v>1</v>
      </c>
      <c r="W2" s="998">
        <f t="shared" ref="W2:W53" si="6">SUM((J2/5)*100)</f>
        <v>96.4224065</v>
      </c>
      <c r="X2" s="993" t="str">
        <f t="shared" ref="X2:X53" si="7">AVERAGE(AB2,J2)</f>
        <v>#DIV/0!</v>
      </c>
      <c r="Y2" s="993"/>
      <c r="AA2" s="999" t="str">
        <f>IFERROR(__xludf.DUMMYFUNCTION("""COMPUTED_VALUE"""),"#N/A")</f>
        <v>#N/A</v>
      </c>
      <c r="AB2" s="999" t="str">
        <f>IFERROR(__xludf.DUMMYFUNCTION("""COMPUTED_VALUE"""),"#DIV/0!")</f>
        <v>#DIV/0!</v>
      </c>
      <c r="AC2" s="700">
        <f t="shared" ref="AC2:AE2" si="1">(B2/$F2)</f>
        <v>0.04045734389</v>
      </c>
      <c r="AD2" s="700">
        <f t="shared" si="1"/>
        <v>0.1416007036</v>
      </c>
      <c r="AE2" s="700">
        <f t="shared" si="1"/>
        <v>0.8179419525</v>
      </c>
    </row>
    <row r="3">
      <c r="A3" s="990"/>
      <c r="B3" s="990"/>
      <c r="C3" s="990"/>
      <c r="D3" s="990"/>
      <c r="E3" s="990"/>
      <c r="F3" s="990"/>
      <c r="G3" s="990"/>
      <c r="H3" s="990"/>
      <c r="I3" s="990"/>
      <c r="J3" s="990"/>
      <c r="K3" s="990"/>
      <c r="L3" s="990"/>
      <c r="M3" s="990"/>
      <c r="N3" s="990"/>
      <c r="O3" s="990"/>
      <c r="P3" s="990"/>
      <c r="Q3" s="990"/>
      <c r="R3" s="990"/>
      <c r="S3" s="993">
        <f t="shared" si="2"/>
        <v>0</v>
      </c>
      <c r="T3" s="990" t="str">
        <f t="shared" si="3"/>
        <v>#N/A</v>
      </c>
      <c r="U3" s="990" t="str">
        <f t="shared" si="4"/>
        <v>#N/A</v>
      </c>
      <c r="V3" s="990" t="str">
        <f t="shared" si="5"/>
        <v>#N/A</v>
      </c>
      <c r="W3" s="998">
        <f t="shared" si="6"/>
        <v>0</v>
      </c>
      <c r="X3" s="993" t="str">
        <f t="shared" si="7"/>
        <v>#DIV/0!</v>
      </c>
      <c r="Y3" s="993"/>
      <c r="AA3" s="955"/>
      <c r="AB3" s="955"/>
      <c r="AC3" s="700" t="str">
        <f t="shared" ref="AC3:AE3" si="8">(B3/$F3)</f>
        <v>#DIV/0!</v>
      </c>
      <c r="AD3" s="700" t="str">
        <f t="shared" si="8"/>
        <v>#DIV/0!</v>
      </c>
      <c r="AE3" s="700" t="str">
        <f t="shared" si="8"/>
        <v>#DIV/0!</v>
      </c>
    </row>
    <row r="4">
      <c r="A4" s="990"/>
      <c r="B4" s="990"/>
      <c r="C4" s="990"/>
      <c r="D4" s="990"/>
      <c r="E4" s="990"/>
      <c r="F4" s="990"/>
      <c r="G4" s="990"/>
      <c r="H4" s="990"/>
      <c r="I4" s="990"/>
      <c r="J4" s="990"/>
      <c r="K4" s="990"/>
      <c r="L4" s="990"/>
      <c r="M4" s="990"/>
      <c r="N4" s="990"/>
      <c r="O4" s="990"/>
      <c r="P4" s="990"/>
      <c r="Q4" s="990"/>
      <c r="R4" s="990"/>
      <c r="S4" s="993">
        <f t="shared" si="2"/>
        <v>0</v>
      </c>
      <c r="T4" s="990" t="str">
        <f t="shared" si="3"/>
        <v>#N/A</v>
      </c>
      <c r="U4" s="990" t="str">
        <f t="shared" si="4"/>
        <v>#N/A</v>
      </c>
      <c r="V4" s="990" t="str">
        <f t="shared" si="5"/>
        <v>#N/A</v>
      </c>
      <c r="W4" s="998">
        <f t="shared" si="6"/>
        <v>0</v>
      </c>
      <c r="X4" s="993" t="str">
        <f t="shared" si="7"/>
        <v>#DIV/0!</v>
      </c>
      <c r="Y4" s="993"/>
      <c r="AA4" s="955"/>
      <c r="AB4" s="955"/>
      <c r="AC4" s="700" t="str">
        <f t="shared" ref="AC4:AE4" si="9">(B4/$F4)</f>
        <v>#DIV/0!</v>
      </c>
      <c r="AD4" s="700" t="str">
        <f t="shared" si="9"/>
        <v>#DIV/0!</v>
      </c>
      <c r="AE4" s="700" t="str">
        <f t="shared" si="9"/>
        <v>#DIV/0!</v>
      </c>
    </row>
    <row r="5">
      <c r="A5" s="990"/>
      <c r="B5" s="990"/>
      <c r="C5" s="990"/>
      <c r="D5" s="990"/>
      <c r="E5" s="990"/>
      <c r="F5" s="990"/>
      <c r="G5" s="990"/>
      <c r="H5" s="990"/>
      <c r="I5" s="990"/>
      <c r="J5" s="990"/>
      <c r="K5" s="990"/>
      <c r="L5" s="990"/>
      <c r="M5" s="990"/>
      <c r="N5" s="990"/>
      <c r="O5" s="990"/>
      <c r="P5" s="990"/>
      <c r="Q5" s="990"/>
      <c r="R5" s="990"/>
      <c r="S5" s="993">
        <f t="shared" si="2"/>
        <v>0</v>
      </c>
      <c r="T5" s="990" t="str">
        <f t="shared" si="3"/>
        <v>#N/A</v>
      </c>
      <c r="U5" s="990" t="str">
        <f t="shared" si="4"/>
        <v>#N/A</v>
      </c>
      <c r="V5" s="990" t="str">
        <f t="shared" si="5"/>
        <v>#N/A</v>
      </c>
      <c r="W5" s="998">
        <f t="shared" si="6"/>
        <v>0</v>
      </c>
      <c r="X5" s="993" t="str">
        <f t="shared" si="7"/>
        <v>#DIV/0!</v>
      </c>
      <c r="Y5" s="993"/>
      <c r="AA5" s="955"/>
      <c r="AB5" s="955"/>
      <c r="AC5" s="700" t="str">
        <f t="shared" ref="AC5:AE5" si="10">(B5/$F5)</f>
        <v>#DIV/0!</v>
      </c>
      <c r="AD5" s="700" t="str">
        <f t="shared" si="10"/>
        <v>#DIV/0!</v>
      </c>
      <c r="AE5" s="700" t="str">
        <f t="shared" si="10"/>
        <v>#DIV/0!</v>
      </c>
    </row>
    <row r="6">
      <c r="A6" s="990"/>
      <c r="B6" s="990"/>
      <c r="C6" s="990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990"/>
      <c r="O6" s="990"/>
      <c r="P6" s="990"/>
      <c r="Q6" s="990"/>
      <c r="R6" s="990"/>
      <c r="S6" s="993">
        <f t="shared" si="2"/>
        <v>0</v>
      </c>
      <c r="T6" s="990" t="str">
        <f t="shared" si="3"/>
        <v>#N/A</v>
      </c>
      <c r="U6" s="990" t="str">
        <f t="shared" si="4"/>
        <v>#N/A</v>
      </c>
      <c r="V6" s="990" t="str">
        <f t="shared" si="5"/>
        <v>#N/A</v>
      </c>
      <c r="W6" s="998">
        <f t="shared" si="6"/>
        <v>0</v>
      </c>
      <c r="X6" s="993" t="str">
        <f t="shared" si="7"/>
        <v>#DIV/0!</v>
      </c>
      <c r="Y6" s="993"/>
      <c r="AA6" s="955"/>
      <c r="AB6" s="955"/>
      <c r="AC6" s="700" t="str">
        <f t="shared" ref="AC6:AE6" si="11">(B6/$F6)</f>
        <v>#DIV/0!</v>
      </c>
      <c r="AD6" s="700" t="str">
        <f t="shared" si="11"/>
        <v>#DIV/0!</v>
      </c>
      <c r="AE6" s="700" t="str">
        <f t="shared" si="11"/>
        <v>#DIV/0!</v>
      </c>
    </row>
    <row r="7">
      <c r="A7" s="990"/>
      <c r="B7" s="990"/>
      <c r="C7" s="990"/>
      <c r="D7" s="990"/>
      <c r="E7" s="990"/>
      <c r="F7" s="990"/>
      <c r="G7" s="990"/>
      <c r="H7" s="990"/>
      <c r="I7" s="990"/>
      <c r="J7" s="990"/>
      <c r="K7" s="990"/>
      <c r="L7" s="990"/>
      <c r="M7" s="990"/>
      <c r="N7" s="990"/>
      <c r="O7" s="990"/>
      <c r="P7" s="990"/>
      <c r="Q7" s="990"/>
      <c r="R7" s="990"/>
      <c r="S7" s="993">
        <f t="shared" si="2"/>
        <v>0</v>
      </c>
      <c r="T7" s="990" t="str">
        <f t="shared" si="3"/>
        <v>#N/A</v>
      </c>
      <c r="U7" s="990" t="str">
        <f t="shared" si="4"/>
        <v>#N/A</v>
      </c>
      <c r="V7" s="990" t="str">
        <f t="shared" si="5"/>
        <v>#N/A</v>
      </c>
      <c r="W7" s="998">
        <f t="shared" si="6"/>
        <v>0</v>
      </c>
      <c r="X7" s="993" t="str">
        <f t="shared" si="7"/>
        <v>#DIV/0!</v>
      </c>
      <c r="Y7" s="993"/>
      <c r="AA7" s="955"/>
      <c r="AB7" s="955"/>
      <c r="AC7" s="700" t="str">
        <f t="shared" ref="AC7:AE7" si="12">(B7/$F7)</f>
        <v>#DIV/0!</v>
      </c>
      <c r="AD7" s="700" t="str">
        <f t="shared" si="12"/>
        <v>#DIV/0!</v>
      </c>
      <c r="AE7" s="700" t="str">
        <f t="shared" si="12"/>
        <v>#DIV/0!</v>
      </c>
    </row>
    <row r="8">
      <c r="A8" s="990"/>
      <c r="B8" s="990"/>
      <c r="C8" s="990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990"/>
      <c r="O8" s="990"/>
      <c r="P8" s="990"/>
      <c r="Q8" s="990"/>
      <c r="R8" s="990"/>
      <c r="S8" s="993">
        <f t="shared" si="2"/>
        <v>0</v>
      </c>
      <c r="T8" s="990" t="str">
        <f t="shared" si="3"/>
        <v>#N/A</v>
      </c>
      <c r="U8" s="990" t="str">
        <f t="shared" si="4"/>
        <v>#N/A</v>
      </c>
      <c r="V8" s="990" t="str">
        <f t="shared" si="5"/>
        <v>#N/A</v>
      </c>
      <c r="W8" s="998">
        <f t="shared" si="6"/>
        <v>0</v>
      </c>
      <c r="X8" s="993" t="str">
        <f t="shared" si="7"/>
        <v>#DIV/0!</v>
      </c>
      <c r="Y8" s="993"/>
      <c r="AA8" s="955"/>
      <c r="AB8" s="955"/>
      <c r="AC8" s="700" t="str">
        <f t="shared" ref="AC8:AE8" si="13">(B8/$F8)</f>
        <v>#DIV/0!</v>
      </c>
      <c r="AD8" s="700" t="str">
        <f t="shared" si="13"/>
        <v>#DIV/0!</v>
      </c>
      <c r="AE8" s="700" t="str">
        <f t="shared" si="13"/>
        <v>#DIV/0!</v>
      </c>
    </row>
    <row r="9">
      <c r="A9" s="990"/>
      <c r="B9" s="990"/>
      <c r="C9" s="990"/>
      <c r="D9" s="990"/>
      <c r="E9" s="990"/>
      <c r="F9" s="990"/>
      <c r="G9" s="990"/>
      <c r="H9" s="990"/>
      <c r="I9" s="990"/>
      <c r="J9" s="990"/>
      <c r="K9" s="990"/>
      <c r="L9" s="990"/>
      <c r="M9" s="990"/>
      <c r="N9" s="990"/>
      <c r="O9" s="990"/>
      <c r="P9" s="990"/>
      <c r="Q9" s="990"/>
      <c r="R9" s="990"/>
      <c r="S9" s="993">
        <f t="shared" si="2"/>
        <v>0</v>
      </c>
      <c r="T9" s="990" t="str">
        <f t="shared" si="3"/>
        <v>#N/A</v>
      </c>
      <c r="U9" s="990" t="str">
        <f t="shared" si="4"/>
        <v>#N/A</v>
      </c>
      <c r="V9" s="990" t="str">
        <f t="shared" si="5"/>
        <v>#N/A</v>
      </c>
      <c r="W9" s="998">
        <f t="shared" si="6"/>
        <v>0</v>
      </c>
      <c r="X9" s="993" t="str">
        <f t="shared" si="7"/>
        <v>#DIV/0!</v>
      </c>
      <c r="Y9" s="993"/>
      <c r="AA9" s="955"/>
      <c r="AB9" s="955"/>
      <c r="AC9" s="700" t="str">
        <f t="shared" ref="AC9:AE9" si="14">(B9/$F9)</f>
        <v>#DIV/0!</v>
      </c>
      <c r="AD9" s="700" t="str">
        <f t="shared" si="14"/>
        <v>#DIV/0!</v>
      </c>
      <c r="AE9" s="700" t="str">
        <f t="shared" si="14"/>
        <v>#DIV/0!</v>
      </c>
    </row>
    <row r="10">
      <c r="A10" s="990"/>
      <c r="B10" s="990"/>
      <c r="C10" s="990"/>
      <c r="D10" s="990"/>
      <c r="E10" s="990"/>
      <c r="F10" s="990"/>
      <c r="G10" s="990"/>
      <c r="H10" s="990"/>
      <c r="I10" s="990"/>
      <c r="J10" s="990"/>
      <c r="K10" s="990"/>
      <c r="L10" s="990"/>
      <c r="M10" s="990"/>
      <c r="N10" s="990"/>
      <c r="O10" s="990"/>
      <c r="P10" s="990"/>
      <c r="Q10" s="990"/>
      <c r="R10" s="990"/>
      <c r="S10" s="993">
        <f t="shared" si="2"/>
        <v>0</v>
      </c>
      <c r="T10" s="990" t="str">
        <f t="shared" si="3"/>
        <v>#N/A</v>
      </c>
      <c r="U10" s="990" t="str">
        <f t="shared" si="4"/>
        <v>#N/A</v>
      </c>
      <c r="V10" s="990" t="str">
        <f t="shared" si="5"/>
        <v>#N/A</v>
      </c>
      <c r="W10" s="998">
        <f t="shared" si="6"/>
        <v>0</v>
      </c>
      <c r="X10" s="993" t="str">
        <f t="shared" si="7"/>
        <v>#DIV/0!</v>
      </c>
      <c r="Y10" s="993"/>
      <c r="AA10" s="955"/>
      <c r="AB10" s="955"/>
      <c r="AC10" s="700" t="str">
        <f t="shared" ref="AC10:AE10" si="15">(B10/$F10)</f>
        <v>#DIV/0!</v>
      </c>
      <c r="AD10" s="700" t="str">
        <f t="shared" si="15"/>
        <v>#DIV/0!</v>
      </c>
      <c r="AE10" s="700" t="str">
        <f t="shared" si="15"/>
        <v>#DIV/0!</v>
      </c>
    </row>
    <row r="11">
      <c r="A11" s="990"/>
      <c r="B11" s="990"/>
      <c r="C11" s="990"/>
      <c r="D11" s="990"/>
      <c r="E11" s="990"/>
      <c r="F11" s="990"/>
      <c r="G11" s="990"/>
      <c r="H11" s="990"/>
      <c r="I11" s="990"/>
      <c r="J11" s="990"/>
      <c r="K11" s="990"/>
      <c r="L11" s="990"/>
      <c r="M11" s="990"/>
      <c r="N11" s="990"/>
      <c r="O11" s="990"/>
      <c r="P11" s="990"/>
      <c r="Q11" s="990"/>
      <c r="R11" s="990"/>
      <c r="S11" s="993">
        <f t="shared" si="2"/>
        <v>0</v>
      </c>
      <c r="T11" s="990" t="str">
        <f t="shared" si="3"/>
        <v>#N/A</v>
      </c>
      <c r="U11" s="990" t="str">
        <f t="shared" si="4"/>
        <v>#N/A</v>
      </c>
      <c r="V11" s="990" t="str">
        <f t="shared" si="5"/>
        <v>#N/A</v>
      </c>
      <c r="W11" s="998">
        <f t="shared" si="6"/>
        <v>0</v>
      </c>
      <c r="X11" s="993" t="str">
        <f t="shared" si="7"/>
        <v>#DIV/0!</v>
      </c>
      <c r="Y11" s="993"/>
      <c r="AA11" s="955"/>
      <c r="AB11" s="955"/>
      <c r="AC11" s="700" t="str">
        <f t="shared" ref="AC11:AE11" si="16">(B11/$F11)</f>
        <v>#DIV/0!</v>
      </c>
      <c r="AD11" s="700" t="str">
        <f t="shared" si="16"/>
        <v>#DIV/0!</v>
      </c>
      <c r="AE11" s="700" t="str">
        <f t="shared" si="16"/>
        <v>#DIV/0!</v>
      </c>
    </row>
    <row r="12">
      <c r="A12" s="990"/>
      <c r="B12" s="990"/>
      <c r="C12" s="990"/>
      <c r="D12" s="990"/>
      <c r="E12" s="990"/>
      <c r="F12" s="990"/>
      <c r="G12" s="990"/>
      <c r="H12" s="990"/>
      <c r="I12" s="990"/>
      <c r="J12" s="990"/>
      <c r="K12" s="990"/>
      <c r="L12" s="990"/>
      <c r="M12" s="990"/>
      <c r="N12" s="990"/>
      <c r="O12" s="990"/>
      <c r="P12" s="990"/>
      <c r="Q12" s="990"/>
      <c r="R12" s="990"/>
      <c r="S12" s="993">
        <f t="shared" si="2"/>
        <v>0</v>
      </c>
      <c r="T12" s="990" t="str">
        <f t="shared" si="3"/>
        <v>#N/A</v>
      </c>
      <c r="U12" s="990" t="str">
        <f t="shared" si="4"/>
        <v>#N/A</v>
      </c>
      <c r="V12" s="990" t="str">
        <f t="shared" si="5"/>
        <v>#N/A</v>
      </c>
      <c r="W12" s="998">
        <f t="shared" si="6"/>
        <v>0</v>
      </c>
      <c r="X12" s="993" t="str">
        <f t="shared" si="7"/>
        <v>#DIV/0!</v>
      </c>
      <c r="Y12" s="993"/>
      <c r="AA12" s="955"/>
      <c r="AB12" s="955"/>
      <c r="AC12" s="700" t="str">
        <f t="shared" ref="AC12:AE12" si="17">(B12/$F12)</f>
        <v>#DIV/0!</v>
      </c>
      <c r="AD12" s="700" t="str">
        <f t="shared" si="17"/>
        <v>#DIV/0!</v>
      </c>
      <c r="AE12" s="700" t="str">
        <f t="shared" si="17"/>
        <v>#DIV/0!</v>
      </c>
    </row>
    <row r="13">
      <c r="A13" s="990"/>
      <c r="B13" s="990"/>
      <c r="C13" s="990"/>
      <c r="D13" s="990"/>
      <c r="E13" s="990"/>
      <c r="F13" s="990"/>
      <c r="G13" s="990"/>
      <c r="H13" s="990"/>
      <c r="I13" s="990"/>
      <c r="J13" s="990"/>
      <c r="K13" s="990"/>
      <c r="L13" s="990"/>
      <c r="M13" s="990"/>
      <c r="N13" s="990"/>
      <c r="O13" s="990"/>
      <c r="P13" s="990"/>
      <c r="Q13" s="990"/>
      <c r="R13" s="990"/>
      <c r="S13" s="993">
        <f t="shared" si="2"/>
        <v>0</v>
      </c>
      <c r="T13" s="990" t="str">
        <f t="shared" si="3"/>
        <v>#N/A</v>
      </c>
      <c r="U13" s="990" t="str">
        <f t="shared" si="4"/>
        <v>#N/A</v>
      </c>
      <c r="V13" s="990" t="str">
        <f t="shared" si="5"/>
        <v>#N/A</v>
      </c>
      <c r="W13" s="998">
        <f t="shared" si="6"/>
        <v>0</v>
      </c>
      <c r="X13" s="993" t="str">
        <f t="shared" si="7"/>
        <v>#DIV/0!</v>
      </c>
      <c r="Y13" s="993"/>
      <c r="AA13" s="955"/>
      <c r="AB13" s="955"/>
      <c r="AC13" s="700" t="str">
        <f t="shared" ref="AC13:AE13" si="18">(B13/$F13)</f>
        <v>#DIV/0!</v>
      </c>
      <c r="AD13" s="700" t="str">
        <f t="shared" si="18"/>
        <v>#DIV/0!</v>
      </c>
      <c r="AE13" s="700" t="str">
        <f t="shared" si="18"/>
        <v>#DIV/0!</v>
      </c>
    </row>
    <row r="14">
      <c r="A14" s="990"/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  <c r="N14" s="990"/>
      <c r="O14" s="990"/>
      <c r="P14" s="990"/>
      <c r="Q14" s="990"/>
      <c r="R14" s="990"/>
      <c r="S14" s="993">
        <f t="shared" si="2"/>
        <v>0</v>
      </c>
      <c r="T14" s="990" t="str">
        <f t="shared" si="3"/>
        <v>#N/A</v>
      </c>
      <c r="U14" s="990" t="str">
        <f t="shared" si="4"/>
        <v>#N/A</v>
      </c>
      <c r="V14" s="990" t="str">
        <f t="shared" si="5"/>
        <v>#N/A</v>
      </c>
      <c r="W14" s="998">
        <f t="shared" si="6"/>
        <v>0</v>
      </c>
      <c r="X14" s="993" t="str">
        <f t="shared" si="7"/>
        <v>#DIV/0!</v>
      </c>
      <c r="Y14" s="993"/>
      <c r="AA14" s="955"/>
      <c r="AB14" s="955"/>
      <c r="AC14" s="700" t="str">
        <f t="shared" ref="AC14:AE14" si="19">(B14/$F14)</f>
        <v>#DIV/0!</v>
      </c>
      <c r="AD14" s="700" t="str">
        <f t="shared" si="19"/>
        <v>#DIV/0!</v>
      </c>
      <c r="AE14" s="700" t="str">
        <f t="shared" si="19"/>
        <v>#DIV/0!</v>
      </c>
    </row>
    <row r="15">
      <c r="A15" s="990"/>
      <c r="B15" s="990"/>
      <c r="C15" s="990"/>
      <c r="D15" s="990"/>
      <c r="E15" s="990"/>
      <c r="F15" s="990"/>
      <c r="G15" s="990"/>
      <c r="H15" s="990"/>
      <c r="I15" s="990"/>
      <c r="J15" s="990"/>
      <c r="K15" s="990"/>
      <c r="L15" s="990"/>
      <c r="M15" s="990"/>
      <c r="N15" s="990"/>
      <c r="O15" s="990"/>
      <c r="P15" s="990"/>
      <c r="Q15" s="990"/>
      <c r="R15" s="990"/>
      <c r="S15" s="993">
        <f t="shared" si="2"/>
        <v>0</v>
      </c>
      <c r="T15" s="990" t="str">
        <f t="shared" si="3"/>
        <v>#N/A</v>
      </c>
      <c r="U15" s="990" t="str">
        <f t="shared" si="4"/>
        <v>#N/A</v>
      </c>
      <c r="V15" s="990" t="str">
        <f t="shared" si="5"/>
        <v>#N/A</v>
      </c>
      <c r="W15" s="998">
        <f t="shared" si="6"/>
        <v>0</v>
      </c>
      <c r="X15" s="993" t="str">
        <f t="shared" si="7"/>
        <v>#DIV/0!</v>
      </c>
      <c r="Y15" s="993"/>
      <c r="AA15" s="955"/>
      <c r="AB15" s="955"/>
      <c r="AC15" s="700" t="str">
        <f t="shared" ref="AC15:AE15" si="20">(B15/$F15)</f>
        <v>#DIV/0!</v>
      </c>
      <c r="AD15" s="700" t="str">
        <f t="shared" si="20"/>
        <v>#DIV/0!</v>
      </c>
      <c r="AE15" s="700" t="str">
        <f t="shared" si="20"/>
        <v>#DIV/0!</v>
      </c>
    </row>
    <row r="16">
      <c r="A16" s="990"/>
      <c r="B16" s="990"/>
      <c r="C16" s="990"/>
      <c r="D16" s="990"/>
      <c r="E16" s="990"/>
      <c r="F16" s="990"/>
      <c r="G16" s="990"/>
      <c r="H16" s="990"/>
      <c r="I16" s="990"/>
      <c r="J16" s="990"/>
      <c r="K16" s="990"/>
      <c r="L16" s="990"/>
      <c r="M16" s="990"/>
      <c r="N16" s="990"/>
      <c r="O16" s="990"/>
      <c r="P16" s="990"/>
      <c r="Q16" s="990"/>
      <c r="R16" s="990"/>
      <c r="S16" s="993">
        <f t="shared" si="2"/>
        <v>0</v>
      </c>
      <c r="T16" s="990" t="str">
        <f t="shared" si="3"/>
        <v>#N/A</v>
      </c>
      <c r="U16" s="990" t="str">
        <f t="shared" si="4"/>
        <v>#N/A</v>
      </c>
      <c r="V16" s="990" t="str">
        <f t="shared" si="5"/>
        <v>#N/A</v>
      </c>
      <c r="W16" s="998">
        <f t="shared" si="6"/>
        <v>0</v>
      </c>
      <c r="X16" s="993" t="str">
        <f t="shared" si="7"/>
        <v>#DIV/0!</v>
      </c>
      <c r="Y16" s="993"/>
      <c r="AA16" s="955"/>
      <c r="AB16" s="955"/>
      <c r="AC16" s="700" t="str">
        <f t="shared" ref="AC16:AE16" si="21">(B16/$F16)</f>
        <v>#DIV/0!</v>
      </c>
      <c r="AD16" s="700" t="str">
        <f t="shared" si="21"/>
        <v>#DIV/0!</v>
      </c>
      <c r="AE16" s="700" t="str">
        <f t="shared" si="21"/>
        <v>#DIV/0!</v>
      </c>
    </row>
    <row r="17">
      <c r="A17" s="990"/>
      <c r="B17" s="990"/>
      <c r="C17" s="990"/>
      <c r="D17" s="990"/>
      <c r="E17" s="990"/>
      <c r="F17" s="990"/>
      <c r="G17" s="990"/>
      <c r="H17" s="990"/>
      <c r="I17" s="990"/>
      <c r="J17" s="990"/>
      <c r="K17" s="990"/>
      <c r="L17" s="990"/>
      <c r="M17" s="990"/>
      <c r="N17" s="990"/>
      <c r="O17" s="990"/>
      <c r="P17" s="990"/>
      <c r="Q17" s="990"/>
      <c r="R17" s="990"/>
      <c r="S17" s="993">
        <f t="shared" si="2"/>
        <v>0</v>
      </c>
      <c r="T17" s="990" t="str">
        <f t="shared" si="3"/>
        <v>#N/A</v>
      </c>
      <c r="U17" s="990" t="str">
        <f t="shared" si="4"/>
        <v>#N/A</v>
      </c>
      <c r="V17" s="990" t="str">
        <f t="shared" si="5"/>
        <v>#N/A</v>
      </c>
      <c r="W17" s="998">
        <f t="shared" si="6"/>
        <v>0</v>
      </c>
      <c r="X17" s="993" t="str">
        <f t="shared" si="7"/>
        <v>#DIV/0!</v>
      </c>
      <c r="Y17" s="993"/>
      <c r="AA17" s="955"/>
      <c r="AB17" s="955"/>
      <c r="AC17" s="700" t="str">
        <f t="shared" ref="AC17:AE17" si="22">(B17/$F17)</f>
        <v>#DIV/0!</v>
      </c>
      <c r="AD17" s="700" t="str">
        <f t="shared" si="22"/>
        <v>#DIV/0!</v>
      </c>
      <c r="AE17" s="700" t="str">
        <f t="shared" si="22"/>
        <v>#DIV/0!</v>
      </c>
    </row>
    <row r="18">
      <c r="A18" s="990"/>
      <c r="B18" s="990"/>
      <c r="C18" s="990"/>
      <c r="D18" s="990"/>
      <c r="E18" s="990"/>
      <c r="F18" s="990"/>
      <c r="G18" s="990"/>
      <c r="H18" s="990"/>
      <c r="I18" s="990"/>
      <c r="J18" s="990"/>
      <c r="K18" s="990"/>
      <c r="L18" s="990"/>
      <c r="M18" s="990"/>
      <c r="N18" s="990"/>
      <c r="O18" s="990"/>
      <c r="P18" s="990"/>
      <c r="Q18" s="990"/>
      <c r="R18" s="990"/>
      <c r="S18" s="993">
        <f t="shared" si="2"/>
        <v>0</v>
      </c>
      <c r="T18" s="990" t="str">
        <f t="shared" si="3"/>
        <v>#N/A</v>
      </c>
      <c r="U18" s="990" t="str">
        <f t="shared" si="4"/>
        <v>#N/A</v>
      </c>
      <c r="V18" s="990" t="str">
        <f t="shared" si="5"/>
        <v>#N/A</v>
      </c>
      <c r="W18" s="998">
        <f t="shared" si="6"/>
        <v>0</v>
      </c>
      <c r="X18" s="993" t="str">
        <f t="shared" si="7"/>
        <v>#DIV/0!</v>
      </c>
      <c r="Y18" s="993"/>
      <c r="AA18" s="955"/>
      <c r="AB18" s="955"/>
      <c r="AC18" s="700" t="str">
        <f t="shared" ref="AC18:AE18" si="23">(B18/$F18)</f>
        <v>#DIV/0!</v>
      </c>
      <c r="AD18" s="700" t="str">
        <f t="shared" si="23"/>
        <v>#DIV/0!</v>
      </c>
      <c r="AE18" s="700" t="str">
        <f t="shared" si="23"/>
        <v>#DIV/0!</v>
      </c>
    </row>
    <row r="19">
      <c r="A19" s="990"/>
      <c r="B19" s="990"/>
      <c r="C19" s="990"/>
      <c r="D19" s="990"/>
      <c r="E19" s="990"/>
      <c r="F19" s="990"/>
      <c r="G19" s="990"/>
      <c r="H19" s="990"/>
      <c r="I19" s="990"/>
      <c r="J19" s="990"/>
      <c r="K19" s="990"/>
      <c r="L19" s="990"/>
      <c r="M19" s="990"/>
      <c r="N19" s="990"/>
      <c r="O19" s="990"/>
      <c r="P19" s="990"/>
      <c r="Q19" s="990"/>
      <c r="R19" s="990"/>
      <c r="S19" s="993">
        <f t="shared" si="2"/>
        <v>0</v>
      </c>
      <c r="T19" s="990" t="str">
        <f t="shared" si="3"/>
        <v>#N/A</v>
      </c>
      <c r="U19" s="990" t="str">
        <f t="shared" si="4"/>
        <v>#N/A</v>
      </c>
      <c r="V19" s="990" t="str">
        <f t="shared" si="5"/>
        <v>#N/A</v>
      </c>
      <c r="W19" s="998">
        <f t="shared" si="6"/>
        <v>0</v>
      </c>
      <c r="X19" s="993" t="str">
        <f t="shared" si="7"/>
        <v>#DIV/0!</v>
      </c>
      <c r="Y19" s="993"/>
      <c r="AA19" s="955"/>
      <c r="AB19" s="955"/>
      <c r="AC19" s="700" t="str">
        <f t="shared" ref="AC19:AE19" si="24">(B19/$F19)</f>
        <v>#DIV/0!</v>
      </c>
      <c r="AD19" s="700" t="str">
        <f t="shared" si="24"/>
        <v>#DIV/0!</v>
      </c>
      <c r="AE19" s="700" t="str">
        <f t="shared" si="24"/>
        <v>#DIV/0!</v>
      </c>
    </row>
    <row r="20">
      <c r="A20" s="990"/>
      <c r="B20" s="990"/>
      <c r="C20" s="990"/>
      <c r="D20" s="990"/>
      <c r="E20" s="990"/>
      <c r="F20" s="990"/>
      <c r="G20" s="990"/>
      <c r="H20" s="990"/>
      <c r="I20" s="990"/>
      <c r="J20" s="990"/>
      <c r="K20" s="990"/>
      <c r="L20" s="990"/>
      <c r="M20" s="990"/>
      <c r="N20" s="990"/>
      <c r="O20" s="990"/>
      <c r="P20" s="990"/>
      <c r="Q20" s="990"/>
      <c r="R20" s="990"/>
      <c r="S20" s="993">
        <f t="shared" si="2"/>
        <v>0</v>
      </c>
      <c r="T20" s="990" t="str">
        <f t="shared" si="3"/>
        <v>#N/A</v>
      </c>
      <c r="U20" s="990" t="str">
        <f t="shared" si="4"/>
        <v>#N/A</v>
      </c>
      <c r="V20" s="990" t="str">
        <f t="shared" si="5"/>
        <v>#N/A</v>
      </c>
      <c r="W20" s="998">
        <f t="shared" si="6"/>
        <v>0</v>
      </c>
      <c r="X20" s="993" t="str">
        <f t="shared" si="7"/>
        <v>#DIV/0!</v>
      </c>
      <c r="Y20" s="993"/>
      <c r="AA20" s="955"/>
      <c r="AB20" s="955"/>
      <c r="AC20" s="700" t="str">
        <f t="shared" ref="AC20:AE20" si="25">(B20/$F20)</f>
        <v>#DIV/0!</v>
      </c>
      <c r="AD20" s="700" t="str">
        <f t="shared" si="25"/>
        <v>#DIV/0!</v>
      </c>
      <c r="AE20" s="700" t="str">
        <f t="shared" si="25"/>
        <v>#DIV/0!</v>
      </c>
    </row>
    <row r="21">
      <c r="A21" s="990"/>
      <c r="B21" s="990"/>
      <c r="C21" s="990"/>
      <c r="D21" s="990"/>
      <c r="E21" s="990"/>
      <c r="F21" s="990"/>
      <c r="G21" s="990"/>
      <c r="H21" s="990"/>
      <c r="I21" s="990"/>
      <c r="J21" s="990"/>
      <c r="K21" s="990"/>
      <c r="L21" s="990"/>
      <c r="M21" s="990"/>
      <c r="N21" s="990"/>
      <c r="O21" s="990"/>
      <c r="P21" s="990"/>
      <c r="Q21" s="990"/>
      <c r="R21" s="990"/>
      <c r="S21" s="993">
        <f t="shared" si="2"/>
        <v>0</v>
      </c>
      <c r="T21" s="990" t="str">
        <f t="shared" si="3"/>
        <v>#N/A</v>
      </c>
      <c r="U21" s="990" t="str">
        <f t="shared" si="4"/>
        <v>#N/A</v>
      </c>
      <c r="V21" s="990" t="str">
        <f t="shared" si="5"/>
        <v>#N/A</v>
      </c>
      <c r="W21" s="998">
        <f t="shared" si="6"/>
        <v>0</v>
      </c>
      <c r="X21" s="993" t="str">
        <f t="shared" si="7"/>
        <v>#DIV/0!</v>
      </c>
      <c r="Y21" s="993"/>
      <c r="AA21" s="955"/>
      <c r="AB21" s="955"/>
      <c r="AC21" s="700" t="str">
        <f t="shared" ref="AC21:AE21" si="26">(B21/$F21)</f>
        <v>#DIV/0!</v>
      </c>
      <c r="AD21" s="700" t="str">
        <f t="shared" si="26"/>
        <v>#DIV/0!</v>
      </c>
      <c r="AE21" s="700" t="str">
        <f t="shared" si="26"/>
        <v>#DIV/0!</v>
      </c>
    </row>
    <row r="22">
      <c r="A22" s="990"/>
      <c r="B22" s="990"/>
      <c r="C22" s="990"/>
      <c r="D22" s="990"/>
      <c r="E22" s="990"/>
      <c r="F22" s="990"/>
      <c r="G22" s="990"/>
      <c r="H22" s="990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3">
        <f t="shared" si="2"/>
        <v>0</v>
      </c>
      <c r="T22" s="990" t="str">
        <f t="shared" si="3"/>
        <v>#N/A</v>
      </c>
      <c r="U22" s="990" t="str">
        <f t="shared" si="4"/>
        <v>#N/A</v>
      </c>
      <c r="V22" s="990" t="str">
        <f t="shared" si="5"/>
        <v>#N/A</v>
      </c>
      <c r="W22" s="998">
        <f t="shared" si="6"/>
        <v>0</v>
      </c>
      <c r="X22" s="993" t="str">
        <f t="shared" si="7"/>
        <v>#DIV/0!</v>
      </c>
      <c r="Y22" s="993"/>
      <c r="AA22" s="955"/>
      <c r="AB22" s="955"/>
      <c r="AC22" s="700" t="str">
        <f t="shared" ref="AC22:AE22" si="27">(B22/$F22)</f>
        <v>#DIV/0!</v>
      </c>
      <c r="AD22" s="700" t="str">
        <f t="shared" si="27"/>
        <v>#DIV/0!</v>
      </c>
      <c r="AE22" s="700" t="str">
        <f t="shared" si="27"/>
        <v>#DIV/0!</v>
      </c>
    </row>
    <row r="23">
      <c r="A23" s="990"/>
      <c r="B23" s="990"/>
      <c r="C23" s="990"/>
      <c r="D23" s="990"/>
      <c r="E23" s="990"/>
      <c r="F23" s="990"/>
      <c r="G23" s="990"/>
      <c r="H23" s="990"/>
      <c r="I23" s="990"/>
      <c r="J23" s="990"/>
      <c r="K23" s="990"/>
      <c r="L23" s="990"/>
      <c r="M23" s="990"/>
      <c r="N23" s="990"/>
      <c r="O23" s="990"/>
      <c r="P23" s="990"/>
      <c r="Q23" s="990"/>
      <c r="R23" s="990"/>
      <c r="S23" s="993">
        <f t="shared" si="2"/>
        <v>0</v>
      </c>
      <c r="T23" s="990" t="str">
        <f t="shared" si="3"/>
        <v>#N/A</v>
      </c>
      <c r="U23" s="990" t="str">
        <f t="shared" si="4"/>
        <v>#N/A</v>
      </c>
      <c r="V23" s="990" t="str">
        <f t="shared" si="5"/>
        <v>#N/A</v>
      </c>
      <c r="W23" s="998">
        <f t="shared" si="6"/>
        <v>0</v>
      </c>
      <c r="X23" s="993" t="str">
        <f t="shared" si="7"/>
        <v>#DIV/0!</v>
      </c>
      <c r="Y23" s="993"/>
      <c r="AA23" s="955"/>
      <c r="AB23" s="955"/>
      <c r="AC23" s="700" t="str">
        <f t="shared" ref="AC23:AE23" si="28">(B23/$F23)</f>
        <v>#DIV/0!</v>
      </c>
      <c r="AD23" s="700" t="str">
        <f t="shared" si="28"/>
        <v>#DIV/0!</v>
      </c>
      <c r="AE23" s="700" t="str">
        <f t="shared" si="28"/>
        <v>#DIV/0!</v>
      </c>
    </row>
    <row r="24">
      <c r="A24" s="990"/>
      <c r="B24" s="990"/>
      <c r="C24" s="990"/>
      <c r="D24" s="990"/>
      <c r="E24" s="990"/>
      <c r="F24" s="990"/>
      <c r="G24" s="990"/>
      <c r="H24" s="990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3">
        <f t="shared" si="2"/>
        <v>0</v>
      </c>
      <c r="T24" s="990" t="str">
        <f t="shared" si="3"/>
        <v>#N/A</v>
      </c>
      <c r="U24" s="990" t="str">
        <f t="shared" si="4"/>
        <v>#N/A</v>
      </c>
      <c r="V24" s="990" t="str">
        <f t="shared" si="5"/>
        <v>#N/A</v>
      </c>
      <c r="W24" s="998">
        <f t="shared" si="6"/>
        <v>0</v>
      </c>
      <c r="X24" s="993" t="str">
        <f t="shared" si="7"/>
        <v>#DIV/0!</v>
      </c>
      <c r="Y24" s="993"/>
      <c r="AA24" s="955"/>
      <c r="AB24" s="955"/>
      <c r="AC24" s="700" t="str">
        <f t="shared" ref="AC24:AE24" si="29">(B24/$F24)</f>
        <v>#DIV/0!</v>
      </c>
      <c r="AD24" s="700" t="str">
        <f t="shared" si="29"/>
        <v>#DIV/0!</v>
      </c>
      <c r="AE24" s="700" t="str">
        <f t="shared" si="29"/>
        <v>#DIV/0!</v>
      </c>
    </row>
    <row r="25">
      <c r="A25" s="990"/>
      <c r="B25" s="990"/>
      <c r="C25" s="990"/>
      <c r="D25" s="990"/>
      <c r="E25" s="990"/>
      <c r="F25" s="990"/>
      <c r="G25" s="990"/>
      <c r="H25" s="990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3">
        <f t="shared" si="2"/>
        <v>0</v>
      </c>
      <c r="T25" s="990" t="str">
        <f t="shared" si="3"/>
        <v>#N/A</v>
      </c>
      <c r="U25" s="990" t="str">
        <f t="shared" si="4"/>
        <v>#N/A</v>
      </c>
      <c r="V25" s="990" t="str">
        <f t="shared" si="5"/>
        <v>#N/A</v>
      </c>
      <c r="W25" s="998">
        <f t="shared" si="6"/>
        <v>0</v>
      </c>
      <c r="X25" s="993" t="str">
        <f t="shared" si="7"/>
        <v>#DIV/0!</v>
      </c>
      <c r="Y25" s="993"/>
      <c r="AA25" s="955"/>
      <c r="AB25" s="955"/>
      <c r="AC25" s="700" t="str">
        <f t="shared" ref="AC25:AE25" si="30">(B25/$F25)</f>
        <v>#DIV/0!</v>
      </c>
      <c r="AD25" s="700" t="str">
        <f t="shared" si="30"/>
        <v>#DIV/0!</v>
      </c>
      <c r="AE25" s="700" t="str">
        <f t="shared" si="30"/>
        <v>#DIV/0!</v>
      </c>
    </row>
    <row r="26">
      <c r="A26" s="990"/>
      <c r="B26" s="990"/>
      <c r="C26" s="990"/>
      <c r="D26" s="990"/>
      <c r="E26" s="990"/>
      <c r="F26" s="990"/>
      <c r="G26" s="990"/>
      <c r="H26" s="990"/>
      <c r="I26" s="990"/>
      <c r="J26" s="990"/>
      <c r="K26" s="990"/>
      <c r="L26" s="990"/>
      <c r="M26" s="990"/>
      <c r="N26" s="990"/>
      <c r="O26" s="990"/>
      <c r="P26" s="990"/>
      <c r="Q26" s="990"/>
      <c r="R26" s="990"/>
      <c r="S26" s="993">
        <f t="shared" si="2"/>
        <v>0</v>
      </c>
      <c r="T26" s="990" t="str">
        <f t="shared" si="3"/>
        <v>#N/A</v>
      </c>
      <c r="U26" s="990" t="str">
        <f t="shared" si="4"/>
        <v>#N/A</v>
      </c>
      <c r="V26" s="990" t="str">
        <f t="shared" si="5"/>
        <v>#N/A</v>
      </c>
      <c r="W26" s="998">
        <f t="shared" si="6"/>
        <v>0</v>
      </c>
      <c r="X26" s="993" t="str">
        <f t="shared" si="7"/>
        <v>#DIV/0!</v>
      </c>
      <c r="Y26" s="993"/>
      <c r="AA26" s="955"/>
      <c r="AB26" s="955"/>
      <c r="AC26" s="700" t="str">
        <f t="shared" ref="AC26:AE26" si="31">(B26/$F26)</f>
        <v>#DIV/0!</v>
      </c>
      <c r="AD26" s="700" t="str">
        <f t="shared" si="31"/>
        <v>#DIV/0!</v>
      </c>
      <c r="AE26" s="700" t="str">
        <f t="shared" si="31"/>
        <v>#DIV/0!</v>
      </c>
    </row>
    <row r="27">
      <c r="A27" s="990"/>
      <c r="B27" s="990"/>
      <c r="C27" s="990"/>
      <c r="D27" s="990"/>
      <c r="E27" s="990"/>
      <c r="F27" s="990"/>
      <c r="G27" s="990"/>
      <c r="H27" s="990"/>
      <c r="I27" s="990"/>
      <c r="J27" s="990"/>
      <c r="K27" s="990"/>
      <c r="L27" s="990"/>
      <c r="M27" s="990"/>
      <c r="N27" s="990"/>
      <c r="O27" s="990"/>
      <c r="P27" s="990"/>
      <c r="Q27" s="990"/>
      <c r="R27" s="990"/>
      <c r="S27" s="993">
        <f t="shared" si="2"/>
        <v>0</v>
      </c>
      <c r="T27" s="990" t="str">
        <f t="shared" si="3"/>
        <v>#N/A</v>
      </c>
      <c r="U27" s="990" t="str">
        <f t="shared" si="4"/>
        <v>#N/A</v>
      </c>
      <c r="V27" s="990" t="str">
        <f t="shared" si="5"/>
        <v>#N/A</v>
      </c>
      <c r="W27" s="998">
        <f t="shared" si="6"/>
        <v>0</v>
      </c>
      <c r="X27" s="993" t="str">
        <f t="shared" si="7"/>
        <v>#DIV/0!</v>
      </c>
      <c r="Y27" s="993"/>
      <c r="AA27" s="955"/>
      <c r="AB27" s="955"/>
      <c r="AC27" s="700" t="str">
        <f t="shared" ref="AC27:AE27" si="32">(B27/$F27)</f>
        <v>#DIV/0!</v>
      </c>
      <c r="AD27" s="700" t="str">
        <f t="shared" si="32"/>
        <v>#DIV/0!</v>
      </c>
      <c r="AE27" s="700" t="str">
        <f t="shared" si="32"/>
        <v>#DIV/0!</v>
      </c>
    </row>
    <row r="28">
      <c r="A28" s="990"/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3">
        <f t="shared" si="2"/>
        <v>0</v>
      </c>
      <c r="T28" s="990" t="str">
        <f t="shared" si="3"/>
        <v>#N/A</v>
      </c>
      <c r="U28" s="990" t="str">
        <f t="shared" si="4"/>
        <v>#N/A</v>
      </c>
      <c r="V28" s="990" t="str">
        <f t="shared" si="5"/>
        <v>#N/A</v>
      </c>
      <c r="W28" s="998">
        <f t="shared" si="6"/>
        <v>0</v>
      </c>
      <c r="X28" s="993" t="str">
        <f t="shared" si="7"/>
        <v>#DIV/0!</v>
      </c>
      <c r="Y28" s="993"/>
      <c r="AA28" s="955"/>
      <c r="AB28" s="955"/>
      <c r="AC28" s="700" t="str">
        <f t="shared" ref="AC28:AE28" si="33">(B28/$F28)</f>
        <v>#DIV/0!</v>
      </c>
      <c r="AD28" s="700" t="str">
        <f t="shared" si="33"/>
        <v>#DIV/0!</v>
      </c>
      <c r="AE28" s="700" t="str">
        <f t="shared" si="33"/>
        <v>#DIV/0!</v>
      </c>
    </row>
    <row r="29">
      <c r="A29" s="990"/>
      <c r="B29" s="990"/>
      <c r="C29" s="990"/>
      <c r="D29" s="990"/>
      <c r="E29" s="990"/>
      <c r="F29" s="990"/>
      <c r="G29" s="990"/>
      <c r="H29" s="990"/>
      <c r="I29" s="990"/>
      <c r="J29" s="990"/>
      <c r="K29" s="990"/>
      <c r="L29" s="990"/>
      <c r="M29" s="990"/>
      <c r="N29" s="990"/>
      <c r="O29" s="990"/>
      <c r="P29" s="990"/>
      <c r="Q29" s="990"/>
      <c r="R29" s="990"/>
      <c r="S29" s="993">
        <f t="shared" si="2"/>
        <v>0</v>
      </c>
      <c r="T29" s="990" t="str">
        <f t="shared" si="3"/>
        <v>#N/A</v>
      </c>
      <c r="U29" s="990" t="str">
        <f t="shared" si="4"/>
        <v>#N/A</v>
      </c>
      <c r="V29" s="990" t="str">
        <f t="shared" si="5"/>
        <v>#N/A</v>
      </c>
      <c r="W29" s="998">
        <f t="shared" si="6"/>
        <v>0</v>
      </c>
      <c r="X29" s="993" t="str">
        <f t="shared" si="7"/>
        <v>#DIV/0!</v>
      </c>
      <c r="Y29" s="993"/>
      <c r="AA29" s="955"/>
      <c r="AB29" s="955"/>
      <c r="AC29" s="700" t="str">
        <f t="shared" ref="AC29:AE29" si="34">(B29/$F29)</f>
        <v>#DIV/0!</v>
      </c>
      <c r="AD29" s="700" t="str">
        <f t="shared" si="34"/>
        <v>#DIV/0!</v>
      </c>
      <c r="AE29" s="700" t="str">
        <f t="shared" si="34"/>
        <v>#DIV/0!</v>
      </c>
    </row>
    <row r="30">
      <c r="A30" s="990"/>
      <c r="B30" s="990"/>
      <c r="C30" s="990"/>
      <c r="D30" s="990"/>
      <c r="E30" s="990"/>
      <c r="F30" s="990"/>
      <c r="G30" s="990"/>
      <c r="H30" s="990"/>
      <c r="I30" s="990"/>
      <c r="J30" s="990"/>
      <c r="K30" s="990"/>
      <c r="L30" s="990"/>
      <c r="M30" s="990"/>
      <c r="N30" s="990"/>
      <c r="O30" s="990"/>
      <c r="P30" s="990"/>
      <c r="Q30" s="990"/>
      <c r="R30" s="990"/>
      <c r="S30" s="993">
        <f t="shared" si="2"/>
        <v>0</v>
      </c>
      <c r="T30" s="990" t="str">
        <f t="shared" si="3"/>
        <v>#N/A</v>
      </c>
      <c r="U30" s="990" t="str">
        <f t="shared" si="4"/>
        <v>#N/A</v>
      </c>
      <c r="V30" s="990" t="str">
        <f t="shared" si="5"/>
        <v>#N/A</v>
      </c>
      <c r="W30" s="998">
        <f t="shared" si="6"/>
        <v>0</v>
      </c>
      <c r="X30" s="993" t="str">
        <f t="shared" si="7"/>
        <v>#DIV/0!</v>
      </c>
      <c r="Y30" s="993"/>
      <c r="AA30" s="955"/>
      <c r="AB30" s="955"/>
      <c r="AC30" s="700" t="str">
        <f t="shared" ref="AC30:AE30" si="35">(B30/$F30)</f>
        <v>#DIV/0!</v>
      </c>
      <c r="AD30" s="700" t="str">
        <f t="shared" si="35"/>
        <v>#DIV/0!</v>
      </c>
      <c r="AE30" s="700" t="str">
        <f t="shared" si="35"/>
        <v>#DIV/0!</v>
      </c>
    </row>
    <row r="31">
      <c r="A31" s="990"/>
      <c r="B31" s="990"/>
      <c r="C31" s="990"/>
      <c r="D31" s="990"/>
      <c r="E31" s="990"/>
      <c r="F31" s="990"/>
      <c r="G31" s="990"/>
      <c r="H31" s="990"/>
      <c r="I31" s="990"/>
      <c r="J31" s="990"/>
      <c r="K31" s="990"/>
      <c r="L31" s="990"/>
      <c r="M31" s="990"/>
      <c r="N31" s="990"/>
      <c r="O31" s="990"/>
      <c r="P31" s="990"/>
      <c r="Q31" s="990"/>
      <c r="R31" s="990"/>
      <c r="S31" s="993">
        <f t="shared" si="2"/>
        <v>0</v>
      </c>
      <c r="T31" s="990" t="str">
        <f t="shared" si="3"/>
        <v>#N/A</v>
      </c>
      <c r="U31" s="990" t="str">
        <f t="shared" si="4"/>
        <v>#N/A</v>
      </c>
      <c r="V31" s="990" t="str">
        <f t="shared" si="5"/>
        <v>#N/A</v>
      </c>
      <c r="W31" s="998">
        <f t="shared" si="6"/>
        <v>0</v>
      </c>
      <c r="X31" s="993" t="str">
        <f t="shared" si="7"/>
        <v>#DIV/0!</v>
      </c>
      <c r="Y31" s="993"/>
      <c r="AA31" s="955"/>
      <c r="AB31" s="955"/>
      <c r="AC31" s="700" t="str">
        <f t="shared" ref="AC31:AE31" si="36">(B31/$F31)</f>
        <v>#DIV/0!</v>
      </c>
      <c r="AD31" s="700" t="str">
        <f t="shared" si="36"/>
        <v>#DIV/0!</v>
      </c>
      <c r="AE31" s="700" t="str">
        <f t="shared" si="36"/>
        <v>#DIV/0!</v>
      </c>
    </row>
    <row r="32">
      <c r="A32" s="990"/>
      <c r="B32" s="990"/>
      <c r="C32" s="990"/>
      <c r="D32" s="990"/>
      <c r="E32" s="990"/>
      <c r="F32" s="990"/>
      <c r="G32" s="990"/>
      <c r="H32" s="990"/>
      <c r="I32" s="990"/>
      <c r="J32" s="990"/>
      <c r="K32" s="990"/>
      <c r="L32" s="990"/>
      <c r="M32" s="990"/>
      <c r="N32" s="990"/>
      <c r="O32" s="990"/>
      <c r="P32" s="990"/>
      <c r="Q32" s="990"/>
      <c r="R32" s="990"/>
      <c r="S32" s="993">
        <f t="shared" si="2"/>
        <v>0</v>
      </c>
      <c r="T32" s="990" t="str">
        <f t="shared" si="3"/>
        <v>#N/A</v>
      </c>
      <c r="U32" s="990" t="str">
        <f t="shared" si="4"/>
        <v>#N/A</v>
      </c>
      <c r="V32" s="990" t="str">
        <f t="shared" si="5"/>
        <v>#N/A</v>
      </c>
      <c r="W32" s="998">
        <f t="shared" si="6"/>
        <v>0</v>
      </c>
      <c r="X32" s="993" t="str">
        <f t="shared" si="7"/>
        <v>#DIV/0!</v>
      </c>
      <c r="Y32" s="993"/>
      <c r="AA32" s="955"/>
      <c r="AB32" s="955"/>
      <c r="AC32" s="700" t="str">
        <f t="shared" ref="AC32:AE32" si="37">(B32/$F32)</f>
        <v>#DIV/0!</v>
      </c>
      <c r="AD32" s="700" t="str">
        <f t="shared" si="37"/>
        <v>#DIV/0!</v>
      </c>
      <c r="AE32" s="700" t="str">
        <f t="shared" si="37"/>
        <v>#DIV/0!</v>
      </c>
    </row>
    <row r="33">
      <c r="A33" s="990"/>
      <c r="B33" s="990"/>
      <c r="C33" s="990"/>
      <c r="D33" s="990"/>
      <c r="E33" s="990"/>
      <c r="F33" s="990"/>
      <c r="G33" s="990"/>
      <c r="H33" s="990"/>
      <c r="I33" s="990"/>
      <c r="J33" s="990"/>
      <c r="K33" s="990"/>
      <c r="L33" s="990"/>
      <c r="M33" s="990"/>
      <c r="N33" s="990"/>
      <c r="O33" s="990"/>
      <c r="P33" s="990"/>
      <c r="Q33" s="990"/>
      <c r="R33" s="990"/>
      <c r="S33" s="993">
        <f t="shared" si="2"/>
        <v>0</v>
      </c>
      <c r="T33" s="990" t="str">
        <f t="shared" si="3"/>
        <v>#N/A</v>
      </c>
      <c r="U33" s="990" t="str">
        <f t="shared" si="4"/>
        <v>#N/A</v>
      </c>
      <c r="V33" s="990" t="str">
        <f t="shared" si="5"/>
        <v>#N/A</v>
      </c>
      <c r="W33" s="998">
        <f t="shared" si="6"/>
        <v>0</v>
      </c>
      <c r="X33" s="993" t="str">
        <f t="shared" si="7"/>
        <v>#DIV/0!</v>
      </c>
      <c r="Y33" s="993"/>
      <c r="AA33" s="955"/>
      <c r="AB33" s="955"/>
      <c r="AC33" s="700" t="str">
        <f t="shared" ref="AC33:AE33" si="38">(B33/$F33)</f>
        <v>#DIV/0!</v>
      </c>
      <c r="AD33" s="700" t="str">
        <f t="shared" si="38"/>
        <v>#DIV/0!</v>
      </c>
      <c r="AE33" s="700" t="str">
        <f t="shared" si="38"/>
        <v>#DIV/0!</v>
      </c>
    </row>
    <row r="34">
      <c r="A34" s="990"/>
      <c r="B34" s="990"/>
      <c r="C34" s="990"/>
      <c r="D34" s="990"/>
      <c r="E34" s="990"/>
      <c r="F34" s="990"/>
      <c r="G34" s="990"/>
      <c r="H34" s="990"/>
      <c r="I34" s="990"/>
      <c r="J34" s="990"/>
      <c r="K34" s="990"/>
      <c r="L34" s="990"/>
      <c r="M34" s="990"/>
      <c r="N34" s="990"/>
      <c r="O34" s="990"/>
      <c r="P34" s="990"/>
      <c r="Q34" s="990"/>
      <c r="R34" s="990"/>
      <c r="S34" s="993">
        <f t="shared" si="2"/>
        <v>0</v>
      </c>
      <c r="T34" s="990" t="str">
        <f t="shared" si="3"/>
        <v>#N/A</v>
      </c>
      <c r="U34" s="990" t="str">
        <f t="shared" si="4"/>
        <v>#N/A</v>
      </c>
      <c r="V34" s="990" t="str">
        <f t="shared" si="5"/>
        <v>#N/A</v>
      </c>
      <c r="W34" s="998">
        <f t="shared" si="6"/>
        <v>0</v>
      </c>
      <c r="X34" s="993" t="str">
        <f t="shared" si="7"/>
        <v>#DIV/0!</v>
      </c>
      <c r="Y34" s="993"/>
      <c r="AA34" s="955"/>
      <c r="AB34" s="955"/>
      <c r="AC34" s="700" t="str">
        <f t="shared" ref="AC34:AE34" si="39">(B34/$F34)</f>
        <v>#DIV/0!</v>
      </c>
      <c r="AD34" s="700" t="str">
        <f t="shared" si="39"/>
        <v>#DIV/0!</v>
      </c>
      <c r="AE34" s="700" t="str">
        <f t="shared" si="39"/>
        <v>#DIV/0!</v>
      </c>
    </row>
    <row r="35">
      <c r="A35" s="990"/>
      <c r="B35" s="990"/>
      <c r="C35" s="990"/>
      <c r="D35" s="990"/>
      <c r="E35" s="990"/>
      <c r="F35" s="990"/>
      <c r="G35" s="990"/>
      <c r="H35" s="990"/>
      <c r="I35" s="990"/>
      <c r="J35" s="990"/>
      <c r="K35" s="990"/>
      <c r="L35" s="990"/>
      <c r="M35" s="990"/>
      <c r="N35" s="990"/>
      <c r="O35" s="990"/>
      <c r="P35" s="990"/>
      <c r="Q35" s="990"/>
      <c r="R35" s="990"/>
      <c r="S35" s="993">
        <f t="shared" si="2"/>
        <v>0</v>
      </c>
      <c r="T35" s="990" t="str">
        <f t="shared" si="3"/>
        <v>#N/A</v>
      </c>
      <c r="U35" s="990" t="str">
        <f t="shared" si="4"/>
        <v>#N/A</v>
      </c>
      <c r="V35" s="990" t="str">
        <f t="shared" si="5"/>
        <v>#N/A</v>
      </c>
      <c r="W35" s="998">
        <f t="shared" si="6"/>
        <v>0</v>
      </c>
      <c r="X35" s="993" t="str">
        <f t="shared" si="7"/>
        <v>#DIV/0!</v>
      </c>
      <c r="Y35" s="993"/>
      <c r="AA35" s="955"/>
      <c r="AB35" s="955"/>
      <c r="AC35" s="700" t="str">
        <f t="shared" ref="AC35:AE35" si="40">(B35/$F35)</f>
        <v>#DIV/0!</v>
      </c>
      <c r="AD35" s="700" t="str">
        <f t="shared" si="40"/>
        <v>#DIV/0!</v>
      </c>
      <c r="AE35" s="700" t="str">
        <f t="shared" si="40"/>
        <v>#DIV/0!</v>
      </c>
    </row>
    <row r="36">
      <c r="A36" s="990"/>
      <c r="B36" s="990"/>
      <c r="C36" s="990"/>
      <c r="D36" s="990"/>
      <c r="E36" s="990"/>
      <c r="F36" s="990"/>
      <c r="G36" s="990"/>
      <c r="H36" s="990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3">
        <f t="shared" si="2"/>
        <v>0</v>
      </c>
      <c r="T36" s="990" t="str">
        <f t="shared" si="3"/>
        <v>#N/A</v>
      </c>
      <c r="U36" s="990" t="str">
        <f t="shared" si="4"/>
        <v>#N/A</v>
      </c>
      <c r="V36" s="990" t="str">
        <f t="shared" si="5"/>
        <v>#N/A</v>
      </c>
      <c r="W36" s="998">
        <f t="shared" si="6"/>
        <v>0</v>
      </c>
      <c r="X36" s="993" t="str">
        <f t="shared" si="7"/>
        <v>#DIV/0!</v>
      </c>
      <c r="Y36" s="993"/>
      <c r="AA36" s="955"/>
      <c r="AB36" s="955"/>
      <c r="AC36" s="700" t="str">
        <f t="shared" ref="AC36:AE36" si="41">(B36/$F36)</f>
        <v>#DIV/0!</v>
      </c>
      <c r="AD36" s="700" t="str">
        <f t="shared" si="41"/>
        <v>#DIV/0!</v>
      </c>
      <c r="AE36" s="700" t="str">
        <f t="shared" si="41"/>
        <v>#DIV/0!</v>
      </c>
    </row>
    <row r="37">
      <c r="A37" s="990"/>
      <c r="B37" s="990"/>
      <c r="C37" s="990"/>
      <c r="D37" s="990"/>
      <c r="E37" s="990"/>
      <c r="F37" s="990"/>
      <c r="G37" s="990"/>
      <c r="H37" s="990"/>
      <c r="I37" s="990"/>
      <c r="J37" s="990"/>
      <c r="K37" s="990"/>
      <c r="L37" s="990"/>
      <c r="M37" s="990"/>
      <c r="N37" s="990"/>
      <c r="O37" s="990"/>
      <c r="P37" s="990"/>
      <c r="Q37" s="990"/>
      <c r="R37" s="990"/>
      <c r="S37" s="993">
        <f t="shared" si="2"/>
        <v>0</v>
      </c>
      <c r="T37" s="990" t="str">
        <f t="shared" si="3"/>
        <v>#N/A</v>
      </c>
      <c r="U37" s="990" t="str">
        <f t="shared" si="4"/>
        <v>#N/A</v>
      </c>
      <c r="V37" s="990" t="str">
        <f t="shared" si="5"/>
        <v>#N/A</v>
      </c>
      <c r="W37" s="998">
        <f t="shared" si="6"/>
        <v>0</v>
      </c>
      <c r="X37" s="993" t="str">
        <f t="shared" si="7"/>
        <v>#DIV/0!</v>
      </c>
      <c r="Y37" s="993"/>
      <c r="AA37" s="955"/>
      <c r="AB37" s="955"/>
      <c r="AC37" s="700" t="str">
        <f t="shared" ref="AC37:AE37" si="42">(B37/$F37)</f>
        <v>#DIV/0!</v>
      </c>
      <c r="AD37" s="700" t="str">
        <f t="shared" si="42"/>
        <v>#DIV/0!</v>
      </c>
      <c r="AE37" s="700" t="str">
        <f t="shared" si="42"/>
        <v>#DIV/0!</v>
      </c>
    </row>
    <row r="38">
      <c r="A38" s="990"/>
      <c r="B38" s="990"/>
      <c r="C38" s="990"/>
      <c r="D38" s="990"/>
      <c r="E38" s="990"/>
      <c r="F38" s="990"/>
      <c r="G38" s="990"/>
      <c r="H38" s="990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993">
        <f t="shared" si="2"/>
        <v>0</v>
      </c>
      <c r="T38" s="990" t="str">
        <f t="shared" si="3"/>
        <v>#N/A</v>
      </c>
      <c r="U38" s="990" t="str">
        <f t="shared" si="4"/>
        <v>#N/A</v>
      </c>
      <c r="V38" s="990" t="str">
        <f t="shared" si="5"/>
        <v>#N/A</v>
      </c>
      <c r="W38" s="998">
        <f t="shared" si="6"/>
        <v>0</v>
      </c>
      <c r="X38" s="993" t="str">
        <f t="shared" si="7"/>
        <v>#DIV/0!</v>
      </c>
      <c r="Y38" s="993"/>
      <c r="AA38" s="955"/>
      <c r="AB38" s="955"/>
      <c r="AC38" s="700" t="str">
        <f t="shared" ref="AC38:AE38" si="43">(B38/$F38)</f>
        <v>#DIV/0!</v>
      </c>
      <c r="AD38" s="700" t="str">
        <f t="shared" si="43"/>
        <v>#DIV/0!</v>
      </c>
      <c r="AE38" s="700" t="str">
        <f t="shared" si="43"/>
        <v>#DIV/0!</v>
      </c>
    </row>
    <row r="39">
      <c r="A39" s="990"/>
      <c r="B39" s="990"/>
      <c r="C39" s="990"/>
      <c r="D39" s="990"/>
      <c r="E39" s="990"/>
      <c r="F39" s="990"/>
      <c r="G39" s="990"/>
      <c r="H39" s="990"/>
      <c r="I39" s="990"/>
      <c r="J39" s="990"/>
      <c r="K39" s="990"/>
      <c r="L39" s="990"/>
      <c r="M39" s="990"/>
      <c r="N39" s="990"/>
      <c r="O39" s="990"/>
      <c r="P39" s="990"/>
      <c r="Q39" s="990"/>
      <c r="R39" s="990"/>
      <c r="S39" s="993">
        <f t="shared" si="2"/>
        <v>0</v>
      </c>
      <c r="T39" s="990" t="str">
        <f t="shared" si="3"/>
        <v>#N/A</v>
      </c>
      <c r="U39" s="990" t="str">
        <f t="shared" si="4"/>
        <v>#N/A</v>
      </c>
      <c r="V39" s="990" t="str">
        <f t="shared" si="5"/>
        <v>#N/A</v>
      </c>
      <c r="W39" s="998">
        <f t="shared" si="6"/>
        <v>0</v>
      </c>
      <c r="X39" s="993" t="str">
        <f t="shared" si="7"/>
        <v>#DIV/0!</v>
      </c>
      <c r="Y39" s="993"/>
      <c r="AA39" s="955"/>
      <c r="AB39" s="955"/>
      <c r="AC39" s="700" t="str">
        <f t="shared" ref="AC39:AE39" si="44">(B39/$F39)</f>
        <v>#DIV/0!</v>
      </c>
      <c r="AD39" s="700" t="str">
        <f t="shared" si="44"/>
        <v>#DIV/0!</v>
      </c>
      <c r="AE39" s="700" t="str">
        <f t="shared" si="44"/>
        <v>#DIV/0!</v>
      </c>
    </row>
    <row r="40">
      <c r="A40" s="990"/>
      <c r="B40" s="990"/>
      <c r="C40" s="990"/>
      <c r="D40" s="990"/>
      <c r="E40" s="990"/>
      <c r="F40" s="990"/>
      <c r="G40" s="990"/>
      <c r="H40" s="990"/>
      <c r="I40" s="990"/>
      <c r="J40" s="990"/>
      <c r="K40" s="990"/>
      <c r="L40" s="990"/>
      <c r="M40" s="990"/>
      <c r="N40" s="990"/>
      <c r="O40" s="990"/>
      <c r="P40" s="990"/>
      <c r="Q40" s="990"/>
      <c r="R40" s="990"/>
      <c r="S40" s="993">
        <f t="shared" si="2"/>
        <v>0</v>
      </c>
      <c r="T40" s="990" t="str">
        <f t="shared" si="3"/>
        <v>#N/A</v>
      </c>
      <c r="U40" s="990" t="str">
        <f t="shared" si="4"/>
        <v>#N/A</v>
      </c>
      <c r="V40" s="990" t="str">
        <f t="shared" si="5"/>
        <v>#N/A</v>
      </c>
      <c r="W40" s="998">
        <f t="shared" si="6"/>
        <v>0</v>
      </c>
      <c r="X40" s="993" t="str">
        <f t="shared" si="7"/>
        <v>#DIV/0!</v>
      </c>
      <c r="Y40" s="993"/>
      <c r="AA40" s="955"/>
      <c r="AB40" s="955"/>
      <c r="AC40" s="700" t="str">
        <f t="shared" ref="AC40:AE40" si="45">(B40/$F40)</f>
        <v>#DIV/0!</v>
      </c>
      <c r="AD40" s="700" t="str">
        <f t="shared" si="45"/>
        <v>#DIV/0!</v>
      </c>
      <c r="AE40" s="700" t="str">
        <f t="shared" si="45"/>
        <v>#DIV/0!</v>
      </c>
    </row>
    <row r="41">
      <c r="A41" s="990"/>
      <c r="B41" s="990"/>
      <c r="C41" s="990"/>
      <c r="D41" s="990"/>
      <c r="E41" s="990"/>
      <c r="F41" s="990"/>
      <c r="G41" s="990"/>
      <c r="H41" s="990"/>
      <c r="I41" s="990"/>
      <c r="J41" s="990"/>
      <c r="K41" s="990"/>
      <c r="L41" s="990"/>
      <c r="M41" s="990"/>
      <c r="N41" s="990"/>
      <c r="O41" s="990"/>
      <c r="P41" s="990"/>
      <c r="Q41" s="990"/>
      <c r="R41" s="990"/>
      <c r="S41" s="993">
        <f t="shared" si="2"/>
        <v>0</v>
      </c>
      <c r="T41" s="990" t="str">
        <f t="shared" si="3"/>
        <v>#N/A</v>
      </c>
      <c r="U41" s="990" t="str">
        <f t="shared" si="4"/>
        <v>#N/A</v>
      </c>
      <c r="V41" s="990" t="str">
        <f t="shared" si="5"/>
        <v>#N/A</v>
      </c>
      <c r="W41" s="998">
        <f t="shared" si="6"/>
        <v>0</v>
      </c>
      <c r="X41" s="993" t="str">
        <f t="shared" si="7"/>
        <v>#DIV/0!</v>
      </c>
      <c r="Y41" s="993"/>
      <c r="AA41" s="955"/>
      <c r="AB41" s="955"/>
      <c r="AC41" s="700" t="str">
        <f t="shared" ref="AC41:AE41" si="46">(B41/$F41)</f>
        <v>#DIV/0!</v>
      </c>
      <c r="AD41" s="700" t="str">
        <f t="shared" si="46"/>
        <v>#DIV/0!</v>
      </c>
      <c r="AE41" s="700" t="str">
        <f t="shared" si="46"/>
        <v>#DIV/0!</v>
      </c>
    </row>
    <row r="42">
      <c r="A42" s="990"/>
      <c r="B42" s="990"/>
      <c r="C42" s="990"/>
      <c r="D42" s="990"/>
      <c r="E42" s="990"/>
      <c r="F42" s="990"/>
      <c r="G42" s="990"/>
      <c r="H42" s="990"/>
      <c r="I42" s="990"/>
      <c r="J42" s="990"/>
      <c r="K42" s="990"/>
      <c r="L42" s="990"/>
      <c r="M42" s="990"/>
      <c r="N42" s="990"/>
      <c r="O42" s="990"/>
      <c r="P42" s="990"/>
      <c r="Q42" s="990"/>
      <c r="R42" s="990"/>
      <c r="S42" s="993">
        <f t="shared" si="2"/>
        <v>0</v>
      </c>
      <c r="T42" s="990" t="str">
        <f t="shared" si="3"/>
        <v>#N/A</v>
      </c>
      <c r="U42" s="990" t="str">
        <f t="shared" si="4"/>
        <v>#N/A</v>
      </c>
      <c r="V42" s="990" t="str">
        <f t="shared" si="5"/>
        <v>#N/A</v>
      </c>
      <c r="W42" s="998">
        <f t="shared" si="6"/>
        <v>0</v>
      </c>
      <c r="X42" s="993" t="str">
        <f t="shared" si="7"/>
        <v>#DIV/0!</v>
      </c>
      <c r="Y42" s="993"/>
      <c r="AA42" s="955"/>
      <c r="AB42" s="955"/>
      <c r="AC42" s="700" t="str">
        <f t="shared" ref="AC42:AE42" si="47">(B42/$F42)</f>
        <v>#DIV/0!</v>
      </c>
      <c r="AD42" s="700" t="str">
        <f t="shared" si="47"/>
        <v>#DIV/0!</v>
      </c>
      <c r="AE42" s="700" t="str">
        <f t="shared" si="47"/>
        <v>#DIV/0!</v>
      </c>
    </row>
    <row r="43">
      <c r="A43" s="990"/>
      <c r="B43" s="990"/>
      <c r="C43" s="990"/>
      <c r="D43" s="990"/>
      <c r="E43" s="990"/>
      <c r="F43" s="990"/>
      <c r="G43" s="990"/>
      <c r="H43" s="990"/>
      <c r="I43" s="990"/>
      <c r="J43" s="990"/>
      <c r="K43" s="990"/>
      <c r="L43" s="990"/>
      <c r="M43" s="990"/>
      <c r="N43" s="990"/>
      <c r="O43" s="990"/>
      <c r="P43" s="990"/>
      <c r="Q43" s="990"/>
      <c r="R43" s="990"/>
      <c r="S43" s="993">
        <f t="shared" si="2"/>
        <v>0</v>
      </c>
      <c r="T43" s="990" t="str">
        <f t="shared" si="3"/>
        <v>#N/A</v>
      </c>
      <c r="U43" s="990" t="str">
        <f t="shared" si="4"/>
        <v>#N/A</v>
      </c>
      <c r="V43" s="990" t="str">
        <f t="shared" si="5"/>
        <v>#N/A</v>
      </c>
      <c r="W43" s="998">
        <f t="shared" si="6"/>
        <v>0</v>
      </c>
      <c r="X43" s="990" t="str">
        <f t="shared" si="7"/>
        <v>#DIV/0!</v>
      </c>
      <c r="Y43" s="990"/>
      <c r="AA43" s="955"/>
      <c r="AB43" s="955"/>
      <c r="AC43" s="700" t="str">
        <f t="shared" ref="AC43:AE43" si="48">(B43/$F43)</f>
        <v>#DIV/0!</v>
      </c>
      <c r="AD43" s="700" t="str">
        <f t="shared" si="48"/>
        <v>#DIV/0!</v>
      </c>
      <c r="AE43" s="700" t="str">
        <f t="shared" si="48"/>
        <v>#DIV/0!</v>
      </c>
    </row>
    <row r="44">
      <c r="A44" s="993"/>
      <c r="B44" s="994"/>
      <c r="C44" s="994"/>
      <c r="D44" s="994"/>
      <c r="E44" s="993"/>
      <c r="F44" s="994"/>
      <c r="G44" s="995"/>
      <c r="H44" s="994"/>
      <c r="I44" s="994"/>
      <c r="J44" s="993"/>
      <c r="K44" s="995"/>
      <c r="L44" s="996"/>
      <c r="M44" s="997"/>
      <c r="N44" s="996"/>
      <c r="O44" s="996"/>
      <c r="P44" s="996"/>
      <c r="Q44" s="996"/>
      <c r="R44" s="996"/>
      <c r="S44" s="993">
        <f t="shared" si="2"/>
        <v>0</v>
      </c>
      <c r="T44" s="990" t="str">
        <f t="shared" si="3"/>
        <v>#N/A</v>
      </c>
      <c r="U44" s="990" t="str">
        <f t="shared" si="4"/>
        <v>#N/A</v>
      </c>
      <c r="V44" s="990" t="str">
        <f t="shared" si="5"/>
        <v>#N/A</v>
      </c>
      <c r="W44" s="998">
        <f t="shared" si="6"/>
        <v>0</v>
      </c>
      <c r="X44" s="993" t="str">
        <f t="shared" si="7"/>
        <v>#DIV/0!</v>
      </c>
      <c r="Y44" s="993"/>
      <c r="AA44" s="955"/>
      <c r="AB44" s="955"/>
      <c r="AC44" s="700" t="str">
        <f t="shared" ref="AC44:AE44" si="49">(B44/$F44)</f>
        <v>#DIV/0!</v>
      </c>
      <c r="AD44" s="700" t="str">
        <f t="shared" si="49"/>
        <v>#DIV/0!</v>
      </c>
      <c r="AE44" s="700" t="str">
        <f t="shared" si="49"/>
        <v>#DIV/0!</v>
      </c>
    </row>
    <row r="45">
      <c r="A45" s="990"/>
      <c r="B45" s="994"/>
      <c r="C45" s="994"/>
      <c r="D45" s="994"/>
      <c r="E45" s="993"/>
      <c r="F45" s="994"/>
      <c r="G45" s="995"/>
      <c r="H45" s="994"/>
      <c r="I45" s="994"/>
      <c r="J45" s="993"/>
      <c r="K45" s="995"/>
      <c r="L45" s="996"/>
      <c r="M45" s="997"/>
      <c r="N45" s="996"/>
      <c r="O45" s="996"/>
      <c r="P45" s="996"/>
      <c r="Q45" s="996"/>
      <c r="R45" s="996"/>
      <c r="S45" s="993">
        <f t="shared" si="2"/>
        <v>0</v>
      </c>
      <c r="T45" s="990" t="str">
        <f t="shared" si="3"/>
        <v>#N/A</v>
      </c>
      <c r="U45" s="990" t="str">
        <f t="shared" si="4"/>
        <v>#N/A</v>
      </c>
      <c r="V45" s="990" t="str">
        <f t="shared" si="5"/>
        <v>#N/A</v>
      </c>
      <c r="W45" s="998">
        <f t="shared" si="6"/>
        <v>0</v>
      </c>
      <c r="X45" s="993" t="str">
        <f t="shared" si="7"/>
        <v>#DIV/0!</v>
      </c>
      <c r="Y45" s="993"/>
      <c r="AA45" s="955"/>
      <c r="AB45" s="955"/>
      <c r="AC45" s="700" t="str">
        <f t="shared" ref="AC45:AE45" si="50">(B45/$F45)</f>
        <v>#DIV/0!</v>
      </c>
      <c r="AD45" s="700" t="str">
        <f t="shared" si="50"/>
        <v>#DIV/0!</v>
      </c>
      <c r="AE45" s="700" t="str">
        <f t="shared" si="50"/>
        <v>#DIV/0!</v>
      </c>
    </row>
    <row r="46">
      <c r="A46" s="990"/>
      <c r="B46" s="994"/>
      <c r="C46" s="994"/>
      <c r="D46" s="994"/>
      <c r="E46" s="993"/>
      <c r="F46" s="994"/>
      <c r="G46" s="995"/>
      <c r="H46" s="994"/>
      <c r="I46" s="994"/>
      <c r="J46" s="993"/>
      <c r="K46" s="995"/>
      <c r="L46" s="996"/>
      <c r="M46" s="997"/>
      <c r="N46" s="996"/>
      <c r="O46" s="996"/>
      <c r="P46" s="996"/>
      <c r="Q46" s="996"/>
      <c r="R46" s="996"/>
      <c r="S46" s="993">
        <f t="shared" si="2"/>
        <v>0</v>
      </c>
      <c r="T46" s="990" t="str">
        <f t="shared" si="3"/>
        <v>#N/A</v>
      </c>
      <c r="U46" s="990" t="str">
        <f t="shared" si="4"/>
        <v>#N/A</v>
      </c>
      <c r="V46" s="990" t="str">
        <f t="shared" si="5"/>
        <v>#N/A</v>
      </c>
      <c r="W46" s="998">
        <f t="shared" si="6"/>
        <v>0</v>
      </c>
      <c r="X46" s="993" t="str">
        <f t="shared" si="7"/>
        <v>#DIV/0!</v>
      </c>
      <c r="Y46" s="993"/>
      <c r="AA46" s="955"/>
      <c r="AB46" s="955"/>
      <c r="AC46" s="700" t="str">
        <f t="shared" ref="AC46:AE46" si="51">(B46/$F46)</f>
        <v>#DIV/0!</v>
      </c>
      <c r="AD46" s="700" t="str">
        <f t="shared" si="51"/>
        <v>#DIV/0!</v>
      </c>
      <c r="AE46" s="700" t="str">
        <f t="shared" si="51"/>
        <v>#DIV/0!</v>
      </c>
    </row>
    <row r="47">
      <c r="A47" s="990"/>
      <c r="B47" s="994"/>
      <c r="C47" s="994"/>
      <c r="D47" s="994"/>
      <c r="E47" s="993"/>
      <c r="F47" s="994"/>
      <c r="G47" s="995"/>
      <c r="H47" s="994"/>
      <c r="I47" s="994"/>
      <c r="J47" s="993"/>
      <c r="K47" s="995"/>
      <c r="L47" s="996"/>
      <c r="M47" s="997"/>
      <c r="N47" s="996"/>
      <c r="O47" s="996"/>
      <c r="P47" s="996"/>
      <c r="Q47" s="996"/>
      <c r="R47" s="996"/>
      <c r="S47" s="993">
        <f t="shared" si="2"/>
        <v>0</v>
      </c>
      <c r="T47" s="990" t="str">
        <f t="shared" si="3"/>
        <v>#N/A</v>
      </c>
      <c r="U47" s="990" t="str">
        <f t="shared" si="4"/>
        <v>#N/A</v>
      </c>
      <c r="V47" s="990" t="str">
        <f t="shared" si="5"/>
        <v>#N/A</v>
      </c>
      <c r="W47" s="998">
        <f t="shared" si="6"/>
        <v>0</v>
      </c>
      <c r="X47" s="993" t="str">
        <f t="shared" si="7"/>
        <v>#DIV/0!</v>
      </c>
      <c r="Y47" s="993"/>
      <c r="AA47" s="955"/>
      <c r="AB47" s="955"/>
      <c r="AC47" s="700" t="str">
        <f t="shared" ref="AC47:AE47" si="52">(B47/$F47)</f>
        <v>#DIV/0!</v>
      </c>
      <c r="AD47" s="700" t="str">
        <f t="shared" si="52"/>
        <v>#DIV/0!</v>
      </c>
      <c r="AE47" s="700" t="str">
        <f t="shared" si="52"/>
        <v>#DIV/0!</v>
      </c>
    </row>
    <row r="48">
      <c r="A48" s="990"/>
      <c r="B48" s="994"/>
      <c r="C48" s="994"/>
      <c r="D48" s="994"/>
      <c r="E48" s="993"/>
      <c r="F48" s="994"/>
      <c r="G48" s="995"/>
      <c r="H48" s="994"/>
      <c r="I48" s="994"/>
      <c r="J48" s="993"/>
      <c r="K48" s="995"/>
      <c r="L48" s="996"/>
      <c r="M48" s="997"/>
      <c r="N48" s="996"/>
      <c r="O48" s="996"/>
      <c r="P48" s="996"/>
      <c r="Q48" s="996"/>
      <c r="R48" s="996"/>
      <c r="S48" s="993">
        <f t="shared" si="2"/>
        <v>0</v>
      </c>
      <c r="T48" s="990" t="str">
        <f t="shared" si="3"/>
        <v>#N/A</v>
      </c>
      <c r="U48" s="990" t="str">
        <f t="shared" si="4"/>
        <v>#N/A</v>
      </c>
      <c r="V48" s="990" t="str">
        <f t="shared" si="5"/>
        <v>#N/A</v>
      </c>
      <c r="W48" s="998">
        <f t="shared" si="6"/>
        <v>0</v>
      </c>
      <c r="X48" s="993" t="str">
        <f t="shared" si="7"/>
        <v>#DIV/0!</v>
      </c>
      <c r="Y48" s="993"/>
      <c r="AA48" s="955"/>
      <c r="AB48" s="955"/>
      <c r="AC48" s="700" t="str">
        <f t="shared" ref="AC48:AE48" si="53">(B48/$F48)</f>
        <v>#DIV/0!</v>
      </c>
      <c r="AD48" s="700" t="str">
        <f t="shared" si="53"/>
        <v>#DIV/0!</v>
      </c>
      <c r="AE48" s="700" t="str">
        <f t="shared" si="53"/>
        <v>#DIV/0!</v>
      </c>
    </row>
    <row r="49">
      <c r="A49" s="990"/>
      <c r="B49" s="994"/>
      <c r="C49" s="994"/>
      <c r="D49" s="994"/>
      <c r="E49" s="993"/>
      <c r="F49" s="994"/>
      <c r="G49" s="995"/>
      <c r="H49" s="994"/>
      <c r="I49" s="994"/>
      <c r="J49" s="993"/>
      <c r="K49" s="995"/>
      <c r="L49" s="996"/>
      <c r="M49" s="997"/>
      <c r="N49" s="996"/>
      <c r="O49" s="996"/>
      <c r="P49" s="996"/>
      <c r="Q49" s="996"/>
      <c r="R49" s="996"/>
      <c r="S49" s="993">
        <f t="shared" si="2"/>
        <v>0</v>
      </c>
      <c r="T49" s="990" t="str">
        <f t="shared" si="3"/>
        <v>#N/A</v>
      </c>
      <c r="U49" s="990" t="str">
        <f t="shared" si="4"/>
        <v>#N/A</v>
      </c>
      <c r="V49" s="990" t="str">
        <f t="shared" si="5"/>
        <v>#N/A</v>
      </c>
      <c r="W49" s="998">
        <f t="shared" si="6"/>
        <v>0</v>
      </c>
      <c r="X49" s="993" t="str">
        <f t="shared" si="7"/>
        <v>#DIV/0!</v>
      </c>
      <c r="Y49" s="993"/>
      <c r="AA49" s="955"/>
      <c r="AB49" s="955"/>
      <c r="AC49" s="700" t="str">
        <f t="shared" ref="AC49:AE49" si="54">(B49/$F49)</f>
        <v>#DIV/0!</v>
      </c>
      <c r="AD49" s="700" t="str">
        <f t="shared" si="54"/>
        <v>#DIV/0!</v>
      </c>
      <c r="AE49" s="700" t="str">
        <f t="shared" si="54"/>
        <v>#DIV/0!</v>
      </c>
    </row>
    <row r="50">
      <c r="A50" s="990"/>
      <c r="B50" s="994"/>
      <c r="C50" s="994"/>
      <c r="D50" s="994"/>
      <c r="E50" s="993"/>
      <c r="F50" s="994"/>
      <c r="G50" s="995"/>
      <c r="H50" s="994"/>
      <c r="I50" s="994"/>
      <c r="J50" s="993"/>
      <c r="K50" s="995"/>
      <c r="L50" s="996"/>
      <c r="M50" s="997"/>
      <c r="N50" s="996"/>
      <c r="O50" s="996"/>
      <c r="P50" s="996"/>
      <c r="Q50" s="996"/>
      <c r="R50" s="996"/>
      <c r="S50" s="993">
        <f t="shared" si="2"/>
        <v>0</v>
      </c>
      <c r="T50" s="990" t="str">
        <f t="shared" si="3"/>
        <v>#N/A</v>
      </c>
      <c r="U50" s="990" t="str">
        <f t="shared" si="4"/>
        <v>#N/A</v>
      </c>
      <c r="V50" s="990" t="str">
        <f t="shared" si="5"/>
        <v>#N/A</v>
      </c>
      <c r="W50" s="998">
        <f t="shared" si="6"/>
        <v>0</v>
      </c>
      <c r="X50" s="993" t="str">
        <f t="shared" si="7"/>
        <v>#DIV/0!</v>
      </c>
      <c r="Y50" s="993"/>
      <c r="AA50" s="955"/>
      <c r="AB50" s="955"/>
      <c r="AC50" s="700" t="str">
        <f t="shared" ref="AC50:AE50" si="55">(B50/$F50)</f>
        <v>#DIV/0!</v>
      </c>
      <c r="AD50" s="700" t="str">
        <f t="shared" si="55"/>
        <v>#DIV/0!</v>
      </c>
      <c r="AE50" s="700" t="str">
        <f t="shared" si="55"/>
        <v>#DIV/0!</v>
      </c>
    </row>
    <row r="51">
      <c r="A51" s="990"/>
      <c r="B51" s="994"/>
      <c r="C51" s="994"/>
      <c r="D51" s="994"/>
      <c r="E51" s="993"/>
      <c r="F51" s="994"/>
      <c r="G51" s="995"/>
      <c r="H51" s="994"/>
      <c r="I51" s="994"/>
      <c r="J51" s="993"/>
      <c r="K51" s="995"/>
      <c r="L51" s="996"/>
      <c r="M51" s="997"/>
      <c r="N51" s="996"/>
      <c r="O51" s="996"/>
      <c r="P51" s="996"/>
      <c r="Q51" s="996"/>
      <c r="R51" s="996"/>
      <c r="S51" s="993">
        <f t="shared" si="2"/>
        <v>0</v>
      </c>
      <c r="T51" s="990" t="str">
        <f t="shared" si="3"/>
        <v>#N/A</v>
      </c>
      <c r="U51" s="990" t="str">
        <f t="shared" si="4"/>
        <v>#N/A</v>
      </c>
      <c r="V51" s="990" t="str">
        <f t="shared" si="5"/>
        <v>#N/A</v>
      </c>
      <c r="W51" s="998">
        <f t="shared" si="6"/>
        <v>0</v>
      </c>
      <c r="X51" s="993" t="str">
        <f t="shared" si="7"/>
        <v>#DIV/0!</v>
      </c>
      <c r="Y51" s="993"/>
      <c r="AA51" s="955"/>
      <c r="AB51" s="955"/>
      <c r="AC51" s="700" t="str">
        <f t="shared" ref="AC51:AE51" si="56">(B51/$F51)</f>
        <v>#DIV/0!</v>
      </c>
      <c r="AD51" s="700" t="str">
        <f t="shared" si="56"/>
        <v>#DIV/0!</v>
      </c>
      <c r="AE51" s="700" t="str">
        <f t="shared" si="56"/>
        <v>#DIV/0!</v>
      </c>
    </row>
    <row r="52">
      <c r="A52" s="990"/>
      <c r="B52" s="994"/>
      <c r="C52" s="994"/>
      <c r="D52" s="994"/>
      <c r="E52" s="993"/>
      <c r="F52" s="994"/>
      <c r="G52" s="995"/>
      <c r="H52" s="994"/>
      <c r="I52" s="994"/>
      <c r="J52" s="993"/>
      <c r="K52" s="995"/>
      <c r="L52" s="996"/>
      <c r="M52" s="997"/>
      <c r="N52" s="996"/>
      <c r="O52" s="996"/>
      <c r="P52" s="996"/>
      <c r="Q52" s="996"/>
      <c r="R52" s="996"/>
      <c r="S52" s="993">
        <f t="shared" si="2"/>
        <v>0</v>
      </c>
      <c r="T52" s="990" t="str">
        <f t="shared" si="3"/>
        <v>#N/A</v>
      </c>
      <c r="U52" s="990" t="str">
        <f t="shared" si="4"/>
        <v>#N/A</v>
      </c>
      <c r="V52" s="990" t="str">
        <f t="shared" si="5"/>
        <v>#N/A</v>
      </c>
      <c r="W52" s="998">
        <f t="shared" si="6"/>
        <v>0</v>
      </c>
      <c r="X52" s="993" t="str">
        <f t="shared" si="7"/>
        <v>#DIV/0!</v>
      </c>
      <c r="Y52" s="993"/>
      <c r="AA52" s="955"/>
      <c r="AB52" s="955"/>
      <c r="AC52" s="700" t="str">
        <f t="shared" ref="AC52:AE52" si="57">(B52/$F52)</f>
        <v>#DIV/0!</v>
      </c>
      <c r="AD52" s="700" t="str">
        <f t="shared" si="57"/>
        <v>#DIV/0!</v>
      </c>
      <c r="AE52" s="700" t="str">
        <f t="shared" si="57"/>
        <v>#DIV/0!</v>
      </c>
    </row>
    <row r="53">
      <c r="A53" s="990"/>
      <c r="B53" s="994"/>
      <c r="C53" s="994"/>
      <c r="D53" s="994"/>
      <c r="E53" s="993"/>
      <c r="F53" s="994"/>
      <c r="G53" s="995"/>
      <c r="H53" s="994"/>
      <c r="I53" s="994"/>
      <c r="J53" s="993"/>
      <c r="K53" s="995"/>
      <c r="L53" s="996"/>
      <c r="M53" s="997"/>
      <c r="N53" s="996"/>
      <c r="O53" s="996"/>
      <c r="P53" s="996"/>
      <c r="Q53" s="996"/>
      <c r="R53" s="996"/>
      <c r="S53" s="993">
        <f t="shared" si="2"/>
        <v>0</v>
      </c>
      <c r="T53" s="990" t="str">
        <f t="shared" si="3"/>
        <v>#N/A</v>
      </c>
      <c r="U53" s="990" t="str">
        <f t="shared" si="4"/>
        <v>#N/A</v>
      </c>
      <c r="V53" s="990" t="str">
        <f t="shared" si="5"/>
        <v>#N/A</v>
      </c>
      <c r="W53" s="998">
        <f t="shared" si="6"/>
        <v>0</v>
      </c>
      <c r="X53" s="993" t="str">
        <f t="shared" si="7"/>
        <v>#DIV/0!</v>
      </c>
      <c r="Y53" s="993"/>
      <c r="AA53" s="955"/>
      <c r="AB53" s="955"/>
      <c r="AC53" s="700"/>
    </row>
    <row r="54">
      <c r="A54" s="990"/>
      <c r="B54" s="994"/>
      <c r="C54" s="994"/>
      <c r="D54" s="994"/>
      <c r="E54" s="993"/>
      <c r="F54" s="994"/>
      <c r="G54" s="995"/>
      <c r="H54" s="994"/>
      <c r="I54" s="994"/>
      <c r="J54" s="993"/>
      <c r="K54" s="995"/>
      <c r="L54" s="996"/>
      <c r="M54" s="997"/>
      <c r="N54" s="996"/>
      <c r="O54" s="996"/>
      <c r="P54" s="996"/>
      <c r="Q54" s="996"/>
      <c r="R54" s="996"/>
      <c r="S54" s="993"/>
      <c r="T54" s="990"/>
      <c r="U54" s="990"/>
      <c r="V54" s="990"/>
      <c r="W54" s="998"/>
      <c r="X54" s="993"/>
      <c r="Y54" s="993"/>
      <c r="AA54" s="955"/>
      <c r="AB54" s="955"/>
      <c r="AC54" s="700"/>
    </row>
    <row r="55">
      <c r="A55" s="990"/>
      <c r="B55" s="994"/>
      <c r="C55" s="994"/>
      <c r="D55" s="994"/>
      <c r="E55" s="993"/>
      <c r="F55" s="994"/>
      <c r="G55" s="995"/>
      <c r="H55" s="994"/>
      <c r="I55" s="994"/>
      <c r="J55" s="993"/>
      <c r="K55" s="995"/>
      <c r="L55" s="996"/>
      <c r="M55" s="997"/>
      <c r="N55" s="996"/>
      <c r="O55" s="996"/>
      <c r="P55" s="996"/>
      <c r="Q55" s="996"/>
      <c r="R55" s="996"/>
      <c r="S55" s="993"/>
      <c r="T55" s="990"/>
      <c r="U55" s="990"/>
      <c r="V55" s="990"/>
      <c r="W55" s="998"/>
      <c r="X55" s="993"/>
      <c r="Y55" s="993"/>
      <c r="AA55" s="955"/>
      <c r="AB55" s="955"/>
      <c r="AC55" s="700"/>
    </row>
    <row r="56">
      <c r="A56" s="990"/>
      <c r="B56" s="994"/>
      <c r="C56" s="994"/>
      <c r="D56" s="994"/>
      <c r="E56" s="993"/>
      <c r="F56" s="994"/>
      <c r="G56" s="995"/>
      <c r="H56" s="994"/>
      <c r="I56" s="994"/>
      <c r="J56" s="993"/>
      <c r="K56" s="995"/>
      <c r="L56" s="996"/>
      <c r="M56" s="997"/>
      <c r="N56" s="996"/>
      <c r="O56" s="996"/>
      <c r="P56" s="996"/>
      <c r="Q56" s="996"/>
      <c r="R56" s="996"/>
      <c r="S56" s="993"/>
      <c r="T56" s="990"/>
      <c r="U56" s="990"/>
      <c r="V56" s="990"/>
      <c r="W56" s="998"/>
      <c r="X56" s="993"/>
      <c r="Y56" s="993"/>
      <c r="AA56" s="955"/>
      <c r="AB56" s="955"/>
      <c r="AC56" s="700"/>
    </row>
    <row r="57">
      <c r="A57" s="990"/>
      <c r="B57" s="994"/>
      <c r="C57" s="994"/>
      <c r="D57" s="994"/>
      <c r="E57" s="993"/>
      <c r="F57" s="994"/>
      <c r="G57" s="995"/>
      <c r="H57" s="994"/>
      <c r="I57" s="994"/>
      <c r="J57" s="993"/>
      <c r="K57" s="995"/>
      <c r="L57" s="996"/>
      <c r="M57" s="997"/>
      <c r="N57" s="996"/>
      <c r="O57" s="996"/>
      <c r="P57" s="996"/>
      <c r="Q57" s="996"/>
      <c r="R57" s="996"/>
      <c r="S57" s="993"/>
      <c r="T57" s="990"/>
      <c r="U57" s="990"/>
      <c r="V57" s="990"/>
      <c r="W57" s="998"/>
      <c r="X57" s="993"/>
      <c r="Y57" s="993"/>
      <c r="AA57" s="955"/>
      <c r="AB57" s="955"/>
      <c r="AC57" s="700"/>
    </row>
    <row r="58">
      <c r="A58" s="990"/>
      <c r="B58" s="994"/>
      <c r="C58" s="994"/>
      <c r="D58" s="994"/>
      <c r="E58" s="993"/>
      <c r="F58" s="994"/>
      <c r="G58" s="995"/>
      <c r="H58" s="994"/>
      <c r="I58" s="994"/>
      <c r="J58" s="993"/>
      <c r="K58" s="995"/>
      <c r="L58" s="996"/>
      <c r="M58" s="997"/>
      <c r="N58" s="996"/>
      <c r="O58" s="996"/>
      <c r="P58" s="996"/>
      <c r="Q58" s="996"/>
      <c r="R58" s="996"/>
      <c r="S58" s="993"/>
      <c r="T58" s="990"/>
      <c r="U58" s="990"/>
      <c r="V58" s="990"/>
      <c r="W58" s="998"/>
      <c r="X58" s="993"/>
      <c r="Y58" s="993"/>
      <c r="AA58" s="955"/>
      <c r="AB58" s="955"/>
      <c r="AC58" s="700"/>
    </row>
    <row r="59">
      <c r="A59" s="990"/>
      <c r="B59" s="994"/>
      <c r="C59" s="994"/>
      <c r="D59" s="994"/>
      <c r="E59" s="993"/>
      <c r="F59" s="994"/>
      <c r="G59" s="995"/>
      <c r="H59" s="994"/>
      <c r="I59" s="994"/>
      <c r="J59" s="993"/>
      <c r="K59" s="995"/>
      <c r="L59" s="996"/>
      <c r="M59" s="997"/>
      <c r="N59" s="996"/>
      <c r="O59" s="996"/>
      <c r="P59" s="996"/>
      <c r="Q59" s="996"/>
      <c r="R59" s="996"/>
      <c r="S59" s="993"/>
      <c r="T59" s="990"/>
      <c r="U59" s="990"/>
      <c r="V59" s="990"/>
      <c r="W59" s="998"/>
      <c r="X59" s="993"/>
      <c r="Y59" s="993"/>
      <c r="AA59" s="955"/>
      <c r="AB59" s="955"/>
      <c r="AC59" s="700"/>
    </row>
    <row r="60">
      <c r="A60" s="955"/>
      <c r="B60" s="955"/>
      <c r="C60" s="955"/>
      <c r="D60" s="955"/>
      <c r="E60" s="955"/>
      <c r="F60" s="955"/>
      <c r="G60" s="955"/>
      <c r="H60" s="955"/>
      <c r="I60" s="955"/>
      <c r="J60" s="955"/>
      <c r="K60" s="955"/>
      <c r="L60" s="955"/>
      <c r="M60" s="955"/>
      <c r="N60" s="955"/>
      <c r="O60" s="955"/>
      <c r="P60" s="955"/>
      <c r="Q60" s="955"/>
      <c r="R60" s="955"/>
      <c r="W60" s="1000"/>
      <c r="AA60" s="955"/>
      <c r="AB60" s="955"/>
      <c r="AC60" s="700"/>
    </row>
    <row r="61">
      <c r="A61" s="955"/>
      <c r="B61" s="955"/>
      <c r="C61" s="955"/>
      <c r="D61" s="955"/>
      <c r="E61" s="955"/>
      <c r="F61" s="955"/>
      <c r="G61" s="955"/>
      <c r="H61" s="955"/>
      <c r="I61" s="955"/>
      <c r="J61" s="955"/>
      <c r="K61" s="955"/>
      <c r="L61" s="955"/>
      <c r="M61" s="955"/>
      <c r="N61" s="955"/>
      <c r="O61" s="955"/>
      <c r="P61" s="955"/>
      <c r="Q61" s="955"/>
      <c r="R61" s="955"/>
      <c r="W61" s="1000"/>
      <c r="AC61" s="700"/>
    </row>
    <row r="62">
      <c r="A62" s="955"/>
      <c r="B62" s="955"/>
      <c r="C62" s="955"/>
      <c r="D62" s="955"/>
      <c r="E62" s="955"/>
      <c r="F62" s="955"/>
      <c r="G62" s="955"/>
      <c r="H62" s="955"/>
      <c r="I62" s="955"/>
      <c r="J62" s="955"/>
      <c r="K62" s="955"/>
      <c r="L62" s="955"/>
      <c r="M62" s="955"/>
      <c r="N62" s="955"/>
      <c r="O62" s="955"/>
      <c r="P62" s="955"/>
      <c r="Q62" s="955"/>
      <c r="R62" s="955"/>
      <c r="W62" s="1000"/>
      <c r="AC62" s="700"/>
    </row>
    <row r="63">
      <c r="A63" s="955"/>
      <c r="B63" s="955"/>
      <c r="C63" s="955"/>
      <c r="D63" s="955"/>
      <c r="E63" s="955"/>
      <c r="F63" s="955"/>
      <c r="G63" s="955"/>
      <c r="H63" s="955"/>
      <c r="I63" s="955"/>
      <c r="J63" s="955"/>
      <c r="K63" s="955"/>
      <c r="L63" s="955"/>
      <c r="M63" s="955"/>
      <c r="N63" s="955"/>
      <c r="O63" s="955"/>
      <c r="P63" s="955"/>
      <c r="Q63" s="955"/>
      <c r="R63" s="955"/>
      <c r="W63" s="1000"/>
      <c r="AC63" s="700"/>
    </row>
    <row r="64">
      <c r="A64" s="955"/>
      <c r="B64" s="955"/>
      <c r="C64" s="955"/>
      <c r="D64" s="955"/>
      <c r="E64" s="955"/>
      <c r="F64" s="955"/>
      <c r="G64" s="955"/>
      <c r="H64" s="955"/>
      <c r="I64" s="955"/>
      <c r="J64" s="955"/>
      <c r="K64" s="955"/>
      <c r="L64" s="955"/>
      <c r="M64" s="955"/>
      <c r="N64" s="955"/>
      <c r="O64" s="955"/>
      <c r="P64" s="955"/>
      <c r="Q64" s="955"/>
      <c r="R64" s="955"/>
      <c r="W64" s="1000"/>
      <c r="AC64" s="700"/>
    </row>
    <row r="65">
      <c r="A65" s="955"/>
      <c r="B65" s="955"/>
      <c r="C65" s="955"/>
      <c r="D65" s="955"/>
      <c r="E65" s="955"/>
      <c r="F65" s="955"/>
      <c r="G65" s="955"/>
      <c r="H65" s="955"/>
      <c r="I65" s="955"/>
      <c r="J65" s="955"/>
      <c r="K65" s="955"/>
      <c r="L65" s="955"/>
      <c r="M65" s="955"/>
      <c r="N65" s="955"/>
      <c r="O65" s="955"/>
      <c r="P65" s="955"/>
      <c r="Q65" s="955"/>
      <c r="R65" s="955"/>
      <c r="W65" s="1000"/>
      <c r="AC65" s="700"/>
    </row>
    <row r="66">
      <c r="A66" s="955"/>
      <c r="B66" s="955"/>
      <c r="C66" s="955"/>
      <c r="D66" s="955"/>
      <c r="E66" s="955"/>
      <c r="F66" s="955"/>
      <c r="G66" s="955"/>
      <c r="H66" s="955"/>
      <c r="I66" s="955"/>
      <c r="J66" s="955"/>
      <c r="K66" s="955"/>
      <c r="L66" s="955"/>
      <c r="M66" s="955"/>
      <c r="N66" s="955"/>
      <c r="O66" s="955"/>
      <c r="P66" s="955"/>
      <c r="Q66" s="955"/>
      <c r="R66" s="955"/>
      <c r="W66" s="1000"/>
      <c r="AC66" s="700"/>
    </row>
    <row r="67">
      <c r="A67" s="955"/>
      <c r="B67" s="955"/>
      <c r="C67" s="955"/>
      <c r="D67" s="955"/>
      <c r="E67" s="955"/>
      <c r="F67" s="955"/>
      <c r="G67" s="955"/>
      <c r="H67" s="955"/>
      <c r="I67" s="955"/>
      <c r="J67" s="955"/>
      <c r="K67" s="955"/>
      <c r="L67" s="955"/>
      <c r="M67" s="955"/>
      <c r="N67" s="955"/>
      <c r="O67" s="955"/>
      <c r="P67" s="955"/>
      <c r="Q67" s="955"/>
      <c r="R67" s="955"/>
      <c r="W67" s="1000"/>
      <c r="AC67" s="700"/>
    </row>
    <row r="68">
      <c r="A68" s="955"/>
      <c r="B68" s="955"/>
      <c r="C68" s="955"/>
      <c r="D68" s="955"/>
      <c r="E68" s="955"/>
      <c r="F68" s="955"/>
      <c r="G68" s="955"/>
      <c r="H68" s="955"/>
      <c r="I68" s="955"/>
      <c r="J68" s="955"/>
      <c r="K68" s="955"/>
      <c r="L68" s="955"/>
      <c r="M68" s="955"/>
      <c r="N68" s="955"/>
      <c r="O68" s="955"/>
      <c r="P68" s="955"/>
      <c r="Q68" s="955"/>
      <c r="R68" s="955"/>
      <c r="W68" s="1000"/>
      <c r="AC68" s="700"/>
    </row>
    <row r="69">
      <c r="A69" s="955"/>
      <c r="B69" s="955"/>
      <c r="C69" s="955"/>
      <c r="D69" s="955"/>
      <c r="E69" s="955"/>
      <c r="F69" s="955"/>
      <c r="G69" s="955"/>
      <c r="H69" s="955"/>
      <c r="I69" s="955"/>
      <c r="J69" s="955"/>
      <c r="K69" s="955"/>
      <c r="L69" s="955"/>
      <c r="M69" s="955"/>
      <c r="N69" s="955"/>
      <c r="O69" s="955"/>
      <c r="P69" s="955"/>
      <c r="Q69" s="955"/>
      <c r="R69" s="955"/>
      <c r="W69" s="1000"/>
      <c r="AC69" s="700"/>
    </row>
    <row r="70">
      <c r="A70" s="955"/>
      <c r="B70" s="955"/>
      <c r="C70" s="955"/>
      <c r="D70" s="955"/>
      <c r="E70" s="955"/>
      <c r="F70" s="955"/>
      <c r="G70" s="955"/>
      <c r="H70" s="955"/>
      <c r="I70" s="955"/>
      <c r="J70" s="955"/>
      <c r="K70" s="955"/>
      <c r="L70" s="955"/>
      <c r="M70" s="955"/>
      <c r="N70" s="955"/>
      <c r="O70" s="955"/>
      <c r="P70" s="955"/>
      <c r="Q70" s="955"/>
      <c r="R70" s="955"/>
      <c r="W70" s="1000"/>
      <c r="AC70" s="700"/>
    </row>
    <row r="71">
      <c r="A71" s="955"/>
      <c r="B71" s="955"/>
      <c r="C71" s="955"/>
      <c r="D71" s="955"/>
      <c r="E71" s="955"/>
      <c r="F71" s="955"/>
      <c r="G71" s="955"/>
      <c r="H71" s="955"/>
      <c r="I71" s="955"/>
      <c r="J71" s="955"/>
      <c r="K71" s="955"/>
      <c r="L71" s="955"/>
      <c r="M71" s="955"/>
      <c r="N71" s="955"/>
      <c r="O71" s="955"/>
      <c r="P71" s="955"/>
      <c r="Q71" s="955"/>
      <c r="R71" s="955"/>
      <c r="W71" s="1000"/>
      <c r="AC71" s="700"/>
    </row>
    <row r="72">
      <c r="A72" s="955"/>
      <c r="B72" s="955"/>
      <c r="C72" s="955"/>
      <c r="D72" s="955"/>
      <c r="E72" s="955"/>
      <c r="F72" s="955"/>
      <c r="G72" s="955"/>
      <c r="H72" s="955"/>
      <c r="I72" s="955"/>
      <c r="J72" s="955"/>
      <c r="K72" s="955"/>
      <c r="L72" s="955"/>
      <c r="M72" s="955"/>
      <c r="N72" s="955"/>
      <c r="O72" s="955"/>
      <c r="P72" s="955"/>
      <c r="Q72" s="955"/>
      <c r="R72" s="955"/>
      <c r="W72" s="1000"/>
      <c r="AC72" s="700"/>
    </row>
    <row r="73">
      <c r="A73" s="955"/>
      <c r="B73" s="955"/>
      <c r="C73" s="955"/>
      <c r="D73" s="955"/>
      <c r="E73" s="955"/>
      <c r="F73" s="955"/>
      <c r="G73" s="955"/>
      <c r="H73" s="955"/>
      <c r="I73" s="955"/>
      <c r="J73" s="955"/>
      <c r="K73" s="955"/>
      <c r="L73" s="955"/>
      <c r="M73" s="955"/>
      <c r="N73" s="955"/>
      <c r="O73" s="955"/>
      <c r="P73" s="955"/>
      <c r="Q73" s="955"/>
      <c r="R73" s="955"/>
      <c r="W73" s="1000"/>
      <c r="AC73" s="700"/>
    </row>
    <row r="74">
      <c r="A74" s="955"/>
      <c r="B74" s="955"/>
      <c r="C74" s="955"/>
      <c r="D74" s="955"/>
      <c r="E74" s="955"/>
      <c r="F74" s="955"/>
      <c r="G74" s="955"/>
      <c r="H74" s="955"/>
      <c r="I74" s="955"/>
      <c r="J74" s="955"/>
      <c r="K74" s="955"/>
      <c r="L74" s="955"/>
      <c r="M74" s="955"/>
      <c r="N74" s="955"/>
      <c r="O74" s="955"/>
      <c r="P74" s="955"/>
      <c r="Q74" s="955"/>
      <c r="R74" s="955"/>
      <c r="W74" s="1000"/>
      <c r="AC74" s="700"/>
    </row>
    <row r="75">
      <c r="A75" s="955"/>
      <c r="B75" s="955"/>
      <c r="C75" s="955"/>
      <c r="D75" s="955"/>
      <c r="E75" s="955"/>
      <c r="F75" s="955"/>
      <c r="G75" s="955"/>
      <c r="H75" s="955"/>
      <c r="I75" s="955"/>
      <c r="J75" s="955"/>
      <c r="K75" s="955"/>
      <c r="L75" s="955"/>
      <c r="M75" s="955"/>
      <c r="N75" s="955"/>
      <c r="O75" s="955"/>
      <c r="P75" s="955"/>
      <c r="Q75" s="955"/>
      <c r="R75" s="955"/>
      <c r="W75" s="1000"/>
      <c r="AC75" s="700"/>
    </row>
    <row r="76">
      <c r="A76" s="955"/>
      <c r="B76" s="955"/>
      <c r="C76" s="955"/>
      <c r="D76" s="955"/>
      <c r="E76" s="955"/>
      <c r="F76" s="955"/>
      <c r="G76" s="955"/>
      <c r="H76" s="955"/>
      <c r="I76" s="955"/>
      <c r="J76" s="955"/>
      <c r="K76" s="955"/>
      <c r="L76" s="955"/>
      <c r="M76" s="955"/>
      <c r="N76" s="955"/>
      <c r="O76" s="955"/>
      <c r="P76" s="955"/>
      <c r="Q76" s="955"/>
      <c r="R76" s="955"/>
      <c r="W76" s="1000"/>
      <c r="AC76" s="700"/>
    </row>
    <row r="77">
      <c r="A77" s="955"/>
      <c r="B77" s="955"/>
      <c r="C77" s="955"/>
      <c r="D77" s="955"/>
      <c r="E77" s="955"/>
      <c r="F77" s="955"/>
      <c r="G77" s="955"/>
      <c r="H77" s="955"/>
      <c r="I77" s="955"/>
      <c r="J77" s="955"/>
      <c r="K77" s="955"/>
      <c r="L77" s="955"/>
      <c r="M77" s="955"/>
      <c r="N77" s="955"/>
      <c r="O77" s="955"/>
      <c r="P77" s="955"/>
      <c r="Q77" s="955"/>
      <c r="R77" s="955"/>
      <c r="W77" s="1000"/>
      <c r="AC77" s="700"/>
    </row>
    <row r="78">
      <c r="A78" s="955"/>
      <c r="B78" s="955"/>
      <c r="C78" s="955"/>
      <c r="D78" s="955"/>
      <c r="E78" s="955"/>
      <c r="F78" s="955"/>
      <c r="G78" s="955"/>
      <c r="H78" s="955"/>
      <c r="I78" s="955"/>
      <c r="J78" s="955"/>
      <c r="K78" s="955"/>
      <c r="L78" s="955"/>
      <c r="M78" s="955"/>
      <c r="N78" s="955"/>
      <c r="O78" s="955"/>
      <c r="P78" s="955"/>
      <c r="Q78" s="955"/>
      <c r="R78" s="955"/>
      <c r="W78" s="1000"/>
      <c r="AC78" s="700"/>
    </row>
    <row r="79">
      <c r="A79" s="955"/>
      <c r="B79" s="955"/>
      <c r="C79" s="955"/>
      <c r="D79" s="955"/>
      <c r="E79" s="955"/>
      <c r="F79" s="955"/>
      <c r="G79" s="955"/>
      <c r="H79" s="955"/>
      <c r="I79" s="955"/>
      <c r="J79" s="955"/>
      <c r="K79" s="955"/>
      <c r="L79" s="955"/>
      <c r="M79" s="955"/>
      <c r="N79" s="955"/>
      <c r="O79" s="955"/>
      <c r="P79" s="955"/>
      <c r="Q79" s="955"/>
      <c r="R79" s="955"/>
      <c r="W79" s="1000"/>
      <c r="AC79" s="700"/>
    </row>
    <row r="80">
      <c r="A80" s="955"/>
      <c r="B80" s="955"/>
      <c r="C80" s="955"/>
      <c r="D80" s="955"/>
      <c r="E80" s="955"/>
      <c r="F80" s="955"/>
      <c r="G80" s="955"/>
      <c r="H80" s="955"/>
      <c r="I80" s="955"/>
      <c r="J80" s="955"/>
      <c r="K80" s="955"/>
      <c r="L80" s="955"/>
      <c r="M80" s="955"/>
      <c r="N80" s="955"/>
      <c r="O80" s="955"/>
      <c r="P80" s="955"/>
      <c r="Q80" s="955"/>
      <c r="R80" s="955"/>
      <c r="W80" s="1000"/>
      <c r="AC80" s="700"/>
    </row>
    <row r="81">
      <c r="A81" s="955"/>
      <c r="B81" s="955"/>
      <c r="C81" s="955"/>
      <c r="D81" s="955"/>
      <c r="E81" s="955"/>
      <c r="F81" s="955"/>
      <c r="G81" s="955"/>
      <c r="H81" s="955"/>
      <c r="I81" s="955"/>
      <c r="J81" s="955"/>
      <c r="K81" s="955"/>
      <c r="L81" s="955"/>
      <c r="M81" s="955"/>
      <c r="N81" s="955"/>
      <c r="O81" s="955"/>
      <c r="P81" s="955"/>
      <c r="Q81" s="955"/>
      <c r="R81" s="955"/>
      <c r="W81" s="1000"/>
      <c r="AC81" s="700"/>
    </row>
    <row r="82">
      <c r="A82" s="955"/>
      <c r="B82" s="955"/>
      <c r="C82" s="955"/>
      <c r="D82" s="955"/>
      <c r="E82" s="955"/>
      <c r="F82" s="955"/>
      <c r="G82" s="955"/>
      <c r="H82" s="955"/>
      <c r="I82" s="955"/>
      <c r="J82" s="955"/>
      <c r="K82" s="955"/>
      <c r="L82" s="955"/>
      <c r="M82" s="955"/>
      <c r="N82" s="955"/>
      <c r="O82" s="955"/>
      <c r="P82" s="955"/>
      <c r="Q82" s="955"/>
      <c r="R82" s="955"/>
      <c r="W82" s="1000"/>
      <c r="AC82" s="700"/>
    </row>
    <row r="83">
      <c r="A83" s="955"/>
      <c r="B83" s="955"/>
      <c r="C83" s="955"/>
      <c r="D83" s="955"/>
      <c r="E83" s="955"/>
      <c r="F83" s="955"/>
      <c r="G83" s="955"/>
      <c r="H83" s="955"/>
      <c r="I83" s="955"/>
      <c r="J83" s="955"/>
      <c r="K83" s="955"/>
      <c r="L83" s="955"/>
      <c r="M83" s="955"/>
      <c r="N83" s="955"/>
      <c r="O83" s="955"/>
      <c r="P83" s="955"/>
      <c r="Q83" s="955"/>
      <c r="R83" s="955"/>
      <c r="W83" s="1000"/>
      <c r="AC83" s="700"/>
    </row>
    <row r="84">
      <c r="A84" s="955"/>
      <c r="B84" s="955"/>
      <c r="C84" s="955"/>
      <c r="D84" s="955"/>
      <c r="E84" s="955"/>
      <c r="F84" s="955"/>
      <c r="G84" s="955"/>
      <c r="H84" s="955"/>
      <c r="I84" s="955"/>
      <c r="J84" s="955"/>
      <c r="K84" s="955"/>
      <c r="L84" s="955"/>
      <c r="M84" s="955"/>
      <c r="N84" s="955"/>
      <c r="O84" s="955"/>
      <c r="P84" s="955"/>
      <c r="Q84" s="955"/>
      <c r="R84" s="955"/>
      <c r="W84" s="1000"/>
      <c r="AC84" s="700"/>
    </row>
    <row r="85">
      <c r="A85" s="955"/>
      <c r="B85" s="955"/>
      <c r="C85" s="955"/>
      <c r="D85" s="955"/>
      <c r="E85" s="955"/>
      <c r="F85" s="955"/>
      <c r="G85" s="955"/>
      <c r="H85" s="955"/>
      <c r="I85" s="955"/>
      <c r="J85" s="955"/>
      <c r="K85" s="955"/>
      <c r="L85" s="955"/>
      <c r="M85" s="955"/>
      <c r="N85" s="955"/>
      <c r="O85" s="955"/>
      <c r="P85" s="955"/>
      <c r="Q85" s="955"/>
      <c r="R85" s="955"/>
      <c r="W85" s="1000"/>
      <c r="AC85" s="700"/>
    </row>
    <row r="86">
      <c r="A86" s="955"/>
      <c r="B86" s="955"/>
      <c r="C86" s="955"/>
      <c r="D86" s="955"/>
      <c r="E86" s="955"/>
      <c r="F86" s="955"/>
      <c r="G86" s="955"/>
      <c r="H86" s="955"/>
      <c r="I86" s="955"/>
      <c r="J86" s="955"/>
      <c r="K86" s="955"/>
      <c r="L86" s="955"/>
      <c r="M86" s="955"/>
      <c r="N86" s="955"/>
      <c r="O86" s="955"/>
      <c r="P86" s="955"/>
      <c r="Q86" s="955"/>
      <c r="R86" s="955"/>
      <c r="W86" s="1000"/>
      <c r="AC86" s="700"/>
    </row>
    <row r="87">
      <c r="A87" s="955"/>
      <c r="B87" s="955"/>
      <c r="C87" s="955"/>
      <c r="D87" s="955"/>
      <c r="E87" s="955"/>
      <c r="F87" s="955"/>
      <c r="G87" s="955"/>
      <c r="H87" s="955"/>
      <c r="I87" s="955"/>
      <c r="J87" s="955"/>
      <c r="K87" s="955"/>
      <c r="L87" s="955"/>
      <c r="M87" s="955"/>
      <c r="N87" s="955"/>
      <c r="O87" s="955"/>
      <c r="P87" s="955"/>
      <c r="Q87" s="955"/>
      <c r="R87" s="955"/>
      <c r="W87" s="1000"/>
      <c r="AC87" s="700"/>
    </row>
    <row r="88">
      <c r="A88" s="955"/>
      <c r="B88" s="955"/>
      <c r="C88" s="955"/>
      <c r="D88" s="955"/>
      <c r="E88" s="955"/>
      <c r="F88" s="955"/>
      <c r="G88" s="955"/>
      <c r="H88" s="955"/>
      <c r="I88" s="955"/>
      <c r="J88" s="955"/>
      <c r="K88" s="955"/>
      <c r="L88" s="955"/>
      <c r="M88" s="955"/>
      <c r="N88" s="955"/>
      <c r="O88" s="955"/>
      <c r="P88" s="955"/>
      <c r="Q88" s="955"/>
      <c r="R88" s="955"/>
      <c r="W88" s="1000"/>
      <c r="AC88" s="700"/>
    </row>
    <row r="89">
      <c r="A89" s="955"/>
      <c r="B89" s="955"/>
      <c r="C89" s="955"/>
      <c r="D89" s="955"/>
      <c r="E89" s="955"/>
      <c r="F89" s="955"/>
      <c r="G89" s="955"/>
      <c r="H89" s="955"/>
      <c r="I89" s="955"/>
      <c r="J89" s="955"/>
      <c r="K89" s="955"/>
      <c r="L89" s="955"/>
      <c r="M89" s="955"/>
      <c r="N89" s="955"/>
      <c r="O89" s="955"/>
      <c r="P89" s="955"/>
      <c r="Q89" s="955"/>
      <c r="R89" s="955"/>
      <c r="W89" s="1000"/>
      <c r="AC89" s="700"/>
    </row>
    <row r="90">
      <c r="A90" s="955"/>
      <c r="B90" s="955"/>
      <c r="C90" s="955"/>
      <c r="D90" s="955"/>
      <c r="E90" s="955"/>
      <c r="F90" s="955"/>
      <c r="G90" s="955"/>
      <c r="H90" s="955"/>
      <c r="I90" s="955"/>
      <c r="J90" s="955"/>
      <c r="K90" s="955"/>
      <c r="L90" s="955"/>
      <c r="M90" s="955"/>
      <c r="N90" s="955"/>
      <c r="O90" s="955"/>
      <c r="P90" s="955"/>
      <c r="Q90" s="955"/>
      <c r="R90" s="955"/>
      <c r="W90" s="1000"/>
      <c r="AC90" s="700"/>
    </row>
    <row r="91">
      <c r="A91" s="955"/>
      <c r="B91" s="955"/>
      <c r="C91" s="955"/>
      <c r="D91" s="955"/>
      <c r="E91" s="955"/>
      <c r="F91" s="955"/>
      <c r="G91" s="955"/>
      <c r="H91" s="955"/>
      <c r="I91" s="955"/>
      <c r="J91" s="955"/>
      <c r="K91" s="955"/>
      <c r="L91" s="955"/>
      <c r="M91" s="955"/>
      <c r="N91" s="955"/>
      <c r="O91" s="955"/>
      <c r="P91" s="955"/>
      <c r="Q91" s="955"/>
      <c r="R91" s="955"/>
      <c r="W91" s="1000"/>
      <c r="AC91" s="700"/>
    </row>
    <row r="92">
      <c r="A92" s="955"/>
      <c r="B92" s="955"/>
      <c r="C92" s="955"/>
      <c r="D92" s="955"/>
      <c r="E92" s="955"/>
      <c r="F92" s="955"/>
      <c r="G92" s="955"/>
      <c r="H92" s="955"/>
      <c r="I92" s="955"/>
      <c r="J92" s="955"/>
      <c r="K92" s="955"/>
      <c r="L92" s="955"/>
      <c r="M92" s="955"/>
      <c r="N92" s="955"/>
      <c r="O92" s="955"/>
      <c r="P92" s="955"/>
      <c r="Q92" s="955"/>
      <c r="R92" s="955"/>
      <c r="W92" s="1000"/>
      <c r="AC92" s="700"/>
    </row>
    <row r="93">
      <c r="A93" s="955"/>
      <c r="B93" s="955"/>
      <c r="C93" s="955"/>
      <c r="D93" s="955"/>
      <c r="E93" s="955"/>
      <c r="F93" s="955"/>
      <c r="G93" s="955"/>
      <c r="H93" s="955"/>
      <c r="I93" s="955"/>
      <c r="J93" s="955"/>
      <c r="K93" s="955"/>
      <c r="L93" s="955"/>
      <c r="M93" s="955"/>
      <c r="N93" s="955"/>
      <c r="O93" s="955"/>
      <c r="P93" s="955"/>
      <c r="Q93" s="955"/>
      <c r="R93" s="955"/>
      <c r="W93" s="1000"/>
      <c r="AC93" s="700"/>
    </row>
    <row r="94">
      <c r="A94" s="955"/>
      <c r="B94" s="955"/>
      <c r="C94" s="955"/>
      <c r="D94" s="955"/>
      <c r="E94" s="955"/>
      <c r="F94" s="955"/>
      <c r="G94" s="955"/>
      <c r="H94" s="955"/>
      <c r="I94" s="955"/>
      <c r="J94" s="955"/>
      <c r="K94" s="955"/>
      <c r="L94" s="955"/>
      <c r="M94" s="955"/>
      <c r="N94" s="955"/>
      <c r="O94" s="955"/>
      <c r="P94" s="955"/>
      <c r="Q94" s="955"/>
      <c r="R94" s="955"/>
      <c r="W94" s="1000"/>
      <c r="AC94" s="700"/>
    </row>
    <row r="95">
      <c r="A95" s="955"/>
      <c r="B95" s="955"/>
      <c r="C95" s="955"/>
      <c r="D95" s="955"/>
      <c r="E95" s="955"/>
      <c r="F95" s="955"/>
      <c r="G95" s="955"/>
      <c r="H95" s="955"/>
      <c r="I95" s="955"/>
      <c r="J95" s="955"/>
      <c r="K95" s="955"/>
      <c r="L95" s="955"/>
      <c r="M95" s="955"/>
      <c r="N95" s="955"/>
      <c r="O95" s="955"/>
      <c r="P95" s="955"/>
      <c r="Q95" s="955"/>
      <c r="R95" s="955"/>
      <c r="W95" s="1000"/>
      <c r="AC95" s="700"/>
    </row>
    <row r="96">
      <c r="A96" s="955"/>
      <c r="B96" s="955"/>
      <c r="C96" s="955"/>
      <c r="D96" s="955"/>
      <c r="E96" s="955"/>
      <c r="F96" s="955"/>
      <c r="G96" s="955"/>
      <c r="H96" s="955"/>
      <c r="I96" s="955"/>
      <c r="J96" s="955"/>
      <c r="K96" s="955"/>
      <c r="L96" s="955"/>
      <c r="M96" s="955"/>
      <c r="N96" s="955"/>
      <c r="O96" s="955"/>
      <c r="P96" s="955"/>
      <c r="Q96" s="955"/>
      <c r="R96" s="955"/>
      <c r="W96" s="1000"/>
      <c r="AC96" s="700"/>
    </row>
    <row r="97">
      <c r="A97" s="955"/>
      <c r="B97" s="955"/>
      <c r="C97" s="955"/>
      <c r="D97" s="955"/>
      <c r="E97" s="955"/>
      <c r="F97" s="955"/>
      <c r="G97" s="955"/>
      <c r="H97" s="955"/>
      <c r="I97" s="955"/>
      <c r="J97" s="955"/>
      <c r="K97" s="955"/>
      <c r="L97" s="955"/>
      <c r="M97" s="955"/>
      <c r="N97" s="955"/>
      <c r="O97" s="955"/>
      <c r="P97" s="955"/>
      <c r="Q97" s="955"/>
      <c r="R97" s="955"/>
      <c r="W97" s="1000"/>
      <c r="AC97" s="700"/>
    </row>
    <row r="98">
      <c r="A98" s="955"/>
      <c r="B98" s="955"/>
      <c r="C98" s="955"/>
      <c r="D98" s="955"/>
      <c r="E98" s="955"/>
      <c r="F98" s="955"/>
      <c r="G98" s="955"/>
      <c r="H98" s="955"/>
      <c r="I98" s="955"/>
      <c r="J98" s="955"/>
      <c r="K98" s="955"/>
      <c r="L98" s="955"/>
      <c r="M98" s="955"/>
      <c r="N98" s="955"/>
      <c r="O98" s="955"/>
      <c r="P98" s="955"/>
      <c r="Q98" s="955"/>
      <c r="R98" s="955"/>
      <c r="W98" s="1000"/>
      <c r="AC98" s="700"/>
    </row>
    <row r="99">
      <c r="A99" s="955"/>
      <c r="B99" s="955"/>
      <c r="C99" s="955"/>
      <c r="D99" s="955"/>
      <c r="E99" s="955"/>
      <c r="F99" s="955"/>
      <c r="G99" s="955"/>
      <c r="H99" s="955"/>
      <c r="I99" s="955"/>
      <c r="J99" s="955"/>
      <c r="K99" s="955"/>
      <c r="L99" s="955"/>
      <c r="M99" s="955"/>
      <c r="N99" s="955"/>
      <c r="O99" s="955"/>
      <c r="P99" s="955"/>
      <c r="Q99" s="955"/>
      <c r="R99" s="955"/>
      <c r="W99" s="1000"/>
      <c r="AC99" s="700"/>
    </row>
    <row r="100">
      <c r="A100" s="955"/>
      <c r="B100" s="955"/>
      <c r="C100" s="955"/>
      <c r="D100" s="955"/>
      <c r="E100" s="955"/>
      <c r="F100" s="955"/>
      <c r="G100" s="955"/>
      <c r="H100" s="955"/>
      <c r="I100" s="955"/>
      <c r="J100" s="955"/>
      <c r="K100" s="955"/>
      <c r="L100" s="955"/>
      <c r="M100" s="955"/>
      <c r="N100" s="955"/>
      <c r="O100" s="955"/>
      <c r="P100" s="955"/>
      <c r="Q100" s="955"/>
      <c r="R100" s="955"/>
      <c r="W100" s="1000"/>
      <c r="AC100" s="700"/>
    </row>
    <row r="101">
      <c r="A101" s="955"/>
      <c r="B101" s="955"/>
      <c r="C101" s="955"/>
      <c r="D101" s="955"/>
      <c r="E101" s="955"/>
      <c r="F101" s="955"/>
      <c r="G101" s="955"/>
      <c r="H101" s="955"/>
      <c r="I101" s="955"/>
      <c r="J101" s="955"/>
      <c r="K101" s="955"/>
      <c r="L101" s="955"/>
      <c r="M101" s="955"/>
      <c r="N101" s="955"/>
      <c r="O101" s="955"/>
      <c r="P101" s="955"/>
      <c r="Q101" s="955"/>
      <c r="R101" s="955"/>
      <c r="W101" s="1000"/>
      <c r="AC101" s="700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01" t="s">
        <v>322</v>
      </c>
      <c r="B1" s="1002" t="s">
        <v>494</v>
      </c>
      <c r="C1" s="1002" t="s">
        <v>495</v>
      </c>
      <c r="D1" s="1001" t="s">
        <v>496</v>
      </c>
      <c r="E1" s="1001" t="s">
        <v>327</v>
      </c>
    </row>
    <row r="2">
      <c r="A2" s="969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B2" s="970">
        <f>IFERROR(__xludf.DUMMYFUNCTION("""COMPUTED_VALUE"""),4.821120324928076)</f>
        <v>4.821120325</v>
      </c>
      <c r="C2" s="955" t="str">
        <f>IFERROR(__xludf.DUMMYFUNCTION("""COMPUTED_VALUE"""),"#DIV/0!")</f>
        <v>#DIV/0!</v>
      </c>
      <c r="D2" s="955" t="str">
        <f>IFERROR(__xludf.DUMMYFUNCTION("""COMPUTED_VALUE"""),"#DIV/0!")</f>
        <v>#DIV/0!</v>
      </c>
      <c r="E2" s="969" t="str">
        <f t="shared" ref="E2:E35" si="1">RANK(D2,D$2:D$55,0)</f>
        <v>#VALUE!</v>
      </c>
    </row>
    <row r="3">
      <c r="A3" s="955"/>
      <c r="B3" s="970"/>
      <c r="C3" s="955"/>
      <c r="D3" s="955" t="str">
        <f>IFERROR(__xludf.DUMMYFUNCTION("""COMPUTED_VALUE"""),"#DIV/0!")</f>
        <v>#DIV/0!</v>
      </c>
      <c r="E3" s="969" t="str">
        <f t="shared" si="1"/>
        <v>#VALUE!</v>
      </c>
    </row>
    <row r="4">
      <c r="A4" s="955"/>
      <c r="B4" s="970"/>
      <c r="C4" s="955"/>
      <c r="D4" s="955" t="str">
        <f>IFERROR(__xludf.DUMMYFUNCTION("""COMPUTED_VALUE"""),"#DIV/0!")</f>
        <v>#DIV/0!</v>
      </c>
      <c r="E4" s="969" t="str">
        <f t="shared" si="1"/>
        <v>#VALUE!</v>
      </c>
    </row>
    <row r="5">
      <c r="A5" s="955"/>
      <c r="B5" s="970"/>
      <c r="C5" s="955"/>
      <c r="D5" s="955" t="str">
        <f>IFERROR(__xludf.DUMMYFUNCTION("""COMPUTED_VALUE"""),"#DIV/0!")</f>
        <v>#DIV/0!</v>
      </c>
      <c r="E5" s="969" t="str">
        <f t="shared" si="1"/>
        <v>#VALUE!</v>
      </c>
    </row>
    <row r="6">
      <c r="A6" s="955"/>
      <c r="B6" s="970"/>
      <c r="C6" s="955"/>
      <c r="D6" s="955" t="str">
        <f>IFERROR(__xludf.DUMMYFUNCTION("""COMPUTED_VALUE"""),"#DIV/0!")</f>
        <v>#DIV/0!</v>
      </c>
      <c r="E6" s="969" t="str">
        <f t="shared" si="1"/>
        <v>#VALUE!</v>
      </c>
    </row>
    <row r="7">
      <c r="A7" s="955"/>
      <c r="B7" s="970"/>
      <c r="C7" s="955"/>
      <c r="D7" s="955" t="str">
        <f>IFERROR(__xludf.DUMMYFUNCTION("""COMPUTED_VALUE"""),"#DIV/0!")</f>
        <v>#DIV/0!</v>
      </c>
      <c r="E7" s="969" t="str">
        <f t="shared" si="1"/>
        <v>#VALUE!</v>
      </c>
    </row>
    <row r="8">
      <c r="A8" s="955"/>
      <c r="B8" s="970"/>
      <c r="C8" s="955"/>
      <c r="D8" s="955" t="str">
        <f>IFERROR(__xludf.DUMMYFUNCTION("""COMPUTED_VALUE"""),"#DIV/0!")</f>
        <v>#DIV/0!</v>
      </c>
      <c r="E8" s="969" t="str">
        <f t="shared" si="1"/>
        <v>#VALUE!</v>
      </c>
    </row>
    <row r="9">
      <c r="A9" s="955"/>
      <c r="B9" s="970"/>
      <c r="C9" s="955"/>
      <c r="D9" s="955" t="str">
        <f>IFERROR(__xludf.DUMMYFUNCTION("""COMPUTED_VALUE"""),"#DIV/0!")</f>
        <v>#DIV/0!</v>
      </c>
      <c r="E9" s="969" t="str">
        <f t="shared" si="1"/>
        <v>#VALUE!</v>
      </c>
    </row>
    <row r="10">
      <c r="A10" s="955"/>
      <c r="B10" s="970"/>
      <c r="C10" s="955"/>
      <c r="D10" s="955" t="str">
        <f>IFERROR(__xludf.DUMMYFUNCTION("""COMPUTED_VALUE"""),"#DIV/0!")</f>
        <v>#DIV/0!</v>
      </c>
      <c r="E10" s="969" t="str">
        <f t="shared" si="1"/>
        <v>#VALUE!</v>
      </c>
    </row>
    <row r="11">
      <c r="A11" s="955"/>
      <c r="B11" s="970"/>
      <c r="C11" s="955"/>
      <c r="D11" s="955" t="str">
        <f>IFERROR(__xludf.DUMMYFUNCTION("""COMPUTED_VALUE"""),"#DIV/0!")</f>
        <v>#DIV/0!</v>
      </c>
      <c r="E11" s="969" t="str">
        <f t="shared" si="1"/>
        <v>#VALUE!</v>
      </c>
    </row>
    <row r="12">
      <c r="A12" s="955"/>
      <c r="B12" s="970"/>
      <c r="C12" s="955"/>
      <c r="D12" s="955" t="str">
        <f>IFERROR(__xludf.DUMMYFUNCTION("""COMPUTED_VALUE"""),"#DIV/0!")</f>
        <v>#DIV/0!</v>
      </c>
      <c r="E12" s="969" t="str">
        <f t="shared" si="1"/>
        <v>#VALUE!</v>
      </c>
    </row>
    <row r="13">
      <c r="A13" s="955"/>
      <c r="B13" s="970"/>
      <c r="C13" s="955"/>
      <c r="D13" s="955" t="str">
        <f>IFERROR(__xludf.DUMMYFUNCTION("""COMPUTED_VALUE"""),"#DIV/0!")</f>
        <v>#DIV/0!</v>
      </c>
      <c r="E13" s="969" t="str">
        <f t="shared" si="1"/>
        <v>#VALUE!</v>
      </c>
    </row>
    <row r="14">
      <c r="A14" s="955"/>
      <c r="B14" s="970"/>
      <c r="C14" s="955"/>
      <c r="D14" s="955" t="str">
        <f>IFERROR(__xludf.DUMMYFUNCTION("""COMPUTED_VALUE"""),"#DIV/0!")</f>
        <v>#DIV/0!</v>
      </c>
      <c r="E14" s="969" t="str">
        <f t="shared" si="1"/>
        <v>#VALUE!</v>
      </c>
    </row>
    <row r="15">
      <c r="A15" s="955"/>
      <c r="B15" s="970"/>
      <c r="C15" s="955"/>
      <c r="D15" s="955" t="str">
        <f>IFERROR(__xludf.DUMMYFUNCTION("""COMPUTED_VALUE"""),"#DIV/0!")</f>
        <v>#DIV/0!</v>
      </c>
      <c r="E15" s="969" t="str">
        <f t="shared" si="1"/>
        <v>#VALUE!</v>
      </c>
    </row>
    <row r="16">
      <c r="A16" s="955"/>
      <c r="B16" s="970"/>
      <c r="C16" s="955"/>
      <c r="D16" s="955" t="str">
        <f>IFERROR(__xludf.DUMMYFUNCTION("""COMPUTED_VALUE"""),"#DIV/0!")</f>
        <v>#DIV/0!</v>
      </c>
      <c r="E16" s="969" t="str">
        <f t="shared" si="1"/>
        <v>#VALUE!</v>
      </c>
    </row>
    <row r="17">
      <c r="A17" s="955"/>
      <c r="B17" s="970"/>
      <c r="C17" s="955"/>
      <c r="D17" s="955" t="str">
        <f>IFERROR(__xludf.DUMMYFUNCTION("""COMPUTED_VALUE"""),"#DIV/0!")</f>
        <v>#DIV/0!</v>
      </c>
      <c r="E17" s="969" t="str">
        <f t="shared" si="1"/>
        <v>#VALUE!</v>
      </c>
    </row>
    <row r="18">
      <c r="A18" s="955"/>
      <c r="B18" s="970"/>
      <c r="C18" s="955"/>
      <c r="D18" s="955" t="str">
        <f>IFERROR(__xludf.DUMMYFUNCTION("""COMPUTED_VALUE"""),"#DIV/0!")</f>
        <v>#DIV/0!</v>
      </c>
      <c r="E18" s="969" t="str">
        <f t="shared" si="1"/>
        <v>#VALUE!</v>
      </c>
    </row>
    <row r="19">
      <c r="A19" s="955"/>
      <c r="B19" s="970"/>
      <c r="C19" s="955"/>
      <c r="D19" s="955" t="str">
        <f>IFERROR(__xludf.DUMMYFUNCTION("""COMPUTED_VALUE"""),"#DIV/0!")</f>
        <v>#DIV/0!</v>
      </c>
      <c r="E19" s="969" t="str">
        <f t="shared" si="1"/>
        <v>#VALUE!</v>
      </c>
    </row>
    <row r="20">
      <c r="A20" s="955"/>
      <c r="B20" s="970"/>
      <c r="C20" s="955"/>
      <c r="D20" s="955" t="str">
        <f>IFERROR(__xludf.DUMMYFUNCTION("""COMPUTED_VALUE"""),"#DIV/0!")</f>
        <v>#DIV/0!</v>
      </c>
      <c r="E20" s="969" t="str">
        <f t="shared" si="1"/>
        <v>#VALUE!</v>
      </c>
    </row>
    <row r="21">
      <c r="A21" s="955"/>
      <c r="B21" s="970"/>
      <c r="C21" s="955"/>
      <c r="D21" s="955" t="str">
        <f>IFERROR(__xludf.DUMMYFUNCTION("""COMPUTED_VALUE"""),"#DIV/0!")</f>
        <v>#DIV/0!</v>
      </c>
      <c r="E21" s="969" t="str">
        <f t="shared" si="1"/>
        <v>#VALUE!</v>
      </c>
    </row>
    <row r="22">
      <c r="A22" s="955"/>
      <c r="B22" s="970"/>
      <c r="C22" s="955"/>
      <c r="D22" s="955" t="str">
        <f>IFERROR(__xludf.DUMMYFUNCTION("""COMPUTED_VALUE"""),"#DIV/0!")</f>
        <v>#DIV/0!</v>
      </c>
      <c r="E22" s="969" t="str">
        <f t="shared" si="1"/>
        <v>#VALUE!</v>
      </c>
    </row>
    <row r="23">
      <c r="A23" s="955"/>
      <c r="B23" s="970"/>
      <c r="C23" s="955"/>
      <c r="D23" s="955" t="str">
        <f>IFERROR(__xludf.DUMMYFUNCTION("""COMPUTED_VALUE"""),"#DIV/0!")</f>
        <v>#DIV/0!</v>
      </c>
      <c r="E23" s="969" t="str">
        <f t="shared" si="1"/>
        <v>#VALUE!</v>
      </c>
    </row>
    <row r="24">
      <c r="A24" s="955"/>
      <c r="B24" s="970"/>
      <c r="C24" s="955"/>
      <c r="D24" s="955" t="str">
        <f>IFERROR(__xludf.DUMMYFUNCTION("""COMPUTED_VALUE"""),"#DIV/0!")</f>
        <v>#DIV/0!</v>
      </c>
      <c r="E24" s="969" t="str">
        <f t="shared" si="1"/>
        <v>#VALUE!</v>
      </c>
    </row>
    <row r="25">
      <c r="A25" s="955"/>
      <c r="B25" s="970"/>
      <c r="C25" s="955"/>
      <c r="D25" s="955" t="str">
        <f>IFERROR(__xludf.DUMMYFUNCTION("""COMPUTED_VALUE"""),"#DIV/0!")</f>
        <v>#DIV/0!</v>
      </c>
      <c r="E25" s="969" t="str">
        <f t="shared" si="1"/>
        <v>#VALUE!</v>
      </c>
    </row>
    <row r="26">
      <c r="A26" s="955"/>
      <c r="B26" s="970"/>
      <c r="C26" s="955"/>
      <c r="D26" s="955" t="str">
        <f>IFERROR(__xludf.DUMMYFUNCTION("""COMPUTED_VALUE"""),"#DIV/0!")</f>
        <v>#DIV/0!</v>
      </c>
      <c r="E26" s="969" t="str">
        <f t="shared" si="1"/>
        <v>#VALUE!</v>
      </c>
    </row>
    <row r="27">
      <c r="A27" s="955"/>
      <c r="B27" s="970"/>
      <c r="C27" s="955"/>
      <c r="D27" s="955" t="str">
        <f>IFERROR(__xludf.DUMMYFUNCTION("""COMPUTED_VALUE"""),"#DIV/0!")</f>
        <v>#DIV/0!</v>
      </c>
      <c r="E27" s="969" t="str">
        <f t="shared" si="1"/>
        <v>#VALUE!</v>
      </c>
    </row>
    <row r="28">
      <c r="A28" s="955"/>
      <c r="B28" s="970"/>
      <c r="C28" s="955"/>
      <c r="D28" s="955" t="str">
        <f>IFERROR(__xludf.DUMMYFUNCTION("""COMPUTED_VALUE"""),"#DIV/0!")</f>
        <v>#DIV/0!</v>
      </c>
      <c r="E28" s="969" t="str">
        <f t="shared" si="1"/>
        <v>#VALUE!</v>
      </c>
    </row>
    <row r="29">
      <c r="A29" s="955"/>
      <c r="B29" s="970"/>
      <c r="C29" s="955"/>
      <c r="D29" s="955" t="str">
        <f>IFERROR(__xludf.DUMMYFUNCTION("""COMPUTED_VALUE"""),"#DIV/0!")</f>
        <v>#DIV/0!</v>
      </c>
      <c r="E29" s="969" t="str">
        <f t="shared" si="1"/>
        <v>#VALUE!</v>
      </c>
    </row>
    <row r="30">
      <c r="A30" s="955"/>
      <c r="B30" s="970"/>
      <c r="C30" s="955"/>
      <c r="D30" s="955" t="str">
        <f>IFERROR(__xludf.DUMMYFUNCTION("""COMPUTED_VALUE"""),"#DIV/0!")</f>
        <v>#DIV/0!</v>
      </c>
      <c r="E30" s="969" t="str">
        <f t="shared" si="1"/>
        <v>#VALUE!</v>
      </c>
    </row>
    <row r="31">
      <c r="A31" s="955"/>
      <c r="B31" s="970"/>
      <c r="C31" s="955"/>
      <c r="D31" s="955" t="str">
        <f>IFERROR(__xludf.DUMMYFUNCTION("""COMPUTED_VALUE"""),"#DIV/0!")</f>
        <v>#DIV/0!</v>
      </c>
      <c r="E31" s="969" t="str">
        <f t="shared" si="1"/>
        <v>#VALUE!</v>
      </c>
    </row>
    <row r="32">
      <c r="A32" s="955"/>
      <c r="B32" s="970"/>
      <c r="C32" s="955"/>
      <c r="D32" s="955" t="str">
        <f>IFERROR(__xludf.DUMMYFUNCTION("""COMPUTED_VALUE"""),"#DIV/0!")</f>
        <v>#DIV/0!</v>
      </c>
      <c r="E32" s="969" t="str">
        <f t="shared" si="1"/>
        <v>#VALUE!</v>
      </c>
    </row>
    <row r="33">
      <c r="A33" s="955"/>
      <c r="B33" s="970"/>
      <c r="C33" s="955"/>
      <c r="D33" s="955" t="str">
        <f>IFERROR(__xludf.DUMMYFUNCTION("""COMPUTED_VALUE"""),"#DIV/0!")</f>
        <v>#DIV/0!</v>
      </c>
      <c r="E33" s="955" t="str">
        <f t="shared" si="1"/>
        <v>#VALUE!</v>
      </c>
    </row>
    <row r="34">
      <c r="A34" s="955"/>
      <c r="B34" s="970"/>
      <c r="C34" s="955"/>
      <c r="D34" s="955" t="str">
        <f>IFERROR(__xludf.DUMMYFUNCTION("""COMPUTED_VALUE"""),"#DIV/0!")</f>
        <v>#DIV/0!</v>
      </c>
      <c r="E34" s="955" t="str">
        <f t="shared" si="1"/>
        <v>#VALUE!</v>
      </c>
    </row>
    <row r="35">
      <c r="A35" s="955"/>
      <c r="B35" s="970"/>
      <c r="C35" s="955"/>
      <c r="D35" s="955" t="str">
        <f>IFERROR(__xludf.DUMMYFUNCTION("""COMPUTED_VALUE"""),"#DIV/0!")</f>
        <v>#DIV/0!</v>
      </c>
      <c r="E35" s="955" t="str">
        <f t="shared" si="1"/>
        <v>#VALUE!</v>
      </c>
    </row>
    <row r="36">
      <c r="A36" s="955"/>
      <c r="B36" s="970"/>
      <c r="C36" s="955"/>
      <c r="D36" s="955" t="str">
        <f>IFERROR(__xludf.DUMMYFUNCTION("""COMPUTED_VALUE"""),"#DIV/0!")</f>
        <v>#DIV/0!</v>
      </c>
    </row>
    <row r="37">
      <c r="A37" s="955"/>
      <c r="B37" s="970"/>
      <c r="C37" s="955"/>
      <c r="D37" s="955" t="str">
        <f>IFERROR(__xludf.DUMMYFUNCTION("""COMPUTED_VALUE"""),"#DIV/0!")</f>
        <v>#DIV/0!</v>
      </c>
    </row>
    <row r="38">
      <c r="A38" s="955"/>
      <c r="B38" s="970"/>
      <c r="C38" s="955"/>
      <c r="D38" s="955" t="str">
        <f>IFERROR(__xludf.DUMMYFUNCTION("""COMPUTED_VALUE"""),"#DIV/0!")</f>
        <v>#DIV/0!</v>
      </c>
    </row>
    <row r="39">
      <c r="A39" s="955"/>
      <c r="B39" s="970"/>
      <c r="C39" s="955"/>
      <c r="D39" s="955" t="str">
        <f>IFERROR(__xludf.DUMMYFUNCTION("""COMPUTED_VALUE"""),"#DIV/0!")</f>
        <v>#DIV/0!</v>
      </c>
    </row>
    <row r="40">
      <c r="A40" s="955"/>
      <c r="B40" s="970"/>
      <c r="C40" s="955"/>
      <c r="D40" s="955" t="str">
        <f>IFERROR(__xludf.DUMMYFUNCTION("""COMPUTED_VALUE"""),"#DIV/0!")</f>
        <v>#DIV/0!</v>
      </c>
    </row>
    <row r="41">
      <c r="A41" s="955"/>
      <c r="B41" s="970"/>
      <c r="C41" s="955"/>
      <c r="D41" s="955" t="str">
        <f>IFERROR(__xludf.DUMMYFUNCTION("""COMPUTED_VALUE"""),"#DIV/0!")</f>
        <v>#DIV/0!</v>
      </c>
    </row>
    <row r="42">
      <c r="A42" s="977"/>
      <c r="B42" s="1003"/>
      <c r="C42" s="978"/>
      <c r="D42" s="978" t="str">
        <f>IFERROR(__xludf.DUMMYFUNCTION("""COMPUTED_VALUE"""),"#DIV/0!")</f>
        <v>#DIV/0!</v>
      </c>
      <c r="E42" s="978"/>
      <c r="F42" s="978"/>
      <c r="G42" s="978"/>
    </row>
    <row r="43">
      <c r="A43" s="974"/>
      <c r="B43" s="1004"/>
      <c r="C43" s="979"/>
      <c r="D43" s="979" t="str">
        <f>IFERROR(__xludf.DUMMYFUNCTION("""COMPUTED_VALUE"""),"#DIV/0!")</f>
        <v>#DIV/0!</v>
      </c>
      <c r="E43" s="979"/>
      <c r="F43" s="896"/>
      <c r="G43" s="896"/>
    </row>
    <row r="44">
      <c r="A44" s="980"/>
      <c r="B44" s="1004"/>
      <c r="C44" s="979"/>
      <c r="D44" s="979" t="str">
        <f>IFERROR(__xludf.DUMMYFUNCTION("""COMPUTED_VALUE"""),"#DIV/0!")</f>
        <v>#DIV/0!</v>
      </c>
      <c r="E44" s="979"/>
      <c r="F44" s="896"/>
      <c r="G44" s="896"/>
    </row>
    <row r="45">
      <c r="A45" s="980"/>
      <c r="B45" s="1004"/>
      <c r="C45" s="979"/>
      <c r="D45" s="979" t="str">
        <f>IFERROR(__xludf.DUMMYFUNCTION("""COMPUTED_VALUE"""),"#DIV/0!")</f>
        <v>#DIV/0!</v>
      </c>
      <c r="E45" s="979"/>
      <c r="F45" s="896"/>
      <c r="G45" s="896"/>
    </row>
    <row r="46">
      <c r="A46" s="980"/>
      <c r="B46" s="1004"/>
      <c r="C46" s="979"/>
      <c r="D46" s="979" t="str">
        <f>IFERROR(__xludf.DUMMYFUNCTION("""COMPUTED_VALUE"""),"#DIV/0!")</f>
        <v>#DIV/0!</v>
      </c>
      <c r="E46" s="979"/>
      <c r="F46" s="896"/>
      <c r="G46" s="896"/>
    </row>
    <row r="47">
      <c r="A47" s="980"/>
      <c r="B47" s="1004"/>
      <c r="C47" s="979"/>
      <c r="D47" s="979" t="str">
        <f>IFERROR(__xludf.DUMMYFUNCTION("""COMPUTED_VALUE"""),"#DIV/0!")</f>
        <v>#DIV/0!</v>
      </c>
      <c r="E47" s="979"/>
      <c r="F47" s="896"/>
      <c r="G47" s="896"/>
    </row>
    <row r="48">
      <c r="A48" s="980"/>
      <c r="B48" s="1004"/>
      <c r="C48" s="979"/>
      <c r="D48" s="979" t="str">
        <f>IFERROR(__xludf.DUMMYFUNCTION("""COMPUTED_VALUE"""),"#DIV/0!")</f>
        <v>#DIV/0!</v>
      </c>
      <c r="E48" s="979"/>
      <c r="F48" s="896"/>
      <c r="G48" s="896"/>
    </row>
    <row r="49">
      <c r="A49" s="980"/>
      <c r="B49" s="1004"/>
      <c r="C49" s="979"/>
      <c r="D49" s="979" t="str">
        <f>IFERROR(__xludf.DUMMYFUNCTION("""COMPUTED_VALUE"""),"#DIV/0!")</f>
        <v>#DIV/0!</v>
      </c>
      <c r="E49" s="979"/>
      <c r="F49" s="896"/>
      <c r="G49" s="896"/>
    </row>
    <row r="50">
      <c r="A50" s="980"/>
      <c r="B50" s="1004"/>
      <c r="C50" s="979"/>
      <c r="D50" s="979" t="str">
        <f>IFERROR(__xludf.DUMMYFUNCTION("""COMPUTED_VALUE"""),"#DIV/0!")</f>
        <v>#DIV/0!</v>
      </c>
      <c r="E50" s="979"/>
      <c r="F50" s="896"/>
      <c r="G50" s="896"/>
    </row>
    <row r="51">
      <c r="A51" s="896"/>
      <c r="B51" s="1005"/>
      <c r="C51" s="896"/>
      <c r="D51" s="896" t="str">
        <f>IFERROR(__xludf.DUMMYFUNCTION("""COMPUTED_VALUE"""),"#DIV/0!")</f>
        <v>#DIV/0!</v>
      </c>
      <c r="E51" s="896"/>
      <c r="F51" s="896"/>
      <c r="G51" s="896"/>
    </row>
    <row r="52">
      <c r="A52" s="955"/>
      <c r="B52" s="970"/>
      <c r="C52" s="955"/>
      <c r="D52" s="955" t="str">
        <f>IFERROR(__xludf.DUMMYFUNCTION("""COMPUTED_VALUE"""),"#DIV/0!")</f>
        <v>#DIV/0!</v>
      </c>
    </row>
    <row r="53">
      <c r="A53" s="955"/>
      <c r="B53" s="970"/>
      <c r="C53" s="955"/>
      <c r="D53" s="955" t="str">
        <f>IFERROR(__xludf.DUMMYFUNCTION("""COMPUTED_VALUE"""),"#DIV/0!")</f>
        <v>#DIV/0!</v>
      </c>
    </row>
    <row r="54">
      <c r="A54" s="955"/>
      <c r="B54" s="970"/>
      <c r="C54" s="955"/>
      <c r="D54" s="955"/>
    </row>
    <row r="55">
      <c r="A55" s="955"/>
      <c r="B55" s="970"/>
      <c r="C55" s="955"/>
      <c r="D55" s="955"/>
    </row>
    <row r="56">
      <c r="A56" s="955"/>
      <c r="B56" s="970"/>
      <c r="C56" s="955"/>
      <c r="D56" s="955"/>
    </row>
    <row r="57">
      <c r="A57" s="955"/>
      <c r="B57" s="970"/>
      <c r="C57" s="955"/>
      <c r="D57" s="955"/>
    </row>
    <row r="58">
      <c r="A58" s="955"/>
      <c r="B58" s="970"/>
      <c r="C58" s="955"/>
      <c r="D58" s="955"/>
    </row>
    <row r="59">
      <c r="A59" s="955"/>
      <c r="B59" s="970"/>
      <c r="C59" s="955"/>
      <c r="D59" s="955"/>
    </row>
    <row r="60">
      <c r="A60" s="955"/>
      <c r="B60" s="970"/>
      <c r="C60" s="955"/>
      <c r="D60" s="955"/>
    </row>
    <row r="61">
      <c r="A61" s="955"/>
      <c r="B61" s="970"/>
      <c r="C61" s="955"/>
      <c r="D61" s="955"/>
    </row>
    <row r="62">
      <c r="A62" s="955"/>
      <c r="B62" s="970"/>
      <c r="C62" s="955"/>
      <c r="D62" s="955"/>
    </row>
    <row r="63">
      <c r="A63" s="955"/>
      <c r="B63" s="970"/>
      <c r="C63" s="955"/>
      <c r="D63" s="955"/>
    </row>
    <row r="64">
      <c r="A64" s="955"/>
      <c r="B64" s="970"/>
      <c r="C64" s="955"/>
      <c r="D64" s="955"/>
    </row>
    <row r="65">
      <c r="A65" s="955"/>
      <c r="B65" s="970"/>
      <c r="C65" s="955"/>
      <c r="D65" s="955"/>
    </row>
    <row r="66">
      <c r="A66" s="955"/>
      <c r="B66" s="970"/>
      <c r="C66" s="955"/>
      <c r="D66" s="955"/>
    </row>
    <row r="67">
      <c r="A67" s="955"/>
      <c r="B67" s="970"/>
      <c r="C67" s="955"/>
      <c r="D67" s="955"/>
    </row>
    <row r="68">
      <c r="A68" s="955"/>
      <c r="B68" s="970"/>
      <c r="C68" s="955"/>
      <c r="D68" s="955"/>
    </row>
    <row r="69">
      <c r="A69" s="955"/>
      <c r="B69" s="970"/>
      <c r="C69" s="955"/>
      <c r="D69" s="955"/>
    </row>
    <row r="70">
      <c r="A70" s="955"/>
      <c r="B70" s="970"/>
      <c r="C70" s="955"/>
      <c r="D70" s="955"/>
    </row>
    <row r="71">
      <c r="A71" s="955"/>
      <c r="B71" s="970"/>
      <c r="C71" s="955"/>
      <c r="D71" s="955"/>
    </row>
    <row r="72">
      <c r="A72" s="955"/>
      <c r="B72" s="970"/>
      <c r="C72" s="955"/>
      <c r="D72" s="955"/>
    </row>
    <row r="73">
      <c r="A73" s="955"/>
      <c r="B73" s="970"/>
      <c r="C73" s="955"/>
      <c r="D73" s="955"/>
    </row>
    <row r="74">
      <c r="A74" s="955"/>
      <c r="B74" s="970"/>
      <c r="C74" s="955"/>
      <c r="D74" s="955"/>
    </row>
    <row r="75">
      <c r="A75" s="955"/>
      <c r="B75" s="970"/>
      <c r="C75" s="955"/>
      <c r="D75" s="955"/>
    </row>
    <row r="76">
      <c r="A76" s="955"/>
      <c r="B76" s="970"/>
      <c r="C76" s="955"/>
      <c r="D76" s="955"/>
    </row>
    <row r="77">
      <c r="A77" s="955"/>
      <c r="B77" s="970"/>
      <c r="C77" s="955"/>
      <c r="D77" s="955"/>
    </row>
    <row r="78">
      <c r="A78" s="955"/>
      <c r="B78" s="970"/>
      <c r="C78" s="955"/>
      <c r="D78" s="955"/>
    </row>
    <row r="79">
      <c r="A79" s="955"/>
      <c r="B79" s="970"/>
      <c r="C79" s="955"/>
      <c r="D79" s="955"/>
    </row>
    <row r="80">
      <c r="A80" s="955"/>
      <c r="B80" s="970"/>
      <c r="C80" s="955"/>
      <c r="D80" s="955"/>
    </row>
    <row r="81">
      <c r="A81" s="955"/>
      <c r="B81" s="970"/>
      <c r="C81" s="955"/>
      <c r="D81" s="955"/>
    </row>
    <row r="82">
      <c r="A82" s="955"/>
      <c r="B82" s="970"/>
      <c r="C82" s="955"/>
      <c r="D82" s="955"/>
    </row>
    <row r="83">
      <c r="A83" s="955"/>
      <c r="B83" s="970"/>
      <c r="C83" s="955"/>
      <c r="D83" s="955"/>
    </row>
    <row r="84">
      <c r="A84" s="955"/>
      <c r="B84" s="970"/>
      <c r="C84" s="955"/>
      <c r="D84" s="955"/>
    </row>
    <row r="85">
      <c r="A85" s="955"/>
      <c r="B85" s="970"/>
      <c r="C85" s="955"/>
      <c r="D85" s="955"/>
    </row>
    <row r="86">
      <c r="A86" s="955"/>
      <c r="B86" s="970"/>
      <c r="C86" s="955"/>
      <c r="D86" s="955"/>
    </row>
    <row r="87">
      <c r="A87" s="955"/>
      <c r="B87" s="970"/>
      <c r="C87" s="955"/>
      <c r="D87" s="955"/>
    </row>
    <row r="88">
      <c r="A88" s="955"/>
      <c r="B88" s="970"/>
      <c r="C88" s="955"/>
      <c r="D88" s="955"/>
    </row>
    <row r="89">
      <c r="A89" s="955"/>
      <c r="B89" s="970"/>
      <c r="C89" s="955"/>
      <c r="D89" s="955"/>
    </row>
    <row r="90">
      <c r="A90" s="955"/>
      <c r="B90" s="970"/>
      <c r="C90" s="955"/>
      <c r="D90" s="955"/>
    </row>
    <row r="91">
      <c r="A91" s="955"/>
      <c r="B91" s="970"/>
      <c r="C91" s="955"/>
      <c r="D91" s="955"/>
    </row>
    <row r="92">
      <c r="A92" s="955"/>
      <c r="B92" s="970"/>
      <c r="C92" s="955"/>
      <c r="D92" s="955"/>
    </row>
    <row r="93">
      <c r="A93" s="955"/>
      <c r="B93" s="970"/>
      <c r="C93" s="955"/>
      <c r="D93" s="955"/>
    </row>
    <row r="94">
      <c r="A94" s="955"/>
      <c r="B94" s="970"/>
      <c r="C94" s="955"/>
      <c r="D94" s="955"/>
    </row>
    <row r="95">
      <c r="A95" s="955"/>
      <c r="B95" s="970"/>
      <c r="C95" s="955"/>
      <c r="D95" s="955"/>
    </row>
    <row r="96">
      <c r="A96" s="955"/>
      <c r="B96" s="970"/>
      <c r="C96" s="955"/>
      <c r="D96" s="955"/>
    </row>
    <row r="97">
      <c r="A97" s="955"/>
      <c r="B97" s="970"/>
      <c r="C97" s="955"/>
      <c r="D97" s="955"/>
    </row>
    <row r="98">
      <c r="A98" s="955"/>
      <c r="B98" s="970"/>
      <c r="C98" s="955"/>
      <c r="D98" s="955"/>
    </row>
    <row r="99">
      <c r="A99" s="955"/>
      <c r="B99" s="970"/>
      <c r="C99" s="955"/>
      <c r="D99" s="955"/>
    </row>
    <row r="100">
      <c r="A100" s="955"/>
      <c r="B100" s="970"/>
      <c r="C100" s="955"/>
      <c r="D100" s="955"/>
    </row>
    <row r="101">
      <c r="A101" s="955"/>
      <c r="B101" s="970"/>
      <c r="C101" s="955"/>
      <c r="D101" s="95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12" width="16.57"/>
    <col customWidth="1" min="13" max="13" width="14.43"/>
    <col customWidth="1" min="14" max="17" width="4.43"/>
    <col customWidth="1" min="18" max="18" width="2.29"/>
    <col customWidth="1" min="19" max="20" width="5.86"/>
    <col customWidth="1" min="21" max="21" width="25.43"/>
    <col customWidth="1" min="22" max="22" width="17.0"/>
    <col customWidth="1" min="23" max="23" width="17.29"/>
    <col customWidth="1" min="24" max="24" width="14.43"/>
    <col customWidth="1" min="25" max="28" width="4.43"/>
    <col customWidth="1" min="29" max="29" width="2.29"/>
    <col customWidth="1" min="30" max="31" width="5.86"/>
    <col customWidth="1" min="32" max="32" width="24.43"/>
    <col customWidth="1" min="33" max="33" width="14.43"/>
    <col customWidth="1" min="34" max="34" width="16.57"/>
    <col customWidth="1" min="35" max="35" width="14.43"/>
    <col customWidth="1" min="36" max="39" width="4.43"/>
    <col customWidth="1" min="40" max="40" width="2.29"/>
    <col customWidth="1" min="41" max="42" width="5.86"/>
    <col customWidth="1" min="43" max="43" width="19.43"/>
    <col customWidth="1" min="44" max="44" width="14.43"/>
    <col customWidth="1" min="45" max="45" width="15.86"/>
    <col customWidth="1" min="46" max="46" width="14.43"/>
    <col customWidth="1" min="47" max="51" width="4.43"/>
  </cols>
  <sheetData>
    <row r="1">
      <c r="A1" s="1" t="str">
        <f>FAUX(``
()</f>
        <v>#ERROR!</v>
      </c>
      <c r="B1" s="1006">
        <v>45982.0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007"/>
      <c r="AE1" s="1007"/>
      <c r="AF1" s="1007"/>
      <c r="AG1" s="1007"/>
      <c r="AH1" s="1007"/>
      <c r="AI1" s="1007"/>
      <c r="AJ1" s="1007"/>
      <c r="AK1" s="1007"/>
      <c r="AL1" s="1007"/>
      <c r="AM1" s="1007"/>
      <c r="AN1" s="1007"/>
      <c r="AO1" s="1007"/>
      <c r="AP1" s="1007"/>
      <c r="AQ1" s="1007"/>
      <c r="AR1" s="1007"/>
      <c r="AS1" s="1007"/>
      <c r="AT1" s="1007"/>
      <c r="AU1" s="1007"/>
      <c r="AV1" s="1007"/>
      <c r="AW1" s="1007"/>
      <c r="AX1" s="1008"/>
      <c r="AY1" s="1009"/>
    </row>
    <row r="2">
      <c r="A2" s="49"/>
      <c r="B2" s="1010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1011"/>
      <c r="S2" s="1012" t="s">
        <v>1</v>
      </c>
      <c r="T2" s="8"/>
      <c r="U2" s="8"/>
      <c r="V2" s="8"/>
      <c r="W2" s="8"/>
      <c r="X2" s="8"/>
      <c r="Y2" s="8"/>
      <c r="Z2" s="8"/>
      <c r="AA2" s="8"/>
      <c r="AB2" s="9"/>
      <c r="AC2" s="1013"/>
      <c r="AD2" s="1010" t="s">
        <v>504</v>
      </c>
      <c r="AE2" s="8"/>
      <c r="AF2" s="8"/>
      <c r="AG2" s="8"/>
      <c r="AH2" s="8"/>
      <c r="AI2" s="8"/>
      <c r="AJ2" s="8"/>
      <c r="AK2" s="8"/>
      <c r="AL2" s="8"/>
      <c r="AM2" s="9"/>
      <c r="AN2" s="1013"/>
      <c r="AO2" s="1014" t="s">
        <v>505</v>
      </c>
      <c r="AP2" s="8"/>
      <c r="AQ2" s="8"/>
      <c r="AR2" s="8"/>
      <c r="AS2" s="8"/>
      <c r="AT2" s="8"/>
      <c r="AU2" s="8"/>
      <c r="AV2" s="8"/>
      <c r="AW2" s="8"/>
      <c r="AX2" s="9"/>
      <c r="AY2" s="1015"/>
    </row>
    <row r="3" ht="19.5" customHeight="1">
      <c r="A3" s="15"/>
      <c r="B3" s="714" t="s">
        <v>4</v>
      </c>
      <c r="C3" s="715" t="s">
        <v>5</v>
      </c>
      <c r="D3" s="715" t="s">
        <v>6</v>
      </c>
      <c r="E3" s="715" t="s">
        <v>7</v>
      </c>
      <c r="F3" s="715" t="s">
        <v>8</v>
      </c>
      <c r="G3" s="715"/>
      <c r="H3" s="715"/>
      <c r="I3" s="715"/>
      <c r="J3" s="715"/>
      <c r="K3" s="715"/>
      <c r="L3" s="715"/>
      <c r="M3" s="715" t="s">
        <v>9</v>
      </c>
      <c r="N3" s="716" t="s">
        <v>10</v>
      </c>
      <c r="O3" s="716" t="s">
        <v>11</v>
      </c>
      <c r="P3" s="716" t="s">
        <v>12</v>
      </c>
      <c r="Q3" s="717" t="s">
        <v>13</v>
      </c>
      <c r="R3" s="1016"/>
      <c r="S3" s="719" t="s">
        <v>4</v>
      </c>
      <c r="T3" s="720" t="s">
        <v>5</v>
      </c>
      <c r="U3" s="721" t="s">
        <v>6</v>
      </c>
      <c r="V3" s="721" t="s">
        <v>7</v>
      </c>
      <c r="W3" s="721" t="s">
        <v>8</v>
      </c>
      <c r="X3" s="722" t="s">
        <v>9</v>
      </c>
      <c r="Y3" s="723" t="s">
        <v>10</v>
      </c>
      <c r="Z3" s="724" t="s">
        <v>11</v>
      </c>
      <c r="AA3" s="724" t="s">
        <v>12</v>
      </c>
      <c r="AB3" s="1017" t="s">
        <v>13</v>
      </c>
      <c r="AC3" s="1018"/>
      <c r="AD3" s="715" t="s">
        <v>4</v>
      </c>
      <c r="AE3" s="715" t="s">
        <v>5</v>
      </c>
      <c r="AF3" s="715" t="s">
        <v>6</v>
      </c>
      <c r="AG3" s="715" t="s">
        <v>7</v>
      </c>
      <c r="AH3" s="715" t="s">
        <v>8</v>
      </c>
      <c r="AI3" s="715" t="s">
        <v>15</v>
      </c>
      <c r="AJ3" s="1019" t="s">
        <v>10</v>
      </c>
      <c r="AK3" s="716" t="s">
        <v>11</v>
      </c>
      <c r="AL3" s="716" t="s">
        <v>12</v>
      </c>
      <c r="AM3" s="1020" t="s">
        <v>13</v>
      </c>
      <c r="AN3" s="1018"/>
      <c r="AO3" s="721" t="s">
        <v>4</v>
      </c>
      <c r="AP3" s="721" t="s">
        <v>5</v>
      </c>
      <c r="AQ3" s="721" t="s">
        <v>6</v>
      </c>
      <c r="AR3" s="721" t="s">
        <v>7</v>
      </c>
      <c r="AS3" s="721" t="s">
        <v>8</v>
      </c>
      <c r="AT3" s="722" t="s">
        <v>15</v>
      </c>
      <c r="AU3" s="723" t="s">
        <v>10</v>
      </c>
      <c r="AV3" s="724" t="s">
        <v>11</v>
      </c>
      <c r="AW3" s="724" t="s">
        <v>12</v>
      </c>
      <c r="AX3" s="1021" t="s">
        <v>13</v>
      </c>
      <c r="AY3" s="1022"/>
    </row>
    <row r="4">
      <c r="A4" s="36" t="s">
        <v>16</v>
      </c>
      <c r="B4" s="726" t="s">
        <v>17</v>
      </c>
      <c r="C4" s="47" t="s">
        <v>18</v>
      </c>
      <c r="D4" s="314"/>
      <c r="E4" s="728"/>
      <c r="F4" s="728"/>
      <c r="G4" s="1023"/>
      <c r="H4" s="1023"/>
      <c r="I4" s="1023"/>
      <c r="J4" s="1023"/>
      <c r="K4" s="1023"/>
      <c r="L4" s="1023"/>
      <c r="M4" s="729"/>
      <c r="N4" s="730"/>
      <c r="O4" s="731"/>
      <c r="P4" s="731"/>
      <c r="Q4" s="732"/>
      <c r="R4" s="1024"/>
      <c r="S4" s="734" t="s">
        <v>17</v>
      </c>
      <c r="T4" s="735" t="s">
        <v>23</v>
      </c>
      <c r="U4" s="41"/>
      <c r="V4" s="728"/>
      <c r="W4" s="728"/>
      <c r="X4" s="149"/>
      <c r="Y4" s="730"/>
      <c r="Z4" s="731"/>
      <c r="AA4" s="731"/>
      <c r="AB4" s="1025"/>
      <c r="AC4" s="1026"/>
      <c r="AD4" s="1027" t="s">
        <v>17</v>
      </c>
      <c r="AE4" s="47" t="s">
        <v>25</v>
      </c>
      <c r="AF4" s="838"/>
      <c r="AG4" s="728"/>
      <c r="AH4" s="838"/>
      <c r="AI4" s="74"/>
      <c r="AJ4" s="730"/>
      <c r="AK4" s="731"/>
      <c r="AL4" s="731"/>
      <c r="AM4" s="1025"/>
      <c r="AN4" s="1028"/>
      <c r="AO4" s="97" t="s">
        <v>17</v>
      </c>
      <c r="AP4" s="1029" t="s">
        <v>26</v>
      </c>
      <c r="AQ4" s="1030"/>
      <c r="AR4" s="1031"/>
      <c r="AS4" s="90"/>
      <c r="AT4" s="749"/>
      <c r="AU4" s="1032"/>
      <c r="AV4" s="1033"/>
      <c r="AW4" s="731"/>
      <c r="AX4" s="1025"/>
      <c r="AY4" s="890"/>
    </row>
    <row r="5">
      <c r="A5" s="49" t="s">
        <v>27</v>
      </c>
      <c r="B5" s="726" t="s">
        <v>28</v>
      </c>
      <c r="C5" s="47" t="s">
        <v>29</v>
      </c>
      <c r="D5" s="1034"/>
      <c r="E5" s="36"/>
      <c r="F5" s="36"/>
      <c r="G5" s="729"/>
      <c r="H5" s="729"/>
      <c r="I5" s="729"/>
      <c r="J5" s="729"/>
      <c r="K5" s="729"/>
      <c r="L5" s="729"/>
      <c r="M5" s="729"/>
      <c r="N5" s="737"/>
      <c r="O5" s="738"/>
      <c r="P5" s="738"/>
      <c r="Q5" s="739"/>
      <c r="R5" s="1024"/>
      <c r="S5" s="741" t="s">
        <v>28</v>
      </c>
      <c r="T5" s="735" t="s">
        <v>34</v>
      </c>
      <c r="U5" s="41"/>
      <c r="V5" s="742"/>
      <c r="W5" s="36"/>
      <c r="X5" s="729"/>
      <c r="Y5" s="737"/>
      <c r="Z5" s="738"/>
      <c r="AA5" s="738"/>
      <c r="AB5" s="1035"/>
      <c r="AC5" s="1026"/>
      <c r="AD5" s="1027" t="s">
        <v>28</v>
      </c>
      <c r="AE5" s="47" t="s">
        <v>35</v>
      </c>
      <c r="AF5" s="41"/>
      <c r="AG5" s="1036"/>
      <c r="AH5" s="40"/>
      <c r="AI5" s="74"/>
      <c r="AJ5" s="756"/>
      <c r="AK5" s="738"/>
      <c r="AL5" s="1037"/>
      <c r="AM5" s="1035"/>
      <c r="AN5" s="1026"/>
      <c r="AO5" s="1038" t="s">
        <v>28</v>
      </c>
      <c r="AP5" s="1029" t="s">
        <v>36</v>
      </c>
      <c r="AQ5" s="1039"/>
      <c r="AR5" s="1040"/>
      <c r="AS5" s="90"/>
      <c r="AT5" s="749"/>
      <c r="AU5" s="1041"/>
      <c r="AV5" s="1042"/>
      <c r="AW5" s="1043"/>
      <c r="AX5" s="1044"/>
      <c r="AY5" s="890"/>
    </row>
    <row r="6">
      <c r="A6" s="49" t="s">
        <v>37</v>
      </c>
      <c r="B6" s="726" t="s">
        <v>38</v>
      </c>
      <c r="C6" s="47" t="s">
        <v>39</v>
      </c>
      <c r="D6" s="41"/>
      <c r="E6" s="728"/>
      <c r="F6" s="774"/>
      <c r="G6" s="1045"/>
      <c r="H6" s="1045"/>
      <c r="I6" s="1045"/>
      <c r="J6" s="1045"/>
      <c r="K6" s="1045"/>
      <c r="L6" s="1045"/>
      <c r="M6" s="768"/>
      <c r="N6" s="737"/>
      <c r="O6" s="738"/>
      <c r="P6" s="738"/>
      <c r="Q6" s="739"/>
      <c r="R6" s="1024"/>
      <c r="S6" s="734" t="s">
        <v>38</v>
      </c>
      <c r="T6" s="735" t="s">
        <v>41</v>
      </c>
      <c r="U6" s="41"/>
      <c r="V6" s="728"/>
      <c r="W6" s="743"/>
      <c r="X6" s="744"/>
      <c r="Y6" s="737"/>
      <c r="Z6" s="738"/>
      <c r="AA6" s="738"/>
      <c r="AB6" s="1035"/>
      <c r="AC6" s="1026"/>
      <c r="AD6" s="1027" t="s">
        <v>38</v>
      </c>
      <c r="AE6" s="47" t="s">
        <v>42</v>
      </c>
      <c r="AF6" s="314"/>
      <c r="AG6" s="1036"/>
      <c r="AH6" s="41"/>
      <c r="AI6" s="74"/>
      <c r="AJ6" s="756"/>
      <c r="AK6" s="1046"/>
      <c r="AL6" s="738"/>
      <c r="AM6" s="1035"/>
      <c r="AN6" s="1047"/>
      <c r="AO6" s="1029" t="s">
        <v>38</v>
      </c>
      <c r="AP6" s="1029" t="s">
        <v>43</v>
      </c>
      <c r="AQ6" s="1048"/>
      <c r="AR6" s="1031"/>
      <c r="AS6" s="90"/>
      <c r="AT6" s="749"/>
      <c r="AU6" s="1041"/>
      <c r="AV6" s="1042"/>
      <c r="AW6" s="1043"/>
      <c r="AX6" s="1044"/>
      <c r="AY6" s="890"/>
    </row>
    <row r="7">
      <c r="A7" s="49" t="s">
        <v>44</v>
      </c>
      <c r="B7" s="745" t="s">
        <v>45</v>
      </c>
      <c r="C7" s="90" t="s">
        <v>46</v>
      </c>
      <c r="D7" s="1049"/>
      <c r="E7" s="747"/>
      <c r="F7" s="748"/>
      <c r="G7" s="753"/>
      <c r="H7" s="753"/>
      <c r="I7" s="753"/>
      <c r="J7" s="753"/>
      <c r="K7" s="753"/>
      <c r="L7" s="753"/>
      <c r="M7" s="749"/>
      <c r="N7" s="737"/>
      <c r="O7" s="738"/>
      <c r="P7" s="738"/>
      <c r="Q7" s="739"/>
      <c r="R7" s="1024"/>
      <c r="S7" s="750" t="s">
        <v>45</v>
      </c>
      <c r="T7" s="751" t="s">
        <v>48</v>
      </c>
      <c r="U7" s="752"/>
      <c r="V7" s="748"/>
      <c r="W7" s="748"/>
      <c r="X7" s="753"/>
      <c r="Y7" s="737"/>
      <c r="Z7" s="738"/>
      <c r="AA7" s="738"/>
      <c r="AB7" s="1035"/>
      <c r="AC7" s="1026"/>
      <c r="AD7" s="97" t="s">
        <v>45</v>
      </c>
      <c r="AE7" s="90" t="s">
        <v>49</v>
      </c>
      <c r="AF7" s="754"/>
      <c r="AG7" s="90"/>
      <c r="AH7" s="752"/>
      <c r="AI7" s="1050"/>
      <c r="AJ7" s="737"/>
      <c r="AK7" s="738"/>
      <c r="AL7" s="738"/>
      <c r="AM7" s="1035"/>
      <c r="AN7" s="1026"/>
      <c r="AO7" s="158" t="s">
        <v>45</v>
      </c>
      <c r="AP7" s="158" t="s">
        <v>236</v>
      </c>
      <c r="AQ7" s="104"/>
      <c r="AR7" s="156"/>
      <c r="AS7" s="183"/>
      <c r="AT7" s="1051"/>
      <c r="AU7" s="756"/>
      <c r="AV7" s="1046"/>
      <c r="AW7" s="738"/>
      <c r="AX7" s="1035"/>
      <c r="AY7" s="890"/>
    </row>
    <row r="8">
      <c r="A8" s="49" t="s">
        <v>51</v>
      </c>
      <c r="B8" s="745" t="s">
        <v>52</v>
      </c>
      <c r="C8" s="94" t="s">
        <v>53</v>
      </c>
      <c r="D8" s="754"/>
      <c r="E8" s="747"/>
      <c r="F8" s="755"/>
      <c r="G8" s="1052"/>
      <c r="H8" s="1053"/>
      <c r="I8" s="1053"/>
      <c r="J8" s="1053"/>
      <c r="K8" s="1053"/>
      <c r="L8" s="1053"/>
      <c r="M8" s="98"/>
      <c r="N8" s="737"/>
      <c r="O8" s="738"/>
      <c r="P8" s="738"/>
      <c r="Q8" s="739"/>
      <c r="R8" s="1024"/>
      <c r="S8" s="750" t="s">
        <v>52</v>
      </c>
      <c r="T8" s="748" t="s">
        <v>55</v>
      </c>
      <c r="U8" s="91"/>
      <c r="V8" s="748"/>
      <c r="W8" s="748"/>
      <c r="X8" s="753"/>
      <c r="Y8" s="737"/>
      <c r="Z8" s="738"/>
      <c r="AA8" s="756"/>
      <c r="AB8" s="1035"/>
      <c r="AC8" s="1026"/>
      <c r="AD8" s="97" t="s">
        <v>52</v>
      </c>
      <c r="AE8" s="90" t="s">
        <v>56</v>
      </c>
      <c r="AF8" s="754"/>
      <c r="AG8" s="90"/>
      <c r="AH8" s="752"/>
      <c r="AI8" s="1050"/>
      <c r="AJ8" s="737"/>
      <c r="AK8" s="738"/>
      <c r="AL8" s="738"/>
      <c r="AM8" s="1035"/>
      <c r="AN8" s="1026"/>
      <c r="AO8" s="158" t="s">
        <v>52</v>
      </c>
      <c r="AP8" s="158" t="s">
        <v>50</v>
      </c>
      <c r="AQ8" s="104"/>
      <c r="AR8" s="194"/>
      <c r="AS8" s="194"/>
      <c r="AT8" s="1054"/>
      <c r="AU8" s="756"/>
      <c r="AV8" s="1046"/>
      <c r="AW8" s="738"/>
      <c r="AX8" s="1035"/>
      <c r="AY8" s="890"/>
    </row>
    <row r="9">
      <c r="A9" s="36" t="s">
        <v>58</v>
      </c>
      <c r="B9" s="714" t="s">
        <v>59</v>
      </c>
      <c r="C9" s="1055" t="s">
        <v>60</v>
      </c>
      <c r="D9" s="104"/>
      <c r="E9" s="728"/>
      <c r="F9" s="774"/>
      <c r="G9" s="1056"/>
      <c r="H9" s="1056"/>
      <c r="I9" s="1056"/>
      <c r="J9" s="1056"/>
      <c r="K9" s="1056"/>
      <c r="L9" s="1056"/>
      <c r="M9" s="785"/>
      <c r="N9" s="737"/>
      <c r="O9" s="738"/>
      <c r="P9" s="738"/>
      <c r="Q9" s="739"/>
      <c r="R9" s="1024"/>
      <c r="S9" s="758" t="s">
        <v>59</v>
      </c>
      <c r="T9" s="759" t="s">
        <v>61</v>
      </c>
      <c r="U9" s="104"/>
      <c r="V9" s="742"/>
      <c r="W9" s="742"/>
      <c r="X9" s="760"/>
      <c r="Y9" s="737"/>
      <c r="Z9" s="738"/>
      <c r="AA9" s="738"/>
      <c r="AB9" s="1035"/>
      <c r="AC9" s="1028"/>
      <c r="AD9" s="184" t="s">
        <v>59</v>
      </c>
      <c r="AE9" s="1055" t="s">
        <v>62</v>
      </c>
      <c r="AF9" s="104"/>
      <c r="AG9" s="1036"/>
      <c r="AH9" s="742"/>
      <c r="AI9" s="1057"/>
      <c r="AJ9" s="756"/>
      <c r="AK9" s="738"/>
      <c r="AL9" s="738"/>
      <c r="AM9" s="1035"/>
      <c r="AN9" s="1026"/>
      <c r="AO9" s="158" t="s">
        <v>59</v>
      </c>
      <c r="AP9" s="1058" t="s">
        <v>57</v>
      </c>
      <c r="AQ9" s="133"/>
      <c r="AR9" s="728"/>
      <c r="AS9" s="774"/>
      <c r="AT9" s="1059"/>
      <c r="AU9" s="756"/>
      <c r="AV9" s="1046"/>
      <c r="AW9" s="738"/>
      <c r="AX9" s="1035"/>
      <c r="AY9" s="890"/>
    </row>
    <row r="10">
      <c r="A10" s="36" t="s">
        <v>64</v>
      </c>
      <c r="B10" s="714" t="s">
        <v>65</v>
      </c>
      <c r="C10" s="1055" t="s">
        <v>66</v>
      </c>
      <c r="D10" s="104"/>
      <c r="E10" s="36"/>
      <c r="F10" s="36"/>
      <c r="G10" s="769"/>
      <c r="H10" s="769"/>
      <c r="I10" s="769"/>
      <c r="J10" s="769"/>
      <c r="K10" s="769"/>
      <c r="L10" s="769"/>
      <c r="M10" s="769"/>
      <c r="N10" s="737"/>
      <c r="O10" s="738"/>
      <c r="P10" s="738"/>
      <c r="Q10" s="739"/>
      <c r="R10" s="1060"/>
      <c r="S10" s="761" t="s">
        <v>65</v>
      </c>
      <c r="T10" s="759" t="s">
        <v>71</v>
      </c>
      <c r="U10" s="104"/>
      <c r="V10" s="161"/>
      <c r="W10" s="194"/>
      <c r="X10" s="762"/>
      <c r="Y10" s="737"/>
      <c r="Z10" s="738"/>
      <c r="AA10" s="738"/>
      <c r="AB10" s="1035"/>
      <c r="AC10" s="1061"/>
      <c r="AD10" s="1062" t="s">
        <v>65</v>
      </c>
      <c r="AE10" s="1062" t="s">
        <v>76</v>
      </c>
      <c r="AF10" s="104"/>
      <c r="AG10" s="767"/>
      <c r="AH10" s="767"/>
      <c r="AI10" s="84"/>
      <c r="AJ10" s="756"/>
      <c r="AK10" s="738"/>
      <c r="AL10" s="738"/>
      <c r="AM10" s="1035"/>
      <c r="AN10" s="1061"/>
      <c r="AO10" s="1063" t="s">
        <v>65</v>
      </c>
      <c r="AP10" s="1063" t="s">
        <v>63</v>
      </c>
      <c r="AQ10" s="133"/>
      <c r="AR10" s="83"/>
      <c r="AS10" s="156"/>
      <c r="AT10" s="1059"/>
      <c r="AU10" s="756"/>
      <c r="AV10" s="1046"/>
      <c r="AW10" s="738"/>
      <c r="AX10" s="1035"/>
      <c r="AY10" s="768"/>
    </row>
    <row r="11" ht="15.75" customHeight="1">
      <c r="A11" s="36" t="s">
        <v>78</v>
      </c>
      <c r="B11" s="714" t="s">
        <v>79</v>
      </c>
      <c r="C11" s="1055" t="s">
        <v>80</v>
      </c>
      <c r="D11" s="104"/>
      <c r="E11" s="36"/>
      <c r="F11" s="36"/>
      <c r="G11" s="765"/>
      <c r="H11" s="765"/>
      <c r="I11" s="765"/>
      <c r="J11" s="765"/>
      <c r="K11" s="765"/>
      <c r="L11" s="765"/>
      <c r="M11" s="149"/>
      <c r="N11" s="737"/>
      <c r="O11" s="738"/>
      <c r="P11" s="738"/>
      <c r="Q11" s="739"/>
      <c r="R11" s="1024"/>
      <c r="S11" s="761" t="s">
        <v>79</v>
      </c>
      <c r="T11" s="763" t="s">
        <v>84</v>
      </c>
      <c r="U11" s="104"/>
      <c r="V11" s="764"/>
      <c r="W11" s="36"/>
      <c r="X11" s="765"/>
      <c r="Y11" s="737"/>
      <c r="Z11" s="738"/>
      <c r="AA11" s="738"/>
      <c r="AB11" s="1035"/>
      <c r="AC11" s="1064"/>
      <c r="AD11" s="184" t="s">
        <v>79</v>
      </c>
      <c r="AE11" s="1055" t="s">
        <v>88</v>
      </c>
      <c r="AF11" s="104"/>
      <c r="AG11" s="1036"/>
      <c r="AH11" s="742"/>
      <c r="AI11" s="1057"/>
      <c r="AJ11" s="756"/>
      <c r="AK11" s="738"/>
      <c r="AL11" s="738"/>
      <c r="AM11" s="1035"/>
      <c r="AN11" s="1065"/>
      <c r="AO11" s="1058" t="s">
        <v>79</v>
      </c>
      <c r="AP11" s="1066" t="s">
        <v>77</v>
      </c>
      <c r="AQ11" s="104"/>
      <c r="AR11" s="1067"/>
      <c r="AS11" s="1068"/>
      <c r="AT11" s="1069"/>
      <c r="AU11" s="1041"/>
      <c r="AV11" s="1042"/>
      <c r="AW11" s="1043"/>
      <c r="AX11" s="1044"/>
      <c r="AY11" s="890"/>
    </row>
    <row r="12">
      <c r="A12" s="36" t="s">
        <v>90</v>
      </c>
      <c r="B12" s="714" t="s">
        <v>91</v>
      </c>
      <c r="C12" s="1055" t="s">
        <v>92</v>
      </c>
      <c r="D12" s="104"/>
      <c r="E12" s="36"/>
      <c r="F12" s="1"/>
      <c r="G12" s="764"/>
      <c r="H12" s="764"/>
      <c r="I12" s="764"/>
      <c r="J12" s="764"/>
      <c r="K12" s="764"/>
      <c r="L12" s="764"/>
      <c r="M12" s="766"/>
      <c r="N12" s="737"/>
      <c r="O12" s="738"/>
      <c r="P12" s="738"/>
      <c r="Q12" s="739"/>
      <c r="R12" s="1024"/>
      <c r="S12" s="761" t="s">
        <v>91</v>
      </c>
      <c r="T12" s="763" t="s">
        <v>97</v>
      </c>
      <c r="U12" s="104"/>
      <c r="V12" s="767"/>
      <c r="W12" s="767"/>
      <c r="X12" s="768"/>
      <c r="Y12" s="737"/>
      <c r="Z12" s="738"/>
      <c r="AA12" s="738"/>
      <c r="AB12" s="1035"/>
      <c r="AC12" s="1026"/>
      <c r="AD12" s="184" t="s">
        <v>91</v>
      </c>
      <c r="AE12" s="1055" t="s">
        <v>102</v>
      </c>
      <c r="AF12" s="104"/>
      <c r="AG12" s="49"/>
      <c r="AH12" s="36"/>
      <c r="AI12" s="148"/>
      <c r="AJ12" s="756"/>
      <c r="AK12" s="738"/>
      <c r="AL12" s="738"/>
      <c r="AM12" s="1035"/>
      <c r="AN12" s="1026"/>
      <c r="AO12" s="1058" t="s">
        <v>91</v>
      </c>
      <c r="AP12" s="1066" t="s">
        <v>89</v>
      </c>
      <c r="AQ12" s="104"/>
      <c r="AR12" s="1067"/>
      <c r="AS12" s="1070"/>
      <c r="AT12" s="1069"/>
      <c r="AU12" s="1041"/>
      <c r="AV12" s="1042"/>
      <c r="AW12" s="1043"/>
      <c r="AX12" s="1044"/>
      <c r="AY12" s="890"/>
    </row>
    <row r="13" ht="15.0" customHeight="1">
      <c r="A13" s="36" t="s">
        <v>104</v>
      </c>
      <c r="B13" s="714" t="s">
        <v>105</v>
      </c>
      <c r="C13" s="1055" t="s">
        <v>106</v>
      </c>
      <c r="D13" s="104"/>
      <c r="E13" s="728"/>
      <c r="F13" s="36"/>
      <c r="G13" s="765"/>
      <c r="H13" s="765"/>
      <c r="I13" s="765"/>
      <c r="J13" s="765"/>
      <c r="K13" s="765"/>
      <c r="L13" s="765"/>
      <c r="M13" s="765"/>
      <c r="N13" s="737"/>
      <c r="O13" s="738"/>
      <c r="P13" s="738"/>
      <c r="Q13" s="739"/>
      <c r="R13" s="1060"/>
      <c r="S13" s="758" t="s">
        <v>105</v>
      </c>
      <c r="T13" s="763" t="s">
        <v>110</v>
      </c>
      <c r="U13" s="104"/>
      <c r="V13" s="36"/>
      <c r="W13" s="36"/>
      <c r="X13" s="765"/>
      <c r="Y13" s="737"/>
      <c r="Z13" s="738"/>
      <c r="AA13" s="738"/>
      <c r="AB13" s="1035"/>
      <c r="AC13" s="1028"/>
      <c r="AD13" s="184" t="s">
        <v>105</v>
      </c>
      <c r="AE13" s="1055" t="s">
        <v>114</v>
      </c>
      <c r="AF13" s="104"/>
      <c r="AG13" s="767"/>
      <c r="AH13" s="104"/>
      <c r="AI13" s="84"/>
      <c r="AJ13" s="756"/>
      <c r="AK13" s="738"/>
      <c r="AL13" s="738"/>
      <c r="AM13" s="1035"/>
      <c r="AN13" s="1026"/>
      <c r="AO13" s="1071">
        <v>55.0</v>
      </c>
      <c r="AP13" s="1066" t="s">
        <v>103</v>
      </c>
      <c r="AQ13" s="104"/>
      <c r="AR13" s="1067"/>
      <c r="AS13" s="1070"/>
      <c r="AT13" s="1069"/>
      <c r="AU13" s="756"/>
      <c r="AV13" s="1046"/>
      <c r="AW13" s="738"/>
      <c r="AX13" s="1035"/>
      <c r="AY13" s="768"/>
    </row>
    <row r="14" ht="15.0" customHeight="1">
      <c r="A14" s="36" t="s">
        <v>116</v>
      </c>
      <c r="B14" s="714" t="s">
        <v>117</v>
      </c>
      <c r="C14" s="1055" t="s">
        <v>118</v>
      </c>
      <c r="D14" s="104"/>
      <c r="E14" s="743"/>
      <c r="F14" s="36"/>
      <c r="G14" s="729"/>
      <c r="H14" s="729"/>
      <c r="I14" s="729"/>
      <c r="J14" s="729"/>
      <c r="K14" s="729"/>
      <c r="L14" s="729"/>
      <c r="M14" s="729"/>
      <c r="N14" s="737"/>
      <c r="O14" s="738"/>
      <c r="P14" s="738"/>
      <c r="Q14" s="739"/>
      <c r="R14" s="1024"/>
      <c r="S14" s="761" t="s">
        <v>117</v>
      </c>
      <c r="T14" s="763" t="s">
        <v>123</v>
      </c>
      <c r="U14" s="104"/>
      <c r="V14" s="769"/>
      <c r="W14" s="742"/>
      <c r="X14" s="765"/>
      <c r="Y14" s="737"/>
      <c r="Z14" s="738"/>
      <c r="AA14" s="738"/>
      <c r="AB14" s="1035"/>
      <c r="AC14" s="1064"/>
      <c r="AD14" s="184" t="s">
        <v>117</v>
      </c>
      <c r="AE14" s="1055" t="s">
        <v>125</v>
      </c>
      <c r="AF14" s="104"/>
      <c r="AG14" s="156"/>
      <c r="AH14" s="104"/>
      <c r="AI14" s="1072"/>
      <c r="AJ14" s="756"/>
      <c r="AK14" s="1046"/>
      <c r="AL14" s="738"/>
      <c r="AM14" s="1035"/>
      <c r="AN14" s="1026"/>
      <c r="AO14" s="1058" t="s">
        <v>117</v>
      </c>
      <c r="AP14" s="1058" t="s">
        <v>115</v>
      </c>
      <c r="AQ14" s="104"/>
      <c r="AR14" s="183"/>
      <c r="AS14" s="71"/>
      <c r="AT14" s="84"/>
      <c r="AU14" s="1041"/>
      <c r="AV14" s="1042"/>
      <c r="AW14" s="1043"/>
      <c r="AX14" s="1044"/>
      <c r="AY14" s="890"/>
    </row>
    <row r="15" ht="15.0" customHeight="1">
      <c r="A15" s="36" t="s">
        <v>127</v>
      </c>
      <c r="B15" s="714" t="s">
        <v>128</v>
      </c>
      <c r="C15" s="1055" t="s">
        <v>129</v>
      </c>
      <c r="D15" s="104"/>
      <c r="E15" s="728"/>
      <c r="F15" s="36"/>
      <c r="G15" s="729"/>
      <c r="H15" s="729"/>
      <c r="I15" s="729"/>
      <c r="J15" s="729"/>
      <c r="K15" s="729"/>
      <c r="L15" s="729"/>
      <c r="M15" s="785"/>
      <c r="N15" s="770"/>
      <c r="O15" s="738"/>
      <c r="P15" s="771"/>
      <c r="Q15" s="772"/>
      <c r="R15" s="1073"/>
      <c r="S15" s="758" t="s">
        <v>128</v>
      </c>
      <c r="T15" s="763" t="s">
        <v>133</v>
      </c>
      <c r="U15" s="104"/>
      <c r="V15" s="769"/>
      <c r="W15" s="767"/>
      <c r="X15" s="765"/>
      <c r="Y15" s="770"/>
      <c r="Z15" s="738"/>
      <c r="AA15" s="738"/>
      <c r="AB15" s="1074"/>
      <c r="AC15" s="1026"/>
      <c r="AD15" s="1062" t="s">
        <v>128</v>
      </c>
      <c r="AE15" s="1055" t="s">
        <v>134</v>
      </c>
      <c r="AF15" s="104"/>
      <c r="AG15" s="156"/>
      <c r="AH15" s="104"/>
      <c r="AI15" s="1059"/>
      <c r="AJ15" s="1075"/>
      <c r="AK15" s="738"/>
      <c r="AL15" s="771"/>
      <c r="AM15" s="1074"/>
      <c r="AN15" s="1026"/>
      <c r="AO15" s="146" t="s">
        <v>128</v>
      </c>
      <c r="AP15" s="1076"/>
      <c r="AQ15" s="121"/>
      <c r="AR15" s="1077"/>
      <c r="AS15" s="1077"/>
      <c r="AT15" s="1078"/>
      <c r="AU15" s="1079"/>
      <c r="AV15" s="1080"/>
      <c r="AW15" s="1081"/>
      <c r="AX15" s="1082"/>
      <c r="AY15" s="1083"/>
    </row>
    <row r="16">
      <c r="A16" s="36" t="s">
        <v>136</v>
      </c>
      <c r="B16" s="714" t="s">
        <v>137</v>
      </c>
      <c r="C16" s="1055" t="s">
        <v>138</v>
      </c>
      <c r="D16" s="104"/>
      <c r="E16" s="728"/>
      <c r="F16" s="36"/>
      <c r="G16" s="729"/>
      <c r="H16" s="729"/>
      <c r="I16" s="729"/>
      <c r="J16" s="729"/>
      <c r="K16" s="729"/>
      <c r="L16" s="729"/>
      <c r="M16" s="729"/>
      <c r="N16" s="737"/>
      <c r="O16" s="738"/>
      <c r="P16" s="738"/>
      <c r="Q16" s="739"/>
      <c r="R16" s="1024"/>
      <c r="S16" s="758" t="s">
        <v>137</v>
      </c>
      <c r="T16" s="763" t="s">
        <v>143</v>
      </c>
      <c r="U16" s="104"/>
      <c r="V16" s="774"/>
      <c r="W16" s="728"/>
      <c r="X16" s="775"/>
      <c r="Y16" s="737"/>
      <c r="Z16" s="738"/>
      <c r="AA16" s="738"/>
      <c r="AB16" s="1035"/>
      <c r="AC16" s="1026"/>
      <c r="AD16" s="1062" t="s">
        <v>137</v>
      </c>
      <c r="AE16" s="1077"/>
      <c r="AF16" s="474"/>
      <c r="AG16" s="1084"/>
      <c r="AH16" s="206"/>
      <c r="AI16" s="1078"/>
      <c r="AJ16" s="1041"/>
      <c r="AK16" s="1042"/>
      <c r="AL16" s="1043"/>
      <c r="AM16" s="1044"/>
      <c r="AN16" s="1026"/>
      <c r="AO16" s="146" t="s">
        <v>137</v>
      </c>
      <c r="AP16" s="1077"/>
      <c r="AQ16" s="1085"/>
      <c r="AR16" s="1077"/>
      <c r="AS16" s="1086"/>
      <c r="AT16" s="1087"/>
      <c r="AU16" s="1041"/>
      <c r="AV16" s="1042"/>
      <c r="AW16" s="1043"/>
      <c r="AX16" s="1044"/>
      <c r="AY16" s="890"/>
    </row>
    <row r="17">
      <c r="A17" s="36" t="s">
        <v>145</v>
      </c>
      <c r="B17" s="714" t="s">
        <v>146</v>
      </c>
      <c r="C17" s="1055" t="s">
        <v>147</v>
      </c>
      <c r="D17" s="104"/>
      <c r="E17" s="728"/>
      <c r="F17" s="36"/>
      <c r="G17" s="765"/>
      <c r="H17" s="765"/>
      <c r="I17" s="765"/>
      <c r="J17" s="765"/>
      <c r="K17" s="765"/>
      <c r="L17" s="765"/>
      <c r="M17" s="789"/>
      <c r="N17" s="737"/>
      <c r="O17" s="738"/>
      <c r="P17" s="738"/>
      <c r="Q17" s="739"/>
      <c r="R17" s="1024"/>
      <c r="S17" s="758" t="s">
        <v>146</v>
      </c>
      <c r="T17" s="759" t="s">
        <v>151</v>
      </c>
      <c r="U17" s="104"/>
      <c r="V17" s="774"/>
      <c r="W17" s="728"/>
      <c r="X17" s="765"/>
      <c r="Y17" s="737"/>
      <c r="Z17" s="738"/>
      <c r="AA17" s="738"/>
      <c r="AB17" s="1035"/>
      <c r="AC17" s="1026"/>
      <c r="AD17" s="1062" t="s">
        <v>146</v>
      </c>
      <c r="AE17" s="1055" t="s">
        <v>152</v>
      </c>
      <c r="AF17" s="104"/>
      <c r="AG17" s="728"/>
      <c r="AH17" s="104"/>
      <c r="AI17" s="1051"/>
      <c r="AJ17" s="756"/>
      <c r="AK17" s="738"/>
      <c r="AL17" s="738"/>
      <c r="AM17" s="1035"/>
      <c r="AN17" s="1026"/>
      <c r="AO17" s="146" t="s">
        <v>146</v>
      </c>
      <c r="AP17" s="1076"/>
      <c r="AQ17" s="121"/>
      <c r="AR17" s="1077"/>
      <c r="AS17" s="1077"/>
      <c r="AT17" s="1078"/>
      <c r="AU17" s="1041"/>
      <c r="AV17" s="1042"/>
      <c r="AW17" s="1043"/>
      <c r="AX17" s="1044"/>
      <c r="AY17" s="890"/>
    </row>
    <row r="18" ht="15.0" customHeight="1">
      <c r="A18" s="36" t="s">
        <v>153</v>
      </c>
      <c r="B18" s="714" t="s">
        <v>154</v>
      </c>
      <c r="C18" s="1055" t="s">
        <v>155</v>
      </c>
      <c r="D18" s="104"/>
      <c r="E18" s="1"/>
      <c r="F18" s="36"/>
      <c r="G18" s="729"/>
      <c r="H18" s="729"/>
      <c r="I18" s="729"/>
      <c r="J18" s="729"/>
      <c r="K18" s="729"/>
      <c r="L18" s="729"/>
      <c r="M18" s="729"/>
      <c r="N18" s="315"/>
      <c r="O18" s="738"/>
      <c r="P18" s="738"/>
      <c r="Q18" s="739"/>
      <c r="R18" s="1073"/>
      <c r="S18" s="758" t="s">
        <v>154</v>
      </c>
      <c r="T18" s="1088" t="s">
        <v>160</v>
      </c>
      <c r="U18" s="104"/>
      <c r="V18" s="49"/>
      <c r="W18" s="49"/>
      <c r="X18" s="132"/>
      <c r="Y18" s="770"/>
      <c r="Z18" s="771"/>
      <c r="AA18" s="771"/>
      <c r="AB18" s="1035"/>
      <c r="AC18" s="1026"/>
      <c r="AD18" s="1062" t="s">
        <v>154</v>
      </c>
      <c r="AE18" s="1089" t="s">
        <v>161</v>
      </c>
      <c r="AF18" s="104"/>
      <c r="AG18" s="1090"/>
      <c r="AH18" s="104"/>
      <c r="AI18" s="783"/>
      <c r="AJ18" s="1075"/>
      <c r="AK18" s="1091"/>
      <c r="AL18" s="771"/>
      <c r="AM18" s="1074"/>
      <c r="AN18" s="1092"/>
      <c r="AO18" s="146" t="s">
        <v>154</v>
      </c>
      <c r="AP18" s="1066" t="s">
        <v>135</v>
      </c>
      <c r="AQ18" s="1093"/>
      <c r="AR18" s="1094"/>
      <c r="AS18" s="36"/>
      <c r="AT18" s="783"/>
      <c r="AU18" s="1079"/>
      <c r="AV18" s="1080"/>
      <c r="AW18" s="1081"/>
      <c r="AX18" s="1082"/>
      <c r="AY18" s="1083"/>
    </row>
    <row r="19" ht="14.25" customHeight="1">
      <c r="A19" s="36" t="s">
        <v>163</v>
      </c>
      <c r="B19" s="714" t="s">
        <v>164</v>
      </c>
      <c r="C19" s="1055" t="s">
        <v>165</v>
      </c>
      <c r="D19" s="104"/>
      <c r="E19" s="774"/>
      <c r="F19" s="36"/>
      <c r="G19" s="729"/>
      <c r="H19" s="729"/>
      <c r="I19" s="729"/>
      <c r="J19" s="729"/>
      <c r="K19" s="729"/>
      <c r="L19" s="729"/>
      <c r="M19" s="729"/>
      <c r="N19" s="737"/>
      <c r="O19" s="738"/>
      <c r="P19" s="738"/>
      <c r="Q19" s="739"/>
      <c r="R19" s="1024"/>
      <c r="S19" s="758" t="s">
        <v>164</v>
      </c>
      <c r="T19" s="759" t="s">
        <v>169</v>
      </c>
      <c r="U19" s="104"/>
      <c r="V19" s="189"/>
      <c r="W19" s="782"/>
      <c r="X19" s="783"/>
      <c r="Y19" s="737"/>
      <c r="Z19" s="738"/>
      <c r="AA19" s="738"/>
      <c r="AB19" s="1035"/>
      <c r="AC19" s="1026"/>
      <c r="AD19" s="1062" t="s">
        <v>164</v>
      </c>
      <c r="AE19" s="1055" t="s">
        <v>170</v>
      </c>
      <c r="AF19" s="104"/>
      <c r="AG19" s="1095"/>
      <c r="AH19" s="104"/>
      <c r="AI19" s="1096"/>
      <c r="AJ19" s="756"/>
      <c r="AK19" s="738"/>
      <c r="AL19" s="738"/>
      <c r="AM19" s="1035"/>
      <c r="AN19" s="1026"/>
      <c r="AO19" s="146" t="s">
        <v>164</v>
      </c>
      <c r="AP19" s="1066" t="s">
        <v>162</v>
      </c>
      <c r="AQ19" s="1097"/>
      <c r="AR19" s="183"/>
      <c r="AS19" s="71"/>
      <c r="AT19" s="84"/>
      <c r="AU19" s="1041"/>
      <c r="AV19" s="1042"/>
      <c r="AW19" s="1043"/>
      <c r="AX19" s="1044"/>
      <c r="AY19" s="890"/>
    </row>
    <row r="20">
      <c r="A20" s="36" t="s">
        <v>172</v>
      </c>
      <c r="B20" s="714" t="s">
        <v>173</v>
      </c>
      <c r="C20" s="1055" t="s">
        <v>174</v>
      </c>
      <c r="D20" s="104"/>
      <c r="E20" s="728"/>
      <c r="F20" s="728"/>
      <c r="G20" s="1023"/>
      <c r="H20" s="1023"/>
      <c r="I20" s="1023"/>
      <c r="J20" s="1023"/>
      <c r="K20" s="1023"/>
      <c r="L20" s="1023"/>
      <c r="M20" s="729"/>
      <c r="N20" s="737"/>
      <c r="O20" s="738"/>
      <c r="P20" s="738"/>
      <c r="Q20" s="739"/>
      <c r="R20" s="1024"/>
      <c r="S20" s="761" t="s">
        <v>173</v>
      </c>
      <c r="T20" s="759" t="s">
        <v>179</v>
      </c>
      <c r="U20" s="104"/>
      <c r="V20" s="1"/>
      <c r="W20" s="36"/>
      <c r="X20" s="148"/>
      <c r="Y20" s="737"/>
      <c r="Z20" s="738"/>
      <c r="AA20" s="738"/>
      <c r="AB20" s="1035"/>
      <c r="AC20" s="1026"/>
      <c r="AD20" s="184" t="s">
        <v>173</v>
      </c>
      <c r="AE20" s="1062" t="s">
        <v>180</v>
      </c>
      <c r="AF20" s="1098"/>
      <c r="AG20" s="161"/>
      <c r="AH20" s="1098"/>
      <c r="AI20" s="148"/>
      <c r="AJ20" s="756"/>
      <c r="AK20" s="738"/>
      <c r="AL20" s="738"/>
      <c r="AM20" s="1035"/>
      <c r="AN20" s="1026"/>
      <c r="AO20" s="146" t="s">
        <v>173</v>
      </c>
      <c r="AP20" s="1066" t="s">
        <v>171</v>
      </c>
      <c r="AQ20" s="1097"/>
      <c r="AR20" s="1099"/>
      <c r="AS20" s="183"/>
      <c r="AT20" s="762"/>
      <c r="AU20" s="1041"/>
      <c r="AV20" s="1042"/>
      <c r="AW20" s="1043"/>
      <c r="AX20" s="1044"/>
      <c r="AY20" s="890"/>
    </row>
    <row r="21" ht="15.0" customHeight="1">
      <c r="A21" s="36" t="s">
        <v>182</v>
      </c>
      <c r="B21" s="714" t="s">
        <v>187</v>
      </c>
      <c r="C21" s="1055" t="s">
        <v>183</v>
      </c>
      <c r="D21" s="104"/>
      <c r="E21" s="728"/>
      <c r="F21" s="774"/>
      <c r="G21" s="1056"/>
      <c r="H21" s="1056"/>
      <c r="I21" s="1056"/>
      <c r="J21" s="1056"/>
      <c r="K21" s="1056"/>
      <c r="L21" s="1056"/>
      <c r="M21" s="785"/>
      <c r="N21" s="737"/>
      <c r="O21" s="738"/>
      <c r="P21" s="738"/>
      <c r="Q21" s="739"/>
      <c r="R21" s="1060"/>
      <c r="S21" s="758" t="s">
        <v>187</v>
      </c>
      <c r="T21" s="759" t="s">
        <v>188</v>
      </c>
      <c r="U21" s="104"/>
      <c r="V21" s="787"/>
      <c r="W21" s="1"/>
      <c r="X21" s="148"/>
      <c r="Y21" s="788"/>
      <c r="Z21" s="738"/>
      <c r="AA21" s="738"/>
      <c r="AB21" s="1035"/>
      <c r="AC21" s="1026"/>
      <c r="AD21" s="1055" t="s">
        <v>187</v>
      </c>
      <c r="AE21" s="1100" t="s">
        <v>189</v>
      </c>
      <c r="AF21" s="104"/>
      <c r="AG21" s="397"/>
      <c r="AH21" s="142"/>
      <c r="AI21" s="154"/>
      <c r="AJ21" s="756"/>
      <c r="AK21" s="1046"/>
      <c r="AL21" s="738"/>
      <c r="AM21" s="1035"/>
      <c r="AN21" s="1026"/>
      <c r="AO21" s="146" t="s">
        <v>187</v>
      </c>
      <c r="AP21" s="1066" t="s">
        <v>181</v>
      </c>
      <c r="AQ21" s="1097"/>
      <c r="AR21" s="183"/>
      <c r="AS21" s="1094"/>
      <c r="AT21" s="1101"/>
      <c r="AU21" s="756"/>
      <c r="AV21" s="1046"/>
      <c r="AW21" s="738"/>
      <c r="AX21" s="1035"/>
      <c r="AY21" s="768"/>
    </row>
    <row r="22" ht="15.75" customHeight="1">
      <c r="A22" s="36" t="s">
        <v>191</v>
      </c>
      <c r="B22" s="714" t="s">
        <v>192</v>
      </c>
      <c r="C22" s="1055" t="s">
        <v>193</v>
      </c>
      <c r="D22" s="104"/>
      <c r="E22" s="776"/>
      <c r="F22" s="769"/>
      <c r="G22" s="760"/>
      <c r="H22" s="760"/>
      <c r="I22" s="760"/>
      <c r="J22" s="760"/>
      <c r="K22" s="760"/>
      <c r="L22" s="760"/>
      <c r="M22" s="777"/>
      <c r="N22" s="737"/>
      <c r="O22" s="738"/>
      <c r="P22" s="738"/>
      <c r="Q22" s="739"/>
      <c r="R22" s="1024"/>
      <c r="S22" s="1102" t="s">
        <v>192</v>
      </c>
      <c r="T22" s="763" t="s">
        <v>198</v>
      </c>
      <c r="U22" s="104"/>
      <c r="V22" s="1"/>
      <c r="W22" s="728"/>
      <c r="X22" s="186"/>
      <c r="Y22" s="737"/>
      <c r="Z22" s="738"/>
      <c r="AA22" s="738"/>
      <c r="AB22" s="1035"/>
      <c r="AC22" s="1026"/>
      <c r="AD22" s="1103" t="s">
        <v>192</v>
      </c>
      <c r="AE22" s="1100" t="s">
        <v>199</v>
      </c>
      <c r="AF22" s="104"/>
      <c r="AG22" s="71"/>
      <c r="AH22" s="40"/>
      <c r="AI22" s="154"/>
      <c r="AJ22" s="756"/>
      <c r="AK22" s="1046"/>
      <c r="AL22" s="738"/>
      <c r="AM22" s="1035"/>
      <c r="AN22" s="1026"/>
      <c r="AO22" s="759" t="s">
        <v>192</v>
      </c>
      <c r="AP22" s="146" t="s">
        <v>190</v>
      </c>
      <c r="AQ22" s="1093"/>
      <c r="AR22" s="1094"/>
      <c r="AS22" s="1094"/>
      <c r="AT22" s="1101"/>
      <c r="AU22" s="1041"/>
      <c r="AV22" s="1042"/>
      <c r="AW22" s="1043"/>
      <c r="AX22" s="1044"/>
      <c r="AY22" s="890"/>
    </row>
    <row r="23" ht="15.75" customHeight="1">
      <c r="A23" s="36" t="s">
        <v>201</v>
      </c>
      <c r="B23" s="1104" t="s">
        <v>202</v>
      </c>
      <c r="C23" s="1055" t="s">
        <v>203</v>
      </c>
      <c r="D23" s="155"/>
      <c r="E23" s="36"/>
      <c r="F23" s="36"/>
      <c r="G23" s="768"/>
      <c r="H23" s="768"/>
      <c r="I23" s="768"/>
      <c r="J23" s="768"/>
      <c r="K23" s="768"/>
      <c r="L23" s="768"/>
      <c r="M23" s="766"/>
      <c r="N23" s="737"/>
      <c r="O23" s="738"/>
      <c r="P23" s="738"/>
      <c r="Q23" s="791"/>
      <c r="R23" s="1105"/>
      <c r="S23" s="1102" t="s">
        <v>202</v>
      </c>
      <c r="T23" s="763" t="s">
        <v>207</v>
      </c>
      <c r="U23" s="104"/>
      <c r="V23" s="728"/>
      <c r="W23" s="728"/>
      <c r="X23" s="729"/>
      <c r="Y23" s="737"/>
      <c r="Z23" s="738"/>
      <c r="AA23" s="738"/>
      <c r="AB23" s="1035"/>
      <c r="AC23" s="1106"/>
      <c r="AD23" s="1103" t="s">
        <v>202</v>
      </c>
      <c r="AE23" s="1100" t="s">
        <v>208</v>
      </c>
      <c r="AF23" s="104"/>
      <c r="AG23" s="36"/>
      <c r="AH23" s="104"/>
      <c r="AI23" s="1107"/>
      <c r="AJ23" s="756"/>
      <c r="AK23" s="1046"/>
      <c r="AL23" s="738"/>
      <c r="AM23" s="1035"/>
      <c r="AN23" s="1108"/>
      <c r="AO23" s="759" t="s">
        <v>202</v>
      </c>
      <c r="AP23" s="146" t="s">
        <v>200</v>
      </c>
      <c r="AQ23" s="1093"/>
      <c r="AR23" s="1099"/>
      <c r="AS23" s="183"/>
      <c r="AT23" s="762"/>
      <c r="AU23" s="1041"/>
      <c r="AV23" s="1042"/>
      <c r="AW23" s="1043"/>
      <c r="AX23" s="1044"/>
      <c r="AY23" s="890"/>
    </row>
    <row r="24" ht="15.0" customHeight="1">
      <c r="A24" s="36" t="s">
        <v>210</v>
      </c>
      <c r="B24" s="714" t="s">
        <v>211</v>
      </c>
      <c r="C24" s="1055" t="s">
        <v>212</v>
      </c>
      <c r="D24" s="104"/>
      <c r="E24" s="769"/>
      <c r="F24" s="769"/>
      <c r="G24" s="765"/>
      <c r="H24" s="765"/>
      <c r="I24" s="765"/>
      <c r="J24" s="765"/>
      <c r="K24" s="765"/>
      <c r="L24" s="765"/>
      <c r="M24" s="785"/>
      <c r="N24" s="737"/>
      <c r="O24" s="738"/>
      <c r="P24" s="738"/>
      <c r="Q24" s="791"/>
      <c r="R24" s="1109"/>
      <c r="S24" s="1102" t="s">
        <v>211</v>
      </c>
      <c r="T24" s="763" t="s">
        <v>217</v>
      </c>
      <c r="U24" s="104"/>
      <c r="V24" s="742"/>
      <c r="W24" s="36"/>
      <c r="X24" s="783"/>
      <c r="Y24" s="737"/>
      <c r="Z24" s="738"/>
      <c r="AA24" s="738"/>
      <c r="AB24" s="1035"/>
      <c r="AC24" s="1026"/>
      <c r="AD24" s="1103" t="s">
        <v>211</v>
      </c>
      <c r="AE24" s="1100" t="s">
        <v>218</v>
      </c>
      <c r="AF24" s="104"/>
      <c r="AG24" s="1095"/>
      <c r="AH24" s="134"/>
      <c r="AI24" s="1096"/>
      <c r="AJ24" s="756"/>
      <c r="AK24" s="1046"/>
      <c r="AL24" s="738"/>
      <c r="AM24" s="1035"/>
      <c r="AN24" s="1026"/>
      <c r="AO24" s="759" t="s">
        <v>211</v>
      </c>
      <c r="AP24" s="146" t="s">
        <v>209</v>
      </c>
      <c r="AQ24" s="1110"/>
      <c r="AR24" s="1036"/>
      <c r="AS24" s="36"/>
      <c r="AT24" s="84"/>
      <c r="AU24" s="756"/>
      <c r="AV24" s="1046"/>
      <c r="AW24" s="738"/>
      <c r="AX24" s="1035"/>
      <c r="AY24" s="768"/>
    </row>
    <row r="25" ht="15.0" customHeight="1">
      <c r="A25" s="36" t="s">
        <v>220</v>
      </c>
      <c r="B25" s="714" t="s">
        <v>221</v>
      </c>
      <c r="C25" s="1089" t="s">
        <v>222</v>
      </c>
      <c r="D25" s="104"/>
      <c r="E25" s="774"/>
      <c r="F25" s="742"/>
      <c r="G25" s="760"/>
      <c r="H25" s="760"/>
      <c r="I25" s="760"/>
      <c r="J25" s="760"/>
      <c r="K25" s="760"/>
      <c r="L25" s="760"/>
      <c r="M25" s="760"/>
      <c r="N25" s="737"/>
      <c r="O25" s="738"/>
      <c r="P25" s="738"/>
      <c r="Q25" s="739"/>
      <c r="R25" s="1024"/>
      <c r="S25" s="1102" t="s">
        <v>221</v>
      </c>
      <c r="T25" s="763" t="s">
        <v>227</v>
      </c>
      <c r="U25" s="104"/>
      <c r="V25" s="774"/>
      <c r="W25" s="728"/>
      <c r="X25" s="793"/>
      <c r="Y25" s="756"/>
      <c r="Z25" s="738"/>
      <c r="AA25" s="738"/>
      <c r="AB25" s="1035"/>
      <c r="AC25" s="1026"/>
      <c r="AD25" s="1103" t="s">
        <v>221</v>
      </c>
      <c r="AE25" s="1100" t="s">
        <v>228</v>
      </c>
      <c r="AF25" s="104"/>
      <c r="AG25" s="41"/>
      <c r="AH25" s="104"/>
      <c r="AI25" s="1054"/>
      <c r="AJ25" s="756"/>
      <c r="AK25" s="1046"/>
      <c r="AL25" s="738"/>
      <c r="AM25" s="1035"/>
      <c r="AN25" s="1064" t="s">
        <v>229</v>
      </c>
      <c r="AO25" s="759" t="s">
        <v>221</v>
      </c>
      <c r="AP25" s="146" t="s">
        <v>219</v>
      </c>
      <c r="AQ25" s="155"/>
      <c r="AR25" s="40"/>
      <c r="AS25" s="49"/>
      <c r="AT25" s="1111"/>
      <c r="AU25" s="1041"/>
      <c r="AV25" s="1042"/>
      <c r="AW25" s="1043"/>
      <c r="AX25" s="1044"/>
      <c r="AY25" s="890"/>
    </row>
    <row r="26" ht="13.5" customHeight="1">
      <c r="A26" s="36" t="s">
        <v>231</v>
      </c>
      <c r="B26" s="1104" t="s">
        <v>232</v>
      </c>
      <c r="C26" s="1055" t="s">
        <v>233</v>
      </c>
      <c r="D26" s="104"/>
      <c r="E26" s="194"/>
      <c r="F26" s="40"/>
      <c r="G26" s="42"/>
      <c r="H26" s="42"/>
      <c r="I26" s="42"/>
      <c r="J26" s="42"/>
      <c r="K26" s="42"/>
      <c r="L26" s="42"/>
      <c r="M26" s="84"/>
      <c r="N26" s="737"/>
      <c r="O26" s="738"/>
      <c r="P26" s="738"/>
      <c r="Q26" s="791"/>
      <c r="R26" s="1105"/>
      <c r="S26" s="1102" t="s">
        <v>232</v>
      </c>
      <c r="T26" s="763" t="s">
        <v>235</v>
      </c>
      <c r="U26" s="104"/>
      <c r="V26" s="794"/>
      <c r="W26" s="36"/>
      <c r="X26" s="729"/>
      <c r="Y26" s="315"/>
      <c r="Z26" s="738"/>
      <c r="AA26" s="738"/>
      <c r="AB26" s="739"/>
      <c r="AC26" s="1112"/>
      <c r="AD26" s="219" t="s">
        <v>232</v>
      </c>
      <c r="AE26" s="342" t="s">
        <v>244</v>
      </c>
      <c r="AF26" s="215"/>
      <c r="AG26" s="1113"/>
      <c r="AH26" s="215"/>
      <c r="AI26" s="1114"/>
      <c r="AJ26" s="756"/>
      <c r="AK26" s="1046"/>
      <c r="AL26" s="738"/>
      <c r="AM26" s="1035"/>
      <c r="AN26" s="1112"/>
      <c r="AO26" s="759" t="s">
        <v>232</v>
      </c>
      <c r="AP26" s="146" t="s">
        <v>230</v>
      </c>
      <c r="AQ26" s="155"/>
      <c r="AR26" s="40"/>
      <c r="AS26" s="40"/>
      <c r="AT26" s="154"/>
      <c r="AU26" s="1041"/>
      <c r="AV26" s="1042"/>
      <c r="AW26" s="1043"/>
      <c r="AX26" s="1044"/>
      <c r="AY26" s="890"/>
    </row>
    <row r="27" ht="15.0" customHeight="1">
      <c r="A27" s="36" t="s">
        <v>238</v>
      </c>
      <c r="B27" s="795" t="s">
        <v>239</v>
      </c>
      <c r="C27" s="1115" t="s">
        <v>240</v>
      </c>
      <c r="D27" s="215"/>
      <c r="E27" s="1116"/>
      <c r="F27" s="1117"/>
      <c r="G27" s="1117"/>
      <c r="H27" s="1117"/>
      <c r="I27" s="1117"/>
      <c r="J27" s="1117"/>
      <c r="K27" s="1117"/>
      <c r="L27" s="1117"/>
      <c r="M27" s="1117"/>
      <c r="N27" s="737"/>
      <c r="O27" s="738"/>
      <c r="P27" s="738"/>
      <c r="Q27" s="791"/>
      <c r="R27" s="1105"/>
      <c r="S27" s="800" t="s">
        <v>239</v>
      </c>
      <c r="T27" s="796" t="s">
        <v>242</v>
      </c>
      <c r="U27" s="215"/>
      <c r="V27" s="797"/>
      <c r="W27" s="798"/>
      <c r="X27" s="799"/>
      <c r="Y27" s="737"/>
      <c r="Z27" s="738"/>
      <c r="AA27" s="738"/>
      <c r="AB27" s="1035"/>
      <c r="AC27" s="1118"/>
      <c r="AD27" s="796" t="s">
        <v>239</v>
      </c>
      <c r="AE27" s="342" t="s">
        <v>258</v>
      </c>
      <c r="AF27" s="215"/>
      <c r="AG27" s="1113"/>
      <c r="AH27" s="215"/>
      <c r="AI27" s="1119"/>
      <c r="AJ27" s="786"/>
      <c r="AK27" s="1046"/>
      <c r="AL27" s="738"/>
      <c r="AM27" s="1035"/>
      <c r="AN27" s="1118"/>
      <c r="AO27" s="763" t="s">
        <v>239</v>
      </c>
      <c r="AP27" s="158" t="s">
        <v>237</v>
      </c>
      <c r="AQ27" s="838"/>
      <c r="AR27" s="1098"/>
      <c r="AS27" s="1023"/>
      <c r="AT27" s="783"/>
      <c r="AU27" s="1041"/>
      <c r="AV27" s="1042"/>
      <c r="AW27" s="1043"/>
      <c r="AX27" s="1044"/>
      <c r="AY27" s="890"/>
    </row>
    <row r="28" ht="15.0" customHeight="1">
      <c r="A28" s="36" t="s">
        <v>246</v>
      </c>
      <c r="B28" s="801" t="s">
        <v>247</v>
      </c>
      <c r="C28" s="1120" t="s">
        <v>248</v>
      </c>
      <c r="D28" s="235"/>
      <c r="E28" s="1121"/>
      <c r="F28" s="1122"/>
      <c r="G28" s="806"/>
      <c r="H28" s="806"/>
      <c r="I28" s="806"/>
      <c r="J28" s="806"/>
      <c r="K28" s="806"/>
      <c r="L28" s="806"/>
      <c r="M28" s="1123"/>
      <c r="N28" s="807"/>
      <c r="O28" s="738"/>
      <c r="P28" s="738"/>
      <c r="Q28" s="791"/>
      <c r="R28" s="1124"/>
      <c r="S28" s="810" t="s">
        <v>247</v>
      </c>
      <c r="T28" s="802" t="s">
        <v>253</v>
      </c>
      <c r="U28" s="226"/>
      <c r="V28" s="804"/>
      <c r="W28" s="805"/>
      <c r="X28" s="806"/>
      <c r="Y28" s="737"/>
      <c r="Z28" s="738"/>
      <c r="AA28" s="738"/>
      <c r="AB28" s="1035"/>
      <c r="AC28" s="1125"/>
      <c r="AD28" s="1126" t="s">
        <v>247</v>
      </c>
      <c r="AE28" s="1127" t="s">
        <v>435</v>
      </c>
      <c r="AF28" s="1128"/>
      <c r="AG28" s="802"/>
      <c r="AH28" s="1129"/>
      <c r="AI28" s="1130"/>
      <c r="AJ28" s="1131"/>
      <c r="AK28" s="1132"/>
      <c r="AL28" s="808"/>
      <c r="AM28" s="1133"/>
      <c r="AN28" s="1125"/>
      <c r="AO28" s="1134" t="s">
        <v>247</v>
      </c>
      <c r="AP28" s="1134" t="s">
        <v>245</v>
      </c>
      <c r="AQ28" s="1135"/>
      <c r="AR28" s="1136"/>
      <c r="AS28" s="1137"/>
      <c r="AT28" s="1138"/>
      <c r="AU28" s="1139"/>
      <c r="AV28" s="1140"/>
      <c r="AW28" s="1141"/>
      <c r="AX28" s="1142"/>
      <c r="AY28" s="890"/>
    </row>
    <row r="29" ht="15.0" customHeight="1">
      <c r="A29" s="40"/>
      <c r="B29" s="1143"/>
      <c r="C29" s="1143"/>
      <c r="D29" s="1144"/>
      <c r="E29" s="1145"/>
      <c r="F29" s="1146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2"/>
      <c r="AI29" s="768"/>
      <c r="AJ29" s="1147"/>
      <c r="AK29" s="1147"/>
      <c r="AL29" s="1147"/>
      <c r="AM29" s="1147"/>
      <c r="AN29" s="1148"/>
      <c r="AO29" s="1149"/>
      <c r="AP29" s="1149"/>
      <c r="AQ29" s="1150"/>
      <c r="AR29" s="1150"/>
      <c r="AS29" s="1150"/>
      <c r="AT29" s="1151" t="s">
        <v>260</v>
      </c>
      <c r="AU29" s="1152"/>
      <c r="AV29" s="1152"/>
      <c r="AW29" s="1152"/>
      <c r="AX29" s="1152"/>
      <c r="AY29" s="829"/>
    </row>
    <row r="30" ht="125.25" customHeight="1">
      <c r="A30" s="491"/>
      <c r="B30" s="833"/>
      <c r="C30" s="1153"/>
      <c r="D30" s="1154"/>
      <c r="E30" s="1155"/>
      <c r="F30" s="1156" t="s">
        <v>506</v>
      </c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2"/>
      <c r="AI30" s="1157"/>
      <c r="AJ30" s="1157"/>
      <c r="AK30" s="1157"/>
      <c r="AL30" s="1157"/>
      <c r="AM30" s="1157"/>
      <c r="AN30" s="1158"/>
      <c r="AO30" s="1159" t="s">
        <v>507</v>
      </c>
      <c r="AP30" s="3"/>
      <c r="AQ30" s="3"/>
      <c r="AR30" s="3"/>
      <c r="AS30" s="3"/>
      <c r="AT30" s="3"/>
      <c r="AU30" s="3"/>
      <c r="AV30" s="3"/>
      <c r="AW30" s="3"/>
      <c r="AX30" s="288"/>
      <c r="AY30" s="1160"/>
    </row>
    <row r="31" ht="42.0" customHeight="1">
      <c r="A31" s="290"/>
      <c r="B31" s="1161" t="s">
        <v>263</v>
      </c>
      <c r="C31" s="292"/>
      <c r="D31" s="292"/>
      <c r="E31" s="293"/>
      <c r="F31" s="1162" t="s">
        <v>264</v>
      </c>
      <c r="G31" s="1163"/>
      <c r="H31" s="1163"/>
      <c r="I31" s="1163"/>
      <c r="J31" s="1163"/>
      <c r="K31" s="1163"/>
      <c r="L31" s="1163"/>
      <c r="M31" s="1164" t="s">
        <v>265</v>
      </c>
      <c r="N31" s="889"/>
      <c r="O31" s="889"/>
      <c r="P31" s="889"/>
      <c r="Q31" s="889"/>
      <c r="R31" s="889"/>
      <c r="S31" s="1165"/>
      <c r="T31" s="297"/>
      <c r="U31" s="1166" t="s">
        <v>266</v>
      </c>
      <c r="V31" s="1167"/>
      <c r="W31" s="1168" t="s">
        <v>264</v>
      </c>
      <c r="X31" s="1169" t="s">
        <v>265</v>
      </c>
      <c r="Y31" s="1170"/>
      <c r="Z31" s="1157"/>
      <c r="AA31" s="1170"/>
      <c r="AB31" s="1170"/>
      <c r="AC31" s="1170"/>
      <c r="AD31" s="1171"/>
      <c r="AE31" s="297"/>
      <c r="AF31" s="1172" t="s">
        <v>266</v>
      </c>
      <c r="AG31" s="1173"/>
      <c r="AH31" s="1174" t="s">
        <v>264</v>
      </c>
      <c r="AI31" s="1169" t="s">
        <v>265</v>
      </c>
      <c r="AJ31" s="1157"/>
      <c r="AK31" s="1157"/>
      <c r="AL31" s="1157"/>
      <c r="AM31" s="1157"/>
      <c r="AN31" s="1158"/>
      <c r="AO31" s="308"/>
      <c r="AP31" s="308"/>
      <c r="AQ31" s="308"/>
      <c r="AR31" s="308"/>
      <c r="AS31" s="308"/>
      <c r="AT31" s="308"/>
      <c r="AU31" s="308"/>
      <c r="AV31" s="308"/>
      <c r="AW31" s="308"/>
      <c r="AX31" s="309"/>
      <c r="AY31" s="1160"/>
    </row>
    <row r="32" ht="15.75" customHeight="1">
      <c r="A32" s="1175"/>
      <c r="B32" s="311">
        <v>1.0</v>
      </c>
      <c r="C32" s="312"/>
      <c r="D32" s="1176" t="s">
        <v>234</v>
      </c>
      <c r="E32" s="448">
        <v>3.0</v>
      </c>
      <c r="F32" s="1177"/>
      <c r="G32" s="1178"/>
      <c r="H32" s="1178"/>
      <c r="I32" s="1178"/>
      <c r="J32" s="1178"/>
      <c r="K32" s="1178"/>
      <c r="L32" s="1178"/>
      <c r="M32" s="1179">
        <v>3.0</v>
      </c>
      <c r="N32" s="1180"/>
      <c r="O32" s="1180"/>
      <c r="P32" s="1180"/>
      <c r="Q32" s="1180"/>
      <c r="R32" s="1180"/>
      <c r="S32" s="1181">
        <v>1.0</v>
      </c>
      <c r="T32" s="312"/>
      <c r="U32" s="1182" t="s">
        <v>461</v>
      </c>
      <c r="V32" s="321">
        <v>1.0</v>
      </c>
      <c r="W32" s="1183"/>
      <c r="X32" s="1045">
        <v>1.0</v>
      </c>
      <c r="Y32" s="1180"/>
      <c r="Z32" s="1180"/>
      <c r="AA32" s="1180"/>
      <c r="AB32" s="1180"/>
      <c r="AC32" s="1180"/>
      <c r="AD32" s="1181">
        <v>1.0</v>
      </c>
      <c r="AE32" s="312"/>
      <c r="AF32" s="324" t="s">
        <v>268</v>
      </c>
      <c r="AG32" s="325">
        <v>1.0</v>
      </c>
      <c r="AH32" s="1183"/>
      <c r="AI32" s="1045">
        <v>1.0</v>
      </c>
      <c r="AJ32" s="1184"/>
      <c r="AK32" s="1184"/>
      <c r="AL32" s="1184"/>
      <c r="AM32" s="1184"/>
      <c r="AN32" s="1185"/>
      <c r="AO32" s="184" t="s">
        <v>4</v>
      </c>
      <c r="AP32" s="184" t="s">
        <v>5</v>
      </c>
      <c r="AQ32" s="184" t="s">
        <v>6</v>
      </c>
      <c r="AR32" s="184" t="s">
        <v>7</v>
      </c>
      <c r="AS32" s="184" t="s">
        <v>8</v>
      </c>
      <c r="AT32" s="184" t="s">
        <v>15</v>
      </c>
      <c r="AU32" s="1186" t="s">
        <v>10</v>
      </c>
      <c r="AV32" s="1187" t="s">
        <v>11</v>
      </c>
      <c r="AW32" s="1188" t="s">
        <v>12</v>
      </c>
      <c r="AX32" s="1189" t="s">
        <v>13</v>
      </c>
      <c r="AY32" s="1022"/>
    </row>
    <row r="33" ht="15.75" customHeight="1">
      <c r="A33" s="1175"/>
      <c r="B33" s="1190">
        <v>2.0</v>
      </c>
      <c r="C33" s="334"/>
      <c r="D33" s="1191" t="s">
        <v>476</v>
      </c>
      <c r="E33" s="448">
        <v>3.0</v>
      </c>
      <c r="F33" s="1075"/>
      <c r="G33" s="1091"/>
      <c r="H33" s="1091"/>
      <c r="I33" s="1091"/>
      <c r="J33" s="1091"/>
      <c r="K33" s="1091"/>
      <c r="L33" s="1091"/>
      <c r="M33" s="1179">
        <v>3.0</v>
      </c>
      <c r="N33" s="1180"/>
      <c r="O33" s="1180"/>
      <c r="P33" s="1180"/>
      <c r="Q33" s="1180"/>
      <c r="R33" s="1180"/>
      <c r="S33" s="1192">
        <v>2.0</v>
      </c>
      <c r="T33" s="334"/>
      <c r="U33" s="1193" t="s">
        <v>272</v>
      </c>
      <c r="V33" s="321">
        <v>1.0</v>
      </c>
      <c r="W33" s="1183"/>
      <c r="X33" s="1045">
        <v>1.0</v>
      </c>
      <c r="Y33" s="1194"/>
      <c r="Z33" s="1194"/>
      <c r="AA33" s="1194"/>
      <c r="AB33" s="1194"/>
      <c r="AC33" s="1143"/>
      <c r="AD33" s="1181">
        <v>2.0</v>
      </c>
      <c r="AE33" s="312"/>
      <c r="AF33" s="324" t="s">
        <v>243</v>
      </c>
      <c r="AG33" s="325">
        <v>1.0</v>
      </c>
      <c r="AH33" s="1183"/>
      <c r="AI33" s="1045">
        <v>1.0</v>
      </c>
      <c r="AJ33" s="1184"/>
      <c r="AK33" s="1184"/>
      <c r="AL33" s="1184"/>
      <c r="AM33" s="1184"/>
      <c r="AN33" s="1185"/>
      <c r="AO33" s="218" t="s">
        <v>17</v>
      </c>
      <c r="AP33" s="221" t="s">
        <v>258</v>
      </c>
      <c r="AQ33" s="215"/>
      <c r="AR33" s="1195"/>
      <c r="AS33" s="1195"/>
      <c r="AT33" s="1196"/>
      <c r="AU33" s="1197"/>
      <c r="AV33" s="1198"/>
      <c r="AW33" s="1199"/>
      <c r="AX33" s="1200"/>
      <c r="AY33" s="768"/>
    </row>
    <row r="34" ht="15.75" customHeight="1">
      <c r="A34" s="1175"/>
      <c r="B34" s="1190">
        <v>3.0</v>
      </c>
      <c r="C34" s="334"/>
      <c r="D34" s="1191" t="s">
        <v>286</v>
      </c>
      <c r="E34" s="448">
        <v>3.0</v>
      </c>
      <c r="F34" s="1201"/>
      <c r="G34" s="1202"/>
      <c r="H34" s="1202"/>
      <c r="I34" s="1202"/>
      <c r="J34" s="1202"/>
      <c r="K34" s="1202"/>
      <c r="L34" s="1202"/>
      <c r="M34" s="1179">
        <v>3.0</v>
      </c>
      <c r="N34" s="1180"/>
      <c r="O34" s="1180"/>
      <c r="P34" s="1174"/>
      <c r="Q34" s="1180"/>
      <c r="R34" s="1180"/>
      <c r="S34" s="1192">
        <v>3.0</v>
      </c>
      <c r="T34" s="334"/>
      <c r="U34" s="1182" t="s">
        <v>30</v>
      </c>
      <c r="V34" s="1203">
        <v>1.0</v>
      </c>
      <c r="W34" s="1183"/>
      <c r="X34" s="1045">
        <v>1.0</v>
      </c>
      <c r="Y34" s="1194"/>
      <c r="Z34" s="1194"/>
      <c r="AA34" s="1194"/>
      <c r="AB34" s="1194"/>
      <c r="AC34" s="1143"/>
      <c r="AD34" s="1204">
        <v>3.0</v>
      </c>
      <c r="AE34" s="334"/>
      <c r="AF34" s="350" t="s">
        <v>241</v>
      </c>
      <c r="AG34" s="325">
        <v>1.0</v>
      </c>
      <c r="AH34" s="1205"/>
      <c r="AI34" s="1045">
        <v>1.0</v>
      </c>
      <c r="AJ34" s="1184"/>
      <c r="AK34" s="1184"/>
      <c r="AL34" s="1184"/>
      <c r="AM34" s="1184"/>
      <c r="AN34" s="1185"/>
      <c r="AO34" s="1206" t="s">
        <v>28</v>
      </c>
      <c r="AP34" s="352" t="s">
        <v>269</v>
      </c>
      <c r="AQ34" s="859"/>
      <c r="AR34" s="47"/>
      <c r="AS34" s="352"/>
      <c r="AT34" s="1207"/>
      <c r="AU34" s="756"/>
      <c r="AV34" s="1046"/>
      <c r="AW34" s="738"/>
      <c r="AX34" s="1035"/>
      <c r="AY34" s="768"/>
    </row>
    <row r="35" ht="15.75" customHeight="1">
      <c r="A35" s="1175"/>
      <c r="B35" s="357">
        <v>4.0</v>
      </c>
      <c r="C35" s="334"/>
      <c r="D35" s="1191" t="s">
        <v>298</v>
      </c>
      <c r="E35" s="448">
        <v>2.0</v>
      </c>
      <c r="F35" s="1201"/>
      <c r="G35" s="1202"/>
      <c r="H35" s="1202"/>
      <c r="I35" s="1202"/>
      <c r="J35" s="1202"/>
      <c r="K35" s="1202"/>
      <c r="L35" s="1202"/>
      <c r="M35" s="1179">
        <v>2.0</v>
      </c>
      <c r="N35" s="1180"/>
      <c r="O35" s="1180"/>
      <c r="P35" s="1180"/>
      <c r="Q35" s="1180"/>
      <c r="R35" s="1180"/>
      <c r="S35" s="1204">
        <v>4.0</v>
      </c>
      <c r="T35" s="334"/>
      <c r="U35" s="1208" t="s">
        <v>40</v>
      </c>
      <c r="V35" s="321">
        <v>1.0</v>
      </c>
      <c r="W35" s="1183"/>
      <c r="X35" s="1045">
        <v>1.0</v>
      </c>
      <c r="Y35" s="1209"/>
      <c r="Z35" s="1209"/>
      <c r="AA35" s="1209"/>
      <c r="AB35" s="1209"/>
      <c r="AC35" s="1210"/>
      <c r="AD35" s="1204">
        <v>4.0</v>
      </c>
      <c r="AE35" s="334"/>
      <c r="AF35" s="350" t="s">
        <v>329</v>
      </c>
      <c r="AG35" s="325">
        <v>1.0</v>
      </c>
      <c r="AH35" s="322"/>
      <c r="AI35" s="1045">
        <v>1.0</v>
      </c>
      <c r="AJ35" s="1045"/>
      <c r="AK35" s="1184"/>
      <c r="AL35" s="1184"/>
      <c r="AM35" s="1184"/>
      <c r="AN35" s="1185"/>
      <c r="AO35" s="1211" t="s">
        <v>38</v>
      </c>
      <c r="AP35" s="1212" t="s">
        <v>382</v>
      </c>
      <c r="AQ35" s="1213"/>
      <c r="AR35" s="735"/>
      <c r="AS35" s="735"/>
      <c r="AT35" s="1214"/>
      <c r="AU35" s="737"/>
      <c r="AV35" s="1046"/>
      <c r="AW35" s="738"/>
      <c r="AX35" s="1035"/>
      <c r="AY35" s="768"/>
    </row>
    <row r="36" ht="15.75" customHeight="1">
      <c r="A36" s="1175"/>
      <c r="B36" s="1190">
        <v>5.0</v>
      </c>
      <c r="C36" s="334"/>
      <c r="D36" s="1191" t="s">
        <v>144</v>
      </c>
      <c r="E36" s="448">
        <v>3.0</v>
      </c>
      <c r="F36" s="1201"/>
      <c r="G36" s="1202"/>
      <c r="H36" s="1202"/>
      <c r="I36" s="1202"/>
      <c r="J36" s="1202"/>
      <c r="K36" s="1202"/>
      <c r="L36" s="1202"/>
      <c r="M36" s="1179">
        <v>2.0</v>
      </c>
      <c r="N36" s="1215"/>
      <c r="O36" s="1215"/>
      <c r="P36" s="1215"/>
      <c r="Q36" s="1215"/>
      <c r="R36" s="1215"/>
      <c r="S36" s="1204">
        <v>5.0</v>
      </c>
      <c r="T36" s="334"/>
      <c r="U36" s="1208" t="s">
        <v>267</v>
      </c>
      <c r="V36" s="321">
        <v>1.0</v>
      </c>
      <c r="W36" s="1183"/>
      <c r="X36" s="1045">
        <v>1.0</v>
      </c>
      <c r="Y36" s="1209"/>
      <c r="Z36" s="1209"/>
      <c r="AA36" s="1209"/>
      <c r="AB36" s="1209"/>
      <c r="AC36" s="1210"/>
      <c r="AD36" s="1216">
        <v>5.0</v>
      </c>
      <c r="AE36" s="334"/>
      <c r="AF36" s="1217" t="s">
        <v>249</v>
      </c>
      <c r="AG36" s="325"/>
      <c r="AH36" s="1183"/>
      <c r="AI36" s="1045">
        <v>1.0</v>
      </c>
      <c r="AJ36" s="1184"/>
      <c r="AK36" s="1184"/>
      <c r="AL36" s="1184"/>
      <c r="AM36" s="1184"/>
      <c r="AN36" s="1185"/>
      <c r="AO36" s="387" t="s">
        <v>45</v>
      </c>
      <c r="AP36" s="1100" t="s">
        <v>273</v>
      </c>
      <c r="AQ36" s="104"/>
      <c r="AR36" s="767"/>
      <c r="AS36" s="769"/>
      <c r="AT36" s="84"/>
      <c r="AU36" s="756"/>
      <c r="AV36" s="1046"/>
      <c r="AW36" s="738"/>
      <c r="AX36" s="1035"/>
      <c r="AY36" s="768"/>
    </row>
    <row r="37" ht="15.75" customHeight="1">
      <c r="A37" s="1175"/>
      <c r="B37" s="1218">
        <v>6.0</v>
      </c>
      <c r="C37" s="334"/>
      <c r="D37" s="1219" t="s">
        <v>309</v>
      </c>
      <c r="E37" s="448">
        <v>3.0</v>
      </c>
      <c r="F37" s="1201"/>
      <c r="G37" s="1202"/>
      <c r="H37" s="1202"/>
      <c r="I37" s="1202"/>
      <c r="J37" s="1202"/>
      <c r="K37" s="1202"/>
      <c r="L37" s="1202"/>
      <c r="M37" s="1179">
        <v>2.0</v>
      </c>
      <c r="N37" s="1209"/>
      <c r="O37" s="1209"/>
      <c r="P37" s="1209"/>
      <c r="Q37" s="1209"/>
      <c r="R37" s="1209"/>
      <c r="S37" s="1204">
        <v>6.0</v>
      </c>
      <c r="T37" s="334"/>
      <c r="U37" s="1208" t="s">
        <v>290</v>
      </c>
      <c r="V37" s="321">
        <v>1.0</v>
      </c>
      <c r="W37" s="1205"/>
      <c r="X37" s="1045">
        <v>1.0</v>
      </c>
      <c r="Y37" s="1209"/>
      <c r="Z37" s="1209"/>
      <c r="AA37" s="1209"/>
      <c r="AB37" s="1209"/>
      <c r="AC37" s="1210"/>
      <c r="AD37" s="1216">
        <v>6.0</v>
      </c>
      <c r="AE37" s="334"/>
      <c r="AF37" s="1217"/>
      <c r="AG37" s="325"/>
      <c r="AH37" s="1183"/>
      <c r="AI37" s="1045"/>
      <c r="AJ37" s="1209"/>
      <c r="AK37" s="1209"/>
      <c r="AL37" s="1209"/>
      <c r="AM37" s="1209"/>
      <c r="AN37" s="1220"/>
      <c r="AO37" s="387" t="s">
        <v>52</v>
      </c>
      <c r="AP37" s="1100" t="s">
        <v>275</v>
      </c>
      <c r="AQ37" s="104"/>
      <c r="AR37" s="774"/>
      <c r="AS37" s="49"/>
      <c r="AT37" s="84"/>
      <c r="AU37" s="756"/>
      <c r="AV37" s="1046"/>
      <c r="AW37" s="738"/>
      <c r="AX37" s="1035"/>
      <c r="AY37" s="768"/>
    </row>
    <row r="38" ht="15.75" customHeight="1">
      <c r="A38" s="1175"/>
      <c r="B38" s="379">
        <v>7.0</v>
      </c>
      <c r="C38" s="334"/>
      <c r="D38" s="1219" t="s">
        <v>270</v>
      </c>
      <c r="E38" s="448">
        <v>2.0</v>
      </c>
      <c r="F38" s="1201"/>
      <c r="G38" s="1202"/>
      <c r="H38" s="1202"/>
      <c r="I38" s="1202"/>
      <c r="J38" s="1202"/>
      <c r="K38" s="1202"/>
      <c r="L38" s="1202"/>
      <c r="M38" s="1179">
        <v>2.0</v>
      </c>
      <c r="N38" s="1209"/>
      <c r="O38" s="1209"/>
      <c r="P38" s="1209"/>
      <c r="Q38" s="1209"/>
      <c r="R38" s="1209"/>
      <c r="S38" s="1216">
        <v>7.0</v>
      </c>
      <c r="T38" s="334"/>
      <c r="U38" s="121" t="s">
        <v>463</v>
      </c>
      <c r="V38" s="321">
        <v>1.0</v>
      </c>
      <c r="W38" s="1183"/>
      <c r="X38" s="1045">
        <v>1.0</v>
      </c>
      <c r="Y38" s="1209"/>
      <c r="Z38" s="1209"/>
      <c r="AA38" s="1209"/>
      <c r="AB38" s="1209"/>
      <c r="AC38" s="1210"/>
      <c r="AD38" s="1221" t="s">
        <v>281</v>
      </c>
      <c r="AE38" s="384"/>
      <c r="AF38" s="1222"/>
      <c r="AG38" s="1223">
        <f>SUM(AG32:AG37)</f>
        <v>4</v>
      </c>
      <c r="AH38" s="1045"/>
      <c r="AI38" s="1045"/>
      <c r="AJ38" s="1209"/>
      <c r="AK38" s="1209"/>
      <c r="AL38" s="1209"/>
      <c r="AM38" s="1209"/>
      <c r="AN38" s="1220"/>
      <c r="AO38" s="387" t="s">
        <v>173</v>
      </c>
      <c r="AP38" s="1224" t="s">
        <v>282</v>
      </c>
      <c r="AQ38" s="104"/>
      <c r="AR38" s="49"/>
      <c r="AS38" s="36"/>
      <c r="AT38" s="148"/>
      <c r="AU38" s="756"/>
      <c r="AV38" s="1046"/>
      <c r="AW38" s="738"/>
      <c r="AX38" s="1035"/>
      <c r="AY38" s="768"/>
    </row>
    <row r="39" ht="15.0" customHeight="1">
      <c r="A39" s="1175"/>
      <c r="B39" s="379">
        <v>8.0</v>
      </c>
      <c r="C39" s="334"/>
      <c r="D39" s="1219" t="s">
        <v>292</v>
      </c>
      <c r="E39" s="448">
        <v>3.0</v>
      </c>
      <c r="F39" s="1201"/>
      <c r="G39" s="1202"/>
      <c r="H39" s="1202"/>
      <c r="I39" s="1202"/>
      <c r="J39" s="1202"/>
      <c r="K39" s="1202"/>
      <c r="L39" s="1202"/>
      <c r="M39" s="1179">
        <v>3.0</v>
      </c>
      <c r="N39" s="1209"/>
      <c r="O39" s="1209"/>
      <c r="P39" s="1209"/>
      <c r="Q39" s="1209"/>
      <c r="R39" s="1209"/>
      <c r="S39" s="1216">
        <v>8.0</v>
      </c>
      <c r="T39" s="334"/>
      <c r="U39" s="121" t="s">
        <v>460</v>
      </c>
      <c r="V39" s="321"/>
      <c r="W39" s="1183"/>
      <c r="X39" s="1045">
        <v>1.0</v>
      </c>
      <c r="Y39" s="1184"/>
      <c r="Z39" s="1184"/>
      <c r="AA39" s="1184"/>
      <c r="AB39" s="1184"/>
      <c r="AC39" s="1225"/>
      <c r="AD39" s="1045"/>
      <c r="AE39" s="1045"/>
      <c r="AF39" s="1045"/>
      <c r="AG39" s="1045"/>
      <c r="AH39" s="1174"/>
      <c r="AI39" s="1174"/>
      <c r="AJ39" s="1184"/>
      <c r="AK39" s="1184"/>
      <c r="AL39" s="1184"/>
      <c r="AM39" s="1184"/>
      <c r="AN39" s="1185"/>
      <c r="AO39" s="1226" t="s">
        <v>65</v>
      </c>
      <c r="AP39" s="1224" t="s">
        <v>285</v>
      </c>
      <c r="AQ39" s="104"/>
      <c r="AR39" s="36"/>
      <c r="AS39" s="36"/>
      <c r="AT39" s="84"/>
      <c r="AU39" s="756"/>
      <c r="AV39" s="1046"/>
      <c r="AW39" s="738"/>
      <c r="AX39" s="1035"/>
      <c r="AY39" s="768"/>
    </row>
    <row r="40" ht="15.75" customHeight="1">
      <c r="A40" s="1227"/>
      <c r="B40" s="379">
        <v>9.0</v>
      </c>
      <c r="C40" s="334"/>
      <c r="D40" s="1219" t="s">
        <v>175</v>
      </c>
      <c r="E40" s="448">
        <v>2.0</v>
      </c>
      <c r="F40" s="1201"/>
      <c r="G40" s="1202"/>
      <c r="H40" s="1202"/>
      <c r="I40" s="1202"/>
      <c r="J40" s="1202"/>
      <c r="K40" s="1202"/>
      <c r="L40" s="1202"/>
      <c r="M40" s="1179">
        <v>2.0</v>
      </c>
      <c r="N40" s="1209"/>
      <c r="O40" s="1209"/>
      <c r="P40" s="1209"/>
      <c r="Q40" s="1209"/>
      <c r="R40" s="1209"/>
      <c r="S40" s="1228"/>
      <c r="T40" s="334"/>
      <c r="U40" s="1229"/>
      <c r="V40" s="1230"/>
      <c r="W40" s="1045"/>
      <c r="X40" s="1045"/>
      <c r="Y40" s="1209"/>
      <c r="Z40" s="1209"/>
      <c r="AA40" s="1209"/>
      <c r="AB40" s="1209"/>
      <c r="AC40" s="1210"/>
      <c r="AD40" s="1045"/>
      <c r="AE40" s="1045"/>
      <c r="AF40" s="1045"/>
      <c r="AG40" s="1045"/>
      <c r="AH40" s="1174"/>
      <c r="AI40" s="1174"/>
      <c r="AJ40" s="1209"/>
      <c r="AK40" s="1045"/>
      <c r="AL40" s="1209"/>
      <c r="AM40" s="1209"/>
      <c r="AN40" s="1220"/>
      <c r="AO40" s="1226" t="s">
        <v>79</v>
      </c>
      <c r="AP40" s="1089" t="s">
        <v>291</v>
      </c>
      <c r="AQ40" s="104"/>
      <c r="AR40" s="36"/>
      <c r="AS40" s="36"/>
      <c r="AT40" s="84"/>
      <c r="AU40" s="756"/>
      <c r="AV40" s="1046"/>
      <c r="AW40" s="738"/>
      <c r="AX40" s="1035"/>
      <c r="AY40" s="768"/>
    </row>
    <row r="41" ht="15.75" customHeight="1">
      <c r="A41" s="1175"/>
      <c r="B41" s="379">
        <v>10.0</v>
      </c>
      <c r="C41" s="334"/>
      <c r="D41" s="1219" t="s">
        <v>223</v>
      </c>
      <c r="E41" s="448">
        <v>3.0</v>
      </c>
      <c r="F41" s="1201">
        <v>2.0</v>
      </c>
      <c r="G41" s="1202"/>
      <c r="H41" s="1202"/>
      <c r="I41" s="1202"/>
      <c r="J41" s="1202"/>
      <c r="K41" s="1202"/>
      <c r="L41" s="1202"/>
      <c r="M41" s="1179">
        <v>2.0</v>
      </c>
      <c r="N41" s="1209"/>
      <c r="O41" s="1209"/>
      <c r="P41" s="1209"/>
      <c r="Q41" s="1209"/>
      <c r="R41" s="1209"/>
      <c r="S41" s="1228"/>
      <c r="T41" s="334"/>
      <c r="U41" s="1229"/>
      <c r="V41" s="1231"/>
      <c r="W41" s="1045"/>
      <c r="X41" s="1232"/>
      <c r="Y41" s="1209"/>
      <c r="Z41" s="1209"/>
      <c r="AA41" s="1209"/>
      <c r="AB41" s="1209"/>
      <c r="AC41" s="1210"/>
      <c r="AD41" s="1233"/>
      <c r="AE41" s="1233"/>
      <c r="AF41" s="1233"/>
      <c r="AG41" s="1233"/>
      <c r="AH41" s="1174"/>
      <c r="AI41" s="1174"/>
      <c r="AJ41" s="1209"/>
      <c r="AK41" s="1209"/>
      <c r="AL41" s="1209"/>
      <c r="AM41" s="1209"/>
      <c r="AN41" s="1220"/>
      <c r="AO41" s="1226" t="s">
        <v>91</v>
      </c>
      <c r="AP41" s="1089" t="s">
        <v>294</v>
      </c>
      <c r="AQ41" s="156"/>
      <c r="AR41" s="161"/>
      <c r="AS41" s="194"/>
      <c r="AT41" s="793"/>
      <c r="AU41" s="756"/>
      <c r="AV41" s="1046"/>
      <c r="AW41" s="738"/>
      <c r="AX41" s="1035"/>
      <c r="AY41" s="768"/>
    </row>
    <row r="42" ht="15.75" customHeight="1">
      <c r="A42" s="1175"/>
      <c r="B42" s="379">
        <v>11.0</v>
      </c>
      <c r="C42" s="334"/>
      <c r="D42" s="1219" t="s">
        <v>477</v>
      </c>
      <c r="E42" s="448">
        <v>2.0</v>
      </c>
      <c r="F42" s="1201"/>
      <c r="G42" s="1202"/>
      <c r="H42" s="1202"/>
      <c r="I42" s="1202"/>
      <c r="J42" s="1202"/>
      <c r="K42" s="1202"/>
      <c r="L42" s="1202"/>
      <c r="M42" s="1179">
        <v>2.0</v>
      </c>
      <c r="N42" s="1209"/>
      <c r="O42" s="1209"/>
      <c r="P42" s="1209"/>
      <c r="Q42" s="1209"/>
      <c r="R42" s="1209"/>
      <c r="S42" s="1234"/>
      <c r="T42" s="334"/>
      <c r="V42" s="316"/>
      <c r="W42" s="1157"/>
      <c r="X42" s="1232"/>
      <c r="Y42" s="1209"/>
      <c r="Z42" s="1209"/>
      <c r="AA42" s="1209"/>
      <c r="AB42" s="1209"/>
      <c r="AC42" s="1210"/>
      <c r="AD42" s="1235" t="s">
        <v>295</v>
      </c>
      <c r="AG42" s="420"/>
      <c r="AH42" s="1174" t="s">
        <v>264</v>
      </c>
      <c r="AI42" s="1236" t="s">
        <v>265</v>
      </c>
      <c r="AJ42" s="1209"/>
      <c r="AK42" s="1209"/>
      <c r="AL42" s="1209"/>
      <c r="AM42" s="1209"/>
      <c r="AN42" s="1220"/>
      <c r="AO42" s="1226" t="s">
        <v>105</v>
      </c>
      <c r="AP42" s="1089" t="s">
        <v>296</v>
      </c>
      <c r="AQ42" s="104"/>
      <c r="AR42" s="769"/>
      <c r="AS42" s="769"/>
      <c r="AT42" s="84"/>
      <c r="AU42" s="756"/>
      <c r="AV42" s="1046"/>
      <c r="AW42" s="738"/>
      <c r="AX42" s="1035"/>
      <c r="AY42" s="768"/>
    </row>
    <row r="43">
      <c r="A43" s="1175"/>
      <c r="B43" s="379">
        <v>12.0</v>
      </c>
      <c r="C43" s="334"/>
      <c r="D43" s="1219" t="s">
        <v>312</v>
      </c>
      <c r="E43" s="448">
        <v>1.0</v>
      </c>
      <c r="F43" s="1075"/>
      <c r="G43" s="1091"/>
      <c r="H43" s="1091"/>
      <c r="I43" s="1091"/>
      <c r="J43" s="1091"/>
      <c r="K43" s="1091"/>
      <c r="L43" s="1091"/>
      <c r="M43" s="1179">
        <v>1.0</v>
      </c>
      <c r="N43" s="1209"/>
      <c r="O43" s="1209"/>
      <c r="P43" s="1209"/>
      <c r="Q43" s="1209"/>
      <c r="R43" s="1209"/>
      <c r="S43" s="1234"/>
      <c r="T43" s="334"/>
      <c r="U43" s="1229"/>
      <c r="V43" s="316"/>
      <c r="W43" s="1237"/>
      <c r="X43" s="1237"/>
      <c r="Y43" s="1209"/>
      <c r="Z43" s="1209"/>
      <c r="AA43" s="1209"/>
      <c r="AB43" s="1209"/>
      <c r="AC43" s="1210"/>
      <c r="AD43" s="424"/>
      <c r="AG43" s="420"/>
      <c r="AI43" s="425"/>
      <c r="AJ43" s="1209"/>
      <c r="AK43" s="1209"/>
      <c r="AL43" s="1209"/>
      <c r="AM43" s="1209"/>
      <c r="AN43" s="1220"/>
      <c r="AO43" s="1226" t="s">
        <v>117</v>
      </c>
      <c r="AP43" s="1224" t="s">
        <v>297</v>
      </c>
      <c r="AQ43" s="1093"/>
      <c r="AR43" s="104"/>
      <c r="AS43" s="104"/>
      <c r="AT43" s="793"/>
      <c r="AU43" s="756"/>
      <c r="AV43" s="1046"/>
      <c r="AW43" s="738"/>
      <c r="AX43" s="1035"/>
      <c r="AY43" s="768"/>
    </row>
    <row r="44" ht="15.75" customHeight="1">
      <c r="A44" s="1175"/>
      <c r="B44" s="379">
        <v>13.0</v>
      </c>
      <c r="C44" s="334"/>
      <c r="D44" s="1219" t="s">
        <v>474</v>
      </c>
      <c r="E44" s="448">
        <v>2.0</v>
      </c>
      <c r="F44" s="1201"/>
      <c r="G44" s="1202"/>
      <c r="H44" s="1202"/>
      <c r="I44" s="1202"/>
      <c r="J44" s="1202"/>
      <c r="K44" s="1202"/>
      <c r="L44" s="1202"/>
      <c r="M44" s="1179">
        <v>2.0</v>
      </c>
      <c r="N44" s="1209"/>
      <c r="O44" s="1209"/>
      <c r="P44" s="1209"/>
      <c r="Q44" s="1209"/>
      <c r="R44" s="1209"/>
      <c r="S44" s="1234"/>
      <c r="T44" s="334"/>
      <c r="U44" s="1229"/>
      <c r="V44" s="316"/>
      <c r="W44" s="1045"/>
      <c r="X44" s="1232"/>
      <c r="Y44" s="1209"/>
      <c r="Z44" s="1209"/>
      <c r="AA44" s="1209"/>
      <c r="AB44" s="1209"/>
      <c r="AC44" s="1210"/>
      <c r="AD44" s="428"/>
      <c r="AE44" s="429"/>
      <c r="AF44" s="429"/>
      <c r="AG44" s="430"/>
      <c r="AH44" s="1174"/>
      <c r="AI44" s="1174"/>
      <c r="AJ44" s="1209"/>
      <c r="AK44" s="1209"/>
      <c r="AL44" s="1045" t="s">
        <v>299</v>
      </c>
      <c r="AM44" s="1209"/>
      <c r="AN44" s="1220"/>
      <c r="AO44" s="1238" t="s">
        <v>128</v>
      </c>
      <c r="AP44" s="1089" t="s">
        <v>300</v>
      </c>
      <c r="AQ44" s="1093"/>
      <c r="AR44" s="104"/>
      <c r="AS44" s="104"/>
      <c r="AT44" s="793"/>
      <c r="AU44" s="1079"/>
      <c r="AV44" s="1080"/>
      <c r="AW44" s="1081"/>
      <c r="AX44" s="1082"/>
      <c r="AY44" s="1083"/>
    </row>
    <row r="45" ht="15.75" customHeight="1">
      <c r="A45" s="1175"/>
      <c r="B45" s="379">
        <v>14.0</v>
      </c>
      <c r="C45" s="334"/>
      <c r="D45" s="1219" t="s">
        <v>283</v>
      </c>
      <c r="E45" s="448">
        <v>2.0</v>
      </c>
      <c r="F45" s="1201"/>
      <c r="G45" s="1202"/>
      <c r="H45" s="1202"/>
      <c r="I45" s="1202"/>
      <c r="J45" s="1202"/>
      <c r="K45" s="1202"/>
      <c r="L45" s="1202"/>
      <c r="M45" s="1179">
        <v>2.0</v>
      </c>
      <c r="N45" s="1045"/>
      <c r="O45" s="1045"/>
      <c r="P45" s="1045"/>
      <c r="Q45" s="1045"/>
      <c r="R45" s="1045"/>
      <c r="S45" s="1221" t="s">
        <v>281</v>
      </c>
      <c r="T45" s="384"/>
      <c r="U45" s="1239"/>
      <c r="V45" s="1223">
        <f>SUM(V32:V39)</f>
        <v>7</v>
      </c>
      <c r="W45" s="1045"/>
      <c r="X45" s="1232"/>
      <c r="Y45" s="1209"/>
      <c r="Z45" s="1209"/>
      <c r="AA45" s="1209"/>
      <c r="AB45" s="1209"/>
      <c r="AC45" s="1210"/>
      <c r="AD45" s="1240">
        <v>1.0</v>
      </c>
      <c r="AE45" s="1241"/>
      <c r="AF45" s="1242" t="s">
        <v>47</v>
      </c>
      <c r="AG45" s="438">
        <v>1.0</v>
      </c>
      <c r="AH45" s="1243"/>
      <c r="AI45" s="1045">
        <v>1.0</v>
      </c>
      <c r="AJ45" s="1209"/>
      <c r="AK45" s="1209"/>
      <c r="AL45" s="1209"/>
      <c r="AM45" s="1209"/>
      <c r="AN45" s="1220"/>
      <c r="AO45" s="1244" t="s">
        <v>146</v>
      </c>
      <c r="AP45" s="1055" t="s">
        <v>301</v>
      </c>
      <c r="AQ45" s="1093"/>
      <c r="AR45" s="1093"/>
      <c r="AS45" s="1093"/>
      <c r="AT45" s="793"/>
      <c r="AU45" s="1041"/>
      <c r="AV45" s="1042"/>
      <c r="AW45" s="1043"/>
      <c r="AX45" s="1044"/>
      <c r="AY45" s="890"/>
    </row>
    <row r="46" ht="15.75" customHeight="1">
      <c r="A46" s="1175"/>
      <c r="B46" s="1218">
        <v>15.0</v>
      </c>
      <c r="C46" s="334"/>
      <c r="D46" s="1219" t="s">
        <v>194</v>
      </c>
      <c r="E46" s="448">
        <v>2.0</v>
      </c>
      <c r="F46" s="1245"/>
      <c r="G46" s="1202"/>
      <c r="H46" s="1202"/>
      <c r="I46" s="1202"/>
      <c r="J46" s="1202"/>
      <c r="K46" s="1202"/>
      <c r="L46" s="1202"/>
      <c r="M46" s="1179">
        <v>2.0</v>
      </c>
      <c r="N46" s="1209"/>
      <c r="O46" s="1209"/>
      <c r="P46" s="1209"/>
      <c r="Q46" s="1209"/>
      <c r="R46" s="1209"/>
      <c r="S46" s="1246"/>
      <c r="T46" s="1247"/>
      <c r="U46" s="1248"/>
      <c r="V46" s="1210"/>
      <c r="W46" s="1157"/>
      <c r="X46" s="1232"/>
      <c r="Y46" s="1209"/>
      <c r="Z46" s="1209"/>
      <c r="AA46" s="1209"/>
      <c r="AB46" s="1209"/>
      <c r="AC46" s="1210"/>
      <c r="AD46" s="1249">
        <v>2.0</v>
      </c>
      <c r="AE46" s="334"/>
      <c r="AF46" s="754" t="s">
        <v>307</v>
      </c>
      <c r="AG46" s="1250">
        <v>1.0</v>
      </c>
      <c r="AH46" s="1251"/>
      <c r="AI46" s="1045">
        <v>1.0</v>
      </c>
      <c r="AJ46" s="1209"/>
      <c r="AK46" s="1209"/>
      <c r="AL46" s="1209"/>
      <c r="AM46" s="1209"/>
      <c r="AN46" s="1220"/>
      <c r="AO46" s="1244" t="s">
        <v>154</v>
      </c>
      <c r="AP46" s="1089" t="s">
        <v>303</v>
      </c>
      <c r="AQ46" s="1093"/>
      <c r="AR46" s="1093"/>
      <c r="AS46" s="1093"/>
      <c r="AT46" s="793"/>
      <c r="AU46" s="1041"/>
      <c r="AV46" s="1042"/>
      <c r="AW46" s="1043"/>
      <c r="AX46" s="1044"/>
      <c r="AY46" s="890"/>
    </row>
    <row r="47" ht="15.75" customHeight="1">
      <c r="A47" s="1175"/>
      <c r="B47" s="379">
        <v>16.0</v>
      </c>
      <c r="C47" s="334"/>
      <c r="D47" s="1219" t="s">
        <v>93</v>
      </c>
      <c r="E47" s="448">
        <v>3.0</v>
      </c>
      <c r="F47" s="1201"/>
      <c r="G47" s="1202"/>
      <c r="H47" s="1202"/>
      <c r="I47" s="1202"/>
      <c r="J47" s="1202"/>
      <c r="K47" s="1202"/>
      <c r="L47" s="1202"/>
      <c r="M47" s="1179">
        <v>3.0</v>
      </c>
      <c r="N47" s="1209"/>
      <c r="O47" s="1209"/>
      <c r="P47" s="1209"/>
      <c r="Q47" s="1209"/>
      <c r="R47" s="1209"/>
      <c r="S47" s="1252"/>
      <c r="T47" s="1215"/>
      <c r="U47" s="1248"/>
      <c r="V47" s="833"/>
      <c r="W47" s="1045"/>
      <c r="X47" s="1232"/>
      <c r="Y47" s="1209"/>
      <c r="Z47" s="1209"/>
      <c r="AA47" s="1209"/>
      <c r="AB47" s="1209"/>
      <c r="AC47" s="1210"/>
      <c r="AD47" s="1249">
        <v>3.0</v>
      </c>
      <c r="AE47" s="334"/>
      <c r="AF47" s="754" t="s">
        <v>304</v>
      </c>
      <c r="AG47" s="1250">
        <v>2.0</v>
      </c>
      <c r="AH47" s="1243"/>
      <c r="AI47" s="1045">
        <v>1.0</v>
      </c>
      <c r="AJ47" s="1209"/>
      <c r="AK47" s="1209"/>
      <c r="AL47" s="1209"/>
      <c r="AM47" s="1209"/>
      <c r="AN47" s="1220"/>
      <c r="AO47" s="1244" t="s">
        <v>164</v>
      </c>
      <c r="AP47" s="1055" t="s">
        <v>305</v>
      </c>
      <c r="AQ47" s="1093"/>
      <c r="AR47" s="1093"/>
      <c r="AS47" s="1093"/>
      <c r="AT47" s="793"/>
      <c r="AU47" s="1079"/>
      <c r="AV47" s="1080"/>
      <c r="AW47" s="1081"/>
      <c r="AX47" s="1082"/>
      <c r="AY47" s="1083"/>
    </row>
    <row r="48" ht="15.75" customHeight="1">
      <c r="A48" s="1253"/>
      <c r="B48" s="379">
        <v>17.0</v>
      </c>
      <c r="C48" s="334"/>
      <c r="D48" s="1219" t="s">
        <v>276</v>
      </c>
      <c r="E48" s="448">
        <v>2.0</v>
      </c>
      <c r="F48" s="1201"/>
      <c r="G48" s="1202"/>
      <c r="H48" s="1202"/>
      <c r="I48" s="1202"/>
      <c r="J48" s="1202"/>
      <c r="K48" s="1202"/>
      <c r="L48" s="1202"/>
      <c r="M48" s="1179">
        <v>2.0</v>
      </c>
      <c r="N48" s="1209"/>
      <c r="O48" s="1209"/>
      <c r="P48" s="1209"/>
      <c r="Q48" s="1209"/>
      <c r="R48" s="1209"/>
      <c r="S48" s="1095"/>
      <c r="T48" s="1215"/>
      <c r="U48" s="1254" t="s">
        <v>306</v>
      </c>
      <c r="V48" s="1210"/>
      <c r="W48" s="1045"/>
      <c r="X48" s="1232"/>
      <c r="Y48" s="1209"/>
      <c r="Z48" s="1209"/>
      <c r="AA48" s="1209"/>
      <c r="AB48" s="1209"/>
      <c r="AC48" s="1210"/>
      <c r="AD48" s="1249">
        <v>4.0</v>
      </c>
      <c r="AE48" s="334"/>
      <c r="AF48" s="1255" t="s">
        <v>313</v>
      </c>
      <c r="AG48" s="1250">
        <v>1.0</v>
      </c>
      <c r="AH48" s="1256"/>
      <c r="AI48" s="1045">
        <v>1.0</v>
      </c>
      <c r="AJ48" s="1209"/>
      <c r="AK48" s="1209"/>
      <c r="AL48" s="1209"/>
      <c r="AM48" s="1209"/>
      <c r="AN48" s="1220"/>
      <c r="AO48" s="1238" t="s">
        <v>173</v>
      </c>
      <c r="AP48" s="1257" t="s">
        <v>308</v>
      </c>
      <c r="AR48" s="1093"/>
      <c r="AS48" s="1093"/>
      <c r="AT48" s="1258"/>
      <c r="AU48" s="1041"/>
      <c r="AV48" s="1042"/>
      <c r="AW48" s="1043"/>
      <c r="AX48" s="1044"/>
      <c r="AY48" s="890"/>
    </row>
    <row r="49" ht="15.75" customHeight="1">
      <c r="A49" s="1253"/>
      <c r="B49" s="379">
        <v>18.0</v>
      </c>
      <c r="C49" s="334"/>
      <c r="D49" s="1219" t="s">
        <v>316</v>
      </c>
      <c r="E49" s="448">
        <v>3.0</v>
      </c>
      <c r="F49" s="1201"/>
      <c r="G49" s="1202"/>
      <c r="H49" s="1202"/>
      <c r="I49" s="1202"/>
      <c r="J49" s="1202"/>
      <c r="K49" s="1202"/>
      <c r="L49" s="1202"/>
      <c r="M49" s="1179">
        <v>2.0</v>
      </c>
      <c r="N49" s="1209"/>
      <c r="O49" s="1209"/>
      <c r="P49" s="1045"/>
      <c r="Q49" s="1045"/>
      <c r="R49" s="1209"/>
      <c r="S49" s="1246"/>
      <c r="T49" s="1215"/>
      <c r="U49" s="1248"/>
      <c r="V49" s="1225"/>
      <c r="W49" s="1045"/>
      <c r="X49" s="1232"/>
      <c r="Y49" s="1209"/>
      <c r="Z49" s="1209"/>
      <c r="AA49" s="1209"/>
      <c r="AB49" s="1209"/>
      <c r="AC49" s="1210"/>
      <c r="AD49" s="1249">
        <v>5.0</v>
      </c>
      <c r="AE49" s="334"/>
      <c r="AF49" s="752" t="s">
        <v>54</v>
      </c>
      <c r="AG49" s="438">
        <v>1.0</v>
      </c>
      <c r="AH49" s="1256"/>
      <c r="AI49" s="1045">
        <v>1.0</v>
      </c>
      <c r="AJ49" s="1209"/>
      <c r="AK49" s="1209"/>
      <c r="AL49" s="1209"/>
      <c r="AM49" s="1209"/>
      <c r="AN49" s="1220"/>
      <c r="AO49" s="1226" t="s">
        <v>187</v>
      </c>
      <c r="AP49" s="1100" t="s">
        <v>311</v>
      </c>
      <c r="AQ49" s="1093"/>
      <c r="AR49" s="1093"/>
      <c r="AS49" s="1093"/>
      <c r="AT49" s="1258"/>
      <c r="AU49" s="1041"/>
      <c r="AV49" s="1042"/>
      <c r="AW49" s="1043"/>
      <c r="AX49" s="1044"/>
      <c r="AY49" s="890"/>
    </row>
    <row r="50" ht="15.75" customHeight="1">
      <c r="A50" s="1175"/>
      <c r="B50" s="379">
        <v>19.0</v>
      </c>
      <c r="C50" s="334"/>
      <c r="D50" s="1219" t="s">
        <v>72</v>
      </c>
      <c r="E50" s="448">
        <v>2.0</v>
      </c>
      <c r="F50" s="1201"/>
      <c r="G50" s="1202"/>
      <c r="H50" s="1202"/>
      <c r="I50" s="1202"/>
      <c r="J50" s="1202"/>
      <c r="K50" s="1202"/>
      <c r="L50" s="1202"/>
      <c r="M50" s="1179">
        <v>2.0</v>
      </c>
      <c r="N50" s="1209"/>
      <c r="O50" s="1209"/>
      <c r="P50" s="1209"/>
      <c r="Q50" s="1209"/>
      <c r="R50" s="1209"/>
      <c r="S50" s="1246"/>
      <c r="T50" s="1247"/>
      <c r="U50" s="1259"/>
      <c r="V50" s="1225"/>
      <c r="W50" s="1225"/>
      <c r="X50" s="1232"/>
      <c r="Y50" s="1209"/>
      <c r="Z50" s="1209"/>
      <c r="AA50" s="1209"/>
      <c r="AB50" s="1209"/>
      <c r="AC50" s="1210"/>
      <c r="AD50" s="1260">
        <v>6.0</v>
      </c>
      <c r="AE50" s="334"/>
      <c r="AF50" s="1255" t="s">
        <v>465</v>
      </c>
      <c r="AG50" s="438"/>
      <c r="AH50" s="1243"/>
      <c r="AJ50" s="1209"/>
      <c r="AK50" s="1209"/>
      <c r="AL50" s="1209"/>
      <c r="AM50" s="1209"/>
      <c r="AN50" s="1220"/>
      <c r="AO50" s="1261" t="s">
        <v>192</v>
      </c>
      <c r="AP50" s="1262" t="s">
        <v>314</v>
      </c>
      <c r="AQ50" s="1263"/>
      <c r="AR50" s="1263"/>
      <c r="AS50" s="1263"/>
      <c r="AT50" s="1264"/>
      <c r="AU50" s="1265"/>
      <c r="AV50" s="1266"/>
      <c r="AW50" s="1267"/>
      <c r="AX50" s="1268"/>
      <c r="AY50" s="768"/>
    </row>
    <row r="51">
      <c r="A51" s="1175"/>
      <c r="B51" s="1218">
        <v>20.0</v>
      </c>
      <c r="C51" s="334"/>
      <c r="D51" s="1219" t="s">
        <v>274</v>
      </c>
      <c r="E51" s="339"/>
      <c r="F51" s="1201"/>
      <c r="G51" s="1202"/>
      <c r="H51" s="1202"/>
      <c r="I51" s="1202"/>
      <c r="J51" s="1202"/>
      <c r="K51" s="1202"/>
      <c r="L51" s="1202"/>
      <c r="M51" s="1179">
        <v>2.0</v>
      </c>
      <c r="N51" s="1209"/>
      <c r="O51" s="1209"/>
      <c r="P51" s="1209"/>
      <c r="Q51" s="1209"/>
      <c r="R51" s="1209"/>
      <c r="S51" s="1269" t="s">
        <v>315</v>
      </c>
      <c r="T51" s="3"/>
      <c r="U51" s="288"/>
      <c r="V51" s="1270">
        <f>(E66+V45+AG38+AG52)</f>
        <v>75</v>
      </c>
      <c r="W51" s="1225"/>
      <c r="X51" s="1232"/>
      <c r="Y51" s="1209"/>
      <c r="Z51" s="1209"/>
      <c r="AA51" s="1209"/>
      <c r="AB51" s="1209"/>
      <c r="AC51" s="1210"/>
      <c r="AD51" s="1260"/>
      <c r="AE51" s="334"/>
      <c r="AF51" s="1255"/>
      <c r="AG51" s="1271"/>
      <c r="AH51" s="1243"/>
      <c r="AI51" s="1210"/>
      <c r="AJ51" s="1209"/>
      <c r="AK51" s="1209"/>
      <c r="AL51" s="1209"/>
      <c r="AM51" s="1209"/>
      <c r="AN51" s="1210"/>
      <c r="AO51" s="373"/>
      <c r="AP51" s="186"/>
      <c r="AQ51" s="1045"/>
      <c r="AR51" s="833"/>
      <c r="AS51" s="833"/>
      <c r="AT51" s="833"/>
      <c r="AU51" s="890"/>
      <c r="AV51" s="890"/>
      <c r="AW51" s="890"/>
      <c r="AX51" s="890"/>
      <c r="AY51" s="890"/>
    </row>
    <row r="52" ht="15.75" customHeight="1">
      <c r="A52" s="1175"/>
      <c r="B52" s="379">
        <v>21.0</v>
      </c>
      <c r="C52" s="334"/>
      <c r="D52" s="1219" t="s">
        <v>139</v>
      </c>
      <c r="E52" s="339"/>
      <c r="F52" s="1201"/>
      <c r="G52" s="1202"/>
      <c r="H52" s="1202"/>
      <c r="I52" s="1202"/>
      <c r="J52" s="1202"/>
      <c r="K52" s="1202"/>
      <c r="L52" s="1202"/>
      <c r="M52" s="1179">
        <v>2.0</v>
      </c>
      <c r="N52" s="1209"/>
      <c r="O52" s="1209"/>
      <c r="P52" s="1209"/>
      <c r="Q52" s="1209"/>
      <c r="R52" s="1209"/>
      <c r="S52" s="428"/>
      <c r="T52" s="429"/>
      <c r="U52" s="430"/>
      <c r="V52" s="469"/>
      <c r="W52" s="1225"/>
      <c r="X52" s="1232"/>
      <c r="Y52" s="1209"/>
      <c r="Z52" s="1209"/>
      <c r="AA52" s="1209"/>
      <c r="AB52" s="1209"/>
      <c r="AC52" s="1210"/>
      <c r="AD52" s="1221" t="s">
        <v>281</v>
      </c>
      <c r="AE52" s="384"/>
      <c r="AF52" s="1222"/>
      <c r="AG52" s="1223">
        <f>SUM(AG45:AG51)</f>
        <v>6</v>
      </c>
      <c r="AH52" s="1210"/>
      <c r="AI52" s="1210"/>
      <c r="AJ52" s="1209"/>
      <c r="AK52" s="1209"/>
      <c r="AL52" s="1209"/>
      <c r="AM52" s="1209"/>
      <c r="AN52" s="1210"/>
      <c r="AO52" s="373"/>
      <c r="AP52" s="186"/>
      <c r="AQ52" s="833"/>
      <c r="AR52" s="833"/>
      <c r="AS52" s="833"/>
      <c r="AT52" s="833"/>
      <c r="AU52" s="890"/>
      <c r="AV52" s="890"/>
      <c r="AW52" s="768"/>
      <c r="AX52" s="768"/>
      <c r="AY52" s="768"/>
    </row>
    <row r="53" ht="15.0" customHeight="1">
      <c r="A53" s="1175"/>
      <c r="B53" s="1218">
        <v>22.0</v>
      </c>
      <c r="C53" s="334"/>
      <c r="D53" s="1219" t="s">
        <v>293</v>
      </c>
      <c r="E53" s="448">
        <v>2.0</v>
      </c>
      <c r="F53" s="1272"/>
      <c r="G53" s="1273"/>
      <c r="H53" s="1273"/>
      <c r="I53" s="1273"/>
      <c r="J53" s="1273"/>
      <c r="K53" s="1273"/>
      <c r="L53" s="1273"/>
      <c r="M53" s="1179">
        <v>2.0</v>
      </c>
      <c r="N53" s="1209"/>
      <c r="O53" s="1209"/>
      <c r="P53" s="1209"/>
      <c r="Q53" s="1209"/>
      <c r="R53" s="1209"/>
      <c r="S53" s="1246"/>
      <c r="T53" s="1215"/>
      <c r="V53" s="833"/>
      <c r="W53" s="1274"/>
      <c r="X53" s="1232"/>
      <c r="Y53" s="1209"/>
      <c r="Z53" s="1209"/>
      <c r="AA53" s="1209"/>
      <c r="AB53" s="1209"/>
      <c r="AC53" s="1210"/>
      <c r="AD53" s="1210"/>
      <c r="AE53" s="1210"/>
      <c r="AF53" s="1210"/>
      <c r="AG53" s="1210"/>
      <c r="AH53" s="1275"/>
      <c r="AI53" s="1275"/>
      <c r="AJ53" s="1209"/>
      <c r="AK53" s="1209"/>
      <c r="AL53" s="1209"/>
      <c r="AM53" s="1209"/>
      <c r="AN53" s="1210"/>
      <c r="AO53" s="373"/>
      <c r="AP53" s="186"/>
      <c r="AQ53" s="833"/>
      <c r="AR53" s="833"/>
      <c r="AS53" s="833"/>
      <c r="AT53" s="833"/>
      <c r="AU53" s="768"/>
      <c r="AV53" s="768"/>
      <c r="AW53" s="768"/>
      <c r="AX53" s="768"/>
      <c r="AY53" s="768"/>
    </row>
    <row r="54" ht="15.75" customHeight="1">
      <c r="A54" s="1175"/>
      <c r="B54" s="1218">
        <v>23.0</v>
      </c>
      <c r="C54" s="334"/>
      <c r="D54" s="1219" t="s">
        <v>302</v>
      </c>
      <c r="E54" s="448">
        <v>2.0</v>
      </c>
      <c r="F54" s="1201"/>
      <c r="G54" s="1202"/>
      <c r="H54" s="1202"/>
      <c r="I54" s="1202"/>
      <c r="J54" s="1202"/>
      <c r="K54" s="1202"/>
      <c r="L54" s="1202"/>
      <c r="M54" s="1179">
        <v>2.0</v>
      </c>
      <c r="N54" s="1209"/>
      <c r="O54" s="1209"/>
      <c r="P54" s="1209"/>
      <c r="Q54" s="1209"/>
      <c r="R54" s="1210"/>
      <c r="S54" s="1252"/>
      <c r="T54" s="1209"/>
      <c r="U54" s="1276"/>
      <c r="V54" s="1277"/>
      <c r="W54" s="1277"/>
      <c r="X54" s="1232"/>
      <c r="Y54" s="1209"/>
      <c r="Z54" s="1209"/>
      <c r="AA54" s="1209"/>
      <c r="AB54" s="1209"/>
      <c r="AC54" s="1210"/>
      <c r="AD54" s="1210"/>
      <c r="AE54" s="1210"/>
      <c r="AF54" s="1278"/>
      <c r="AG54" s="1210"/>
      <c r="AH54" s="1210"/>
      <c r="AI54" s="1210"/>
      <c r="AJ54" s="1209"/>
      <c r="AK54" s="1209"/>
      <c r="AL54" s="1209"/>
      <c r="AM54" s="1209"/>
      <c r="AN54" s="1210"/>
      <c r="AO54" s="373"/>
      <c r="AP54" s="186"/>
      <c r="AQ54" s="833"/>
      <c r="AR54" s="833"/>
      <c r="AS54" s="833"/>
      <c r="AT54" s="833"/>
      <c r="AU54" s="890"/>
      <c r="AV54" s="890"/>
      <c r="AW54" s="890"/>
      <c r="AX54" s="890"/>
      <c r="AY54" s="890"/>
    </row>
    <row r="55" ht="15.75" customHeight="1">
      <c r="A55" s="1175"/>
      <c r="B55" s="1218">
        <v>24.0</v>
      </c>
      <c r="C55" s="334"/>
      <c r="D55" s="1219" t="s">
        <v>317</v>
      </c>
      <c r="E55" s="448">
        <v>3.0</v>
      </c>
      <c r="F55" s="1201"/>
      <c r="G55" s="1202"/>
      <c r="H55" s="1202"/>
      <c r="I55" s="1202"/>
      <c r="J55" s="1202"/>
      <c r="K55" s="1202"/>
      <c r="L55" s="1202"/>
      <c r="M55" s="1179">
        <v>2.0</v>
      </c>
      <c r="N55" s="1209"/>
      <c r="O55" s="1209"/>
      <c r="P55" s="1209"/>
      <c r="Q55" s="1209"/>
      <c r="R55" s="1210"/>
      <c r="S55" s="1252"/>
      <c r="T55" s="1209"/>
      <c r="U55" s="1276"/>
      <c r="V55" s="1274"/>
      <c r="W55" s="1277"/>
      <c r="X55" s="1232"/>
      <c r="Y55" s="1209"/>
      <c r="Z55" s="1209"/>
      <c r="AA55" s="1209"/>
      <c r="AB55" s="1209"/>
      <c r="AC55" s="1210"/>
      <c r="AD55" s="1210"/>
      <c r="AE55" s="1210"/>
      <c r="AF55" s="1210"/>
      <c r="AG55" s="1210"/>
      <c r="AH55" s="1210"/>
      <c r="AI55" s="1210"/>
      <c r="AJ55" s="1209"/>
      <c r="AK55" s="1180"/>
      <c r="AL55" s="1209"/>
      <c r="AM55" s="1209"/>
      <c r="AN55" s="1210"/>
      <c r="AO55" s="373"/>
      <c r="AP55" s="186"/>
      <c r="AQ55" s="833"/>
      <c r="AR55" s="833"/>
      <c r="AS55" s="833"/>
      <c r="AT55" s="833"/>
      <c r="AU55" s="890"/>
      <c r="AV55" s="890"/>
      <c r="AW55" s="890"/>
      <c r="AX55" s="890"/>
      <c r="AY55" s="890"/>
    </row>
    <row r="56" ht="15.75" customHeight="1">
      <c r="A56" s="1175"/>
      <c r="B56" s="1279">
        <v>25.0</v>
      </c>
      <c r="C56" s="334"/>
      <c r="D56" s="206" t="s">
        <v>473</v>
      </c>
      <c r="E56" s="448">
        <v>2.0</v>
      </c>
      <c r="F56" s="1201"/>
      <c r="G56" s="1202"/>
      <c r="H56" s="1202"/>
      <c r="I56" s="1202"/>
      <c r="J56" s="1202"/>
      <c r="K56" s="1202"/>
      <c r="L56" s="1202"/>
      <c r="M56" s="1179">
        <v>2.0</v>
      </c>
      <c r="N56" s="1209"/>
      <c r="O56" s="1209"/>
      <c r="P56" s="1209"/>
      <c r="Q56" s="1209"/>
      <c r="R56" s="1210"/>
      <c r="S56" s="1252"/>
      <c r="T56" s="1209"/>
      <c r="U56" s="1276"/>
      <c r="V56" s="1209"/>
      <c r="W56" s="1209"/>
      <c r="X56" s="1232"/>
      <c r="Y56" s="1209"/>
      <c r="Z56" s="1209"/>
      <c r="AA56" s="1209"/>
      <c r="AB56" s="1209"/>
      <c r="AC56" s="1209"/>
      <c r="AD56" s="1209"/>
      <c r="AE56" s="1209"/>
      <c r="AF56" s="1209"/>
      <c r="AG56" s="1210"/>
      <c r="AH56" s="1210"/>
      <c r="AI56" s="1210"/>
      <c r="AJ56" s="1209"/>
      <c r="AK56" s="1209"/>
      <c r="AL56" s="1209"/>
      <c r="AM56" s="1209"/>
      <c r="AN56" s="1210"/>
      <c r="AO56" s="373"/>
      <c r="AP56" s="186"/>
      <c r="AQ56" s="833"/>
      <c r="AR56" s="833"/>
      <c r="AS56" s="833"/>
      <c r="AT56" s="833"/>
      <c r="AU56" s="890"/>
      <c r="AV56" s="890"/>
      <c r="AW56" s="890"/>
      <c r="AX56" s="890"/>
      <c r="AY56" s="890"/>
    </row>
    <row r="57" ht="15.75" customHeight="1">
      <c r="A57" s="1175"/>
      <c r="B57" s="1279">
        <v>26.0</v>
      </c>
      <c r="C57" s="334"/>
      <c r="D57" s="206" t="s">
        <v>480</v>
      </c>
      <c r="E57" s="448">
        <v>2.0</v>
      </c>
      <c r="F57" s="1201"/>
      <c r="G57" s="1202"/>
      <c r="H57" s="1202"/>
      <c r="I57" s="1202"/>
      <c r="J57" s="1202"/>
      <c r="K57" s="1202"/>
      <c r="L57" s="1202"/>
      <c r="M57" s="1179">
        <v>2.0</v>
      </c>
      <c r="N57" s="1209"/>
      <c r="O57" s="1209"/>
      <c r="P57" s="1209"/>
      <c r="Q57" s="1209"/>
      <c r="R57" s="1210"/>
      <c r="S57" s="1215"/>
      <c r="T57" s="1209"/>
      <c r="U57" s="1276"/>
      <c r="V57" s="1277"/>
      <c r="W57" s="1277"/>
      <c r="X57" s="1280"/>
      <c r="Y57" s="1209"/>
      <c r="Z57" s="1209"/>
      <c r="AA57" s="1209"/>
      <c r="AB57" s="1209"/>
      <c r="AC57" s="1210"/>
      <c r="AD57" s="1210"/>
      <c r="AE57" s="1210"/>
      <c r="AF57" s="1210"/>
      <c r="AG57" s="1210"/>
      <c r="AH57" s="1210"/>
      <c r="AI57" s="1281"/>
      <c r="AJ57" s="1209"/>
      <c r="AK57" s="1209"/>
      <c r="AL57" s="1209"/>
      <c r="AM57" s="1209"/>
      <c r="AN57" s="1210"/>
      <c r="AO57" s="373"/>
      <c r="AP57" s="186"/>
      <c r="AQ57" s="833"/>
      <c r="AR57" s="833"/>
      <c r="AS57" s="1155"/>
      <c r="AT57" s="833"/>
      <c r="AU57" s="890"/>
      <c r="AV57" s="890"/>
      <c r="AW57" s="890"/>
      <c r="AX57" s="890"/>
      <c r="AY57" s="890"/>
    </row>
    <row r="58" ht="15.75" customHeight="1">
      <c r="A58" s="1282"/>
      <c r="B58" s="1279">
        <v>27.0</v>
      </c>
      <c r="C58" s="334"/>
      <c r="D58" s="206" t="s">
        <v>481</v>
      </c>
      <c r="E58" s="448">
        <v>1.0</v>
      </c>
      <c r="F58" s="1201"/>
      <c r="G58" s="1202"/>
      <c r="H58" s="1202"/>
      <c r="I58" s="1202"/>
      <c r="J58" s="1202"/>
      <c r="K58" s="1202"/>
      <c r="L58" s="1202"/>
      <c r="M58" s="1179">
        <v>2.0</v>
      </c>
      <c r="N58" s="1209"/>
      <c r="O58" s="1209"/>
      <c r="P58" s="1209"/>
      <c r="Q58" s="1209"/>
      <c r="R58" s="1210"/>
      <c r="S58" s="1215"/>
      <c r="T58" s="1045" t="s">
        <v>299</v>
      </c>
      <c r="U58" s="1276"/>
      <c r="V58" s="1277"/>
      <c r="W58" s="1277"/>
      <c r="X58" s="1277"/>
      <c r="Y58" s="1209"/>
      <c r="Z58" s="1209"/>
      <c r="AA58" s="1209"/>
      <c r="AB58" s="1209"/>
      <c r="AC58" s="1210"/>
      <c r="AD58" s="1210"/>
      <c r="AE58" s="1210"/>
      <c r="AF58" s="1210"/>
      <c r="AG58" s="1210"/>
      <c r="AH58" s="1210"/>
      <c r="AI58" s="1210"/>
      <c r="AJ58" s="1209"/>
      <c r="AK58" s="1209"/>
      <c r="AL58" s="1209"/>
      <c r="AM58" s="1209"/>
      <c r="AN58" s="1210"/>
      <c r="AO58" s="373"/>
      <c r="AP58" s="186"/>
      <c r="AQ58" s="833"/>
      <c r="AR58" s="833"/>
      <c r="AS58" s="833"/>
      <c r="AT58" s="833"/>
      <c r="AU58" s="1283"/>
      <c r="AV58" s="1283"/>
      <c r="AW58" s="1283"/>
      <c r="AX58" s="1283"/>
      <c r="AY58" s="1283"/>
    </row>
    <row r="59" ht="15.75" customHeight="1">
      <c r="A59" s="48"/>
      <c r="B59" s="1279">
        <v>28.0</v>
      </c>
      <c r="C59" s="334"/>
      <c r="D59" s="474"/>
      <c r="E59" s="448"/>
      <c r="F59" s="1075"/>
      <c r="G59" s="1091"/>
      <c r="H59" s="1091"/>
      <c r="I59" s="1091"/>
      <c r="J59" s="1091"/>
      <c r="K59" s="1091"/>
      <c r="L59" s="1091"/>
      <c r="M59" s="1284"/>
      <c r="N59" s="1209"/>
      <c r="O59" s="1209"/>
      <c r="P59" s="1209"/>
      <c r="Q59" s="1209"/>
      <c r="R59" s="1210"/>
      <c r="S59" s="1285"/>
      <c r="T59" s="1286"/>
      <c r="U59" s="1237"/>
      <c r="V59" s="1274" t="s">
        <v>299</v>
      </c>
      <c r="W59" s="1287"/>
      <c r="X59" s="1277"/>
      <c r="Y59" s="1209"/>
      <c r="Z59" s="1209"/>
      <c r="AA59" s="1209"/>
      <c r="AB59" s="1209"/>
      <c r="AC59" s="1210"/>
      <c r="AD59" s="1210"/>
      <c r="AE59" s="1210"/>
      <c r="AF59" s="1210"/>
      <c r="AG59" s="1210"/>
      <c r="AH59" s="1210"/>
      <c r="AI59" s="1210"/>
      <c r="AJ59" s="1209"/>
      <c r="AK59" s="1209"/>
      <c r="AL59" s="1209"/>
      <c r="AM59" s="1209"/>
      <c r="AN59" s="1210"/>
      <c r="AO59" s="373"/>
      <c r="AP59" s="186"/>
      <c r="AQ59" s="833"/>
      <c r="AR59" s="833"/>
      <c r="AS59" s="833"/>
      <c r="AT59" s="1283"/>
      <c r="AU59" s="1283"/>
      <c r="AV59" s="1283"/>
      <c r="AW59" s="1283"/>
      <c r="AX59" s="1283"/>
      <c r="AY59" s="1283"/>
    </row>
    <row r="60" ht="15.75" customHeight="1">
      <c r="A60" s="48"/>
      <c r="B60" s="1279"/>
      <c r="C60" s="334"/>
      <c r="D60" s="474"/>
      <c r="E60" s="448"/>
      <c r="F60" s="1201"/>
      <c r="G60" s="1202"/>
      <c r="H60" s="1202"/>
      <c r="I60" s="1202"/>
      <c r="J60" s="1202"/>
      <c r="K60" s="1202"/>
      <c r="L60" s="1202"/>
      <c r="M60" s="1284"/>
      <c r="N60" s="1209"/>
      <c r="O60" s="1209"/>
      <c r="P60" s="1209"/>
      <c r="Q60" s="1209"/>
      <c r="R60" s="1210"/>
      <c r="S60" s="1288"/>
      <c r="T60" s="1289"/>
      <c r="U60" s="1276"/>
      <c r="V60" s="1274" t="s">
        <v>299</v>
      </c>
      <c r="W60" s="1277"/>
      <c r="X60" s="1277"/>
      <c r="Y60" s="1209"/>
      <c r="Z60" s="1209"/>
      <c r="AA60" s="1209"/>
      <c r="AB60" s="1209"/>
      <c r="AC60" s="1210"/>
      <c r="AD60" s="1210"/>
      <c r="AE60" s="1210"/>
      <c r="AF60" s="1210"/>
      <c r="AG60" s="1210"/>
      <c r="AH60" s="1210"/>
      <c r="AI60" s="1278"/>
      <c r="AJ60" s="1209"/>
      <c r="AK60" s="1209"/>
      <c r="AL60" s="1209"/>
      <c r="AM60" s="1209"/>
      <c r="AN60" s="1210"/>
      <c r="AO60" s="373"/>
      <c r="AP60" s="186"/>
      <c r="AQ60" s="833"/>
      <c r="AR60" s="833"/>
      <c r="AS60" s="833"/>
      <c r="AT60" s="1283"/>
      <c r="AU60" s="1283"/>
      <c r="AV60" s="1283"/>
      <c r="AW60" s="1283"/>
      <c r="AX60" s="1283"/>
      <c r="AY60" s="1283"/>
    </row>
    <row r="61" ht="15.75" customHeight="1">
      <c r="A61" s="1"/>
      <c r="B61" s="1290"/>
      <c r="C61" s="334"/>
      <c r="D61" s="104"/>
      <c r="E61" s="1291"/>
      <c r="F61" s="1201"/>
      <c r="G61" s="1202"/>
      <c r="H61" s="1202"/>
      <c r="I61" s="1202"/>
      <c r="J61" s="1202"/>
      <c r="K61" s="1202"/>
      <c r="L61" s="1202"/>
      <c r="M61" s="1284"/>
      <c r="N61" s="1209"/>
      <c r="O61" s="1209"/>
      <c r="P61" s="1209"/>
      <c r="Q61" s="1209"/>
      <c r="R61" s="1210"/>
      <c r="S61" s="1288"/>
      <c r="T61" s="1286"/>
      <c r="U61" s="1276"/>
      <c r="V61" s="1277"/>
      <c r="W61" s="1277"/>
      <c r="X61" s="1277"/>
      <c r="Y61" s="1209"/>
      <c r="Z61" s="1209"/>
      <c r="AA61" s="1209"/>
      <c r="AB61" s="1209"/>
      <c r="AC61" s="1210"/>
      <c r="AD61" s="1210"/>
      <c r="AE61" s="1210"/>
      <c r="AF61" s="833"/>
      <c r="AG61" s="1210"/>
      <c r="AH61" s="1210"/>
      <c r="AI61" s="1210"/>
      <c r="AJ61" s="1209"/>
      <c r="AK61" s="1209"/>
      <c r="AL61" s="1209"/>
      <c r="AM61" s="1209"/>
      <c r="AN61" s="1210"/>
      <c r="AO61" s="373"/>
      <c r="AP61" s="186"/>
      <c r="AQ61" s="833"/>
      <c r="AR61" s="833"/>
      <c r="AS61" s="833"/>
      <c r="AT61" s="1283"/>
      <c r="AU61" s="1283"/>
      <c r="AV61" s="1283"/>
      <c r="AW61" s="1283"/>
      <c r="AX61" s="1283"/>
      <c r="AY61" s="1283"/>
    </row>
    <row r="62" ht="15.75" customHeight="1">
      <c r="A62" s="1"/>
      <c r="B62" s="1290"/>
      <c r="C62" s="334"/>
      <c r="D62" s="1093"/>
      <c r="E62" s="1291"/>
      <c r="F62" s="1201"/>
      <c r="G62" s="1202"/>
      <c r="H62" s="1202"/>
      <c r="I62" s="1202"/>
      <c r="J62" s="1202"/>
      <c r="K62" s="1202"/>
      <c r="L62" s="1202"/>
      <c r="M62" s="1284"/>
      <c r="N62" s="1209"/>
      <c r="O62" s="1209"/>
      <c r="P62" s="1209"/>
      <c r="Q62" s="1209"/>
      <c r="R62" s="1210"/>
      <c r="S62" s="1252"/>
      <c r="T62" s="1209"/>
      <c r="U62" s="1276"/>
      <c r="V62" s="1277"/>
      <c r="W62" s="1277"/>
      <c r="X62" s="1292"/>
      <c r="Y62" s="1209"/>
      <c r="Z62" s="1209"/>
      <c r="AA62" s="1209"/>
      <c r="AB62" s="1209"/>
      <c r="AC62" s="1210"/>
      <c r="AD62" s="1210"/>
      <c r="AE62" s="1210"/>
      <c r="AF62" s="1210"/>
      <c r="AG62" s="1210"/>
      <c r="AH62" s="1210"/>
      <c r="AI62" s="1210"/>
      <c r="AJ62" s="1209"/>
      <c r="AK62" s="1209"/>
      <c r="AL62" s="1209"/>
      <c r="AM62" s="1209"/>
      <c r="AN62" s="1210"/>
      <c r="AO62" s="373"/>
      <c r="AP62" s="186"/>
      <c r="AQ62" s="833"/>
      <c r="AR62" s="833"/>
      <c r="AS62" s="833"/>
      <c r="AT62" s="1283"/>
      <c r="AU62" s="1283"/>
      <c r="AV62" s="1283"/>
      <c r="AW62" s="1283"/>
      <c r="AX62" s="1283"/>
      <c r="AY62" s="1283"/>
    </row>
    <row r="63" ht="15.75" customHeight="1">
      <c r="A63" s="1"/>
      <c r="B63" s="1290"/>
      <c r="C63" s="334"/>
      <c r="D63" s="1093"/>
      <c r="E63" s="1291"/>
      <c r="F63" s="1201"/>
      <c r="G63" s="1202"/>
      <c r="H63" s="1202"/>
      <c r="I63" s="1202"/>
      <c r="J63" s="1202"/>
      <c r="K63" s="1202"/>
      <c r="L63" s="1202"/>
      <c r="M63" s="1284"/>
      <c r="N63" s="1209"/>
      <c r="O63" s="1209"/>
      <c r="P63" s="1209"/>
      <c r="Q63" s="1209"/>
      <c r="R63" s="1210"/>
      <c r="S63" s="1252"/>
      <c r="T63" s="1209"/>
      <c r="U63" s="1276"/>
      <c r="V63" s="1277"/>
      <c r="W63" s="1277"/>
      <c r="X63" s="1274"/>
      <c r="Y63" s="1209"/>
      <c r="Z63" s="1209"/>
      <c r="AA63" s="1209"/>
      <c r="AB63" s="1209"/>
      <c r="AC63" s="1210"/>
      <c r="AD63" s="1210"/>
      <c r="AE63" s="1210"/>
      <c r="AF63" s="1210"/>
      <c r="AG63" s="1210"/>
      <c r="AH63" s="1045"/>
      <c r="AI63" s="1210"/>
      <c r="AJ63" s="1209"/>
      <c r="AK63" s="1209"/>
      <c r="AL63" s="1209"/>
      <c r="AM63" s="1209"/>
      <c r="AN63" s="1210"/>
      <c r="AO63" s="373"/>
      <c r="AP63" s="186"/>
      <c r="AQ63" s="833"/>
      <c r="AR63" s="833"/>
      <c r="AS63" s="833"/>
      <c r="AT63" s="1283"/>
      <c r="AU63" s="1283"/>
      <c r="AV63" s="1283"/>
      <c r="AW63" s="1283"/>
      <c r="AX63" s="1283"/>
      <c r="AY63" s="1283"/>
    </row>
    <row r="64" ht="15.75" customHeight="1">
      <c r="A64" s="1"/>
      <c r="B64" s="1290"/>
      <c r="C64" s="334"/>
      <c r="D64" s="1293"/>
      <c r="E64" s="1291"/>
      <c r="F64" s="1201"/>
      <c r="G64" s="1202"/>
      <c r="H64" s="1202"/>
      <c r="I64" s="1202"/>
      <c r="J64" s="1202"/>
      <c r="K64" s="1202"/>
      <c r="L64" s="1202"/>
      <c r="M64" s="1284"/>
      <c r="N64" s="1209"/>
      <c r="O64" s="1209"/>
      <c r="P64" s="1209"/>
      <c r="Q64" s="1209"/>
      <c r="R64" s="1210"/>
      <c r="S64" s="1252"/>
      <c r="T64" s="1209"/>
      <c r="U64" s="1276"/>
      <c r="V64" s="1277"/>
      <c r="W64" s="1277"/>
      <c r="X64" s="1274"/>
      <c r="Y64" s="1209"/>
      <c r="Z64" s="1209"/>
      <c r="AA64" s="1209"/>
      <c r="AB64" s="1209"/>
      <c r="AC64" s="1210"/>
      <c r="AD64" s="1210"/>
      <c r="AE64" s="1210"/>
      <c r="AF64" s="1210"/>
      <c r="AG64" s="1210"/>
      <c r="AH64" s="1045"/>
      <c r="AI64" s="1210"/>
      <c r="AJ64" s="1209"/>
      <c r="AK64" s="1209"/>
      <c r="AL64" s="1209"/>
      <c r="AM64" s="1209"/>
      <c r="AN64" s="1210"/>
      <c r="AO64" s="373"/>
      <c r="AP64" s="186"/>
      <c r="AQ64" s="833"/>
      <c r="AR64" s="833"/>
      <c r="AS64" s="833"/>
      <c r="AT64" s="1283"/>
      <c r="AU64" s="1283"/>
      <c r="AV64" s="1283"/>
      <c r="AW64" s="1283"/>
      <c r="AX64" s="1283"/>
      <c r="AY64" s="1283"/>
    </row>
    <row r="65" ht="15.75" customHeight="1">
      <c r="A65" s="1"/>
      <c r="B65" s="1290"/>
      <c r="C65" s="334"/>
      <c r="D65" s="1294"/>
      <c r="E65" s="1291"/>
      <c r="F65" s="1201"/>
      <c r="G65" s="1202"/>
      <c r="H65" s="1202"/>
      <c r="I65" s="1202"/>
      <c r="J65" s="1202"/>
      <c r="K65" s="1202"/>
      <c r="L65" s="1202"/>
      <c r="M65" s="1284"/>
      <c r="N65" s="1209"/>
      <c r="O65" s="1209"/>
      <c r="P65" s="1209"/>
      <c r="Q65" s="1209"/>
      <c r="R65" s="1210"/>
      <c r="S65" s="1252"/>
      <c r="T65" s="1209"/>
      <c r="U65" s="1237"/>
      <c r="V65" s="1277"/>
      <c r="W65" s="1277"/>
      <c r="X65" s="1274"/>
      <c r="Y65" s="1209"/>
      <c r="Z65" s="1209"/>
      <c r="AA65" s="1209"/>
      <c r="AB65" s="1209"/>
      <c r="AC65" s="1210"/>
      <c r="AD65" s="1210"/>
      <c r="AE65" s="1210"/>
      <c r="AF65" s="1210"/>
      <c r="AG65" s="1210"/>
      <c r="AH65" s="1045"/>
      <c r="AI65" s="1210"/>
      <c r="AJ65" s="1209"/>
      <c r="AK65" s="1209"/>
      <c r="AL65" s="1209"/>
      <c r="AM65" s="1209"/>
      <c r="AN65" s="1210"/>
      <c r="AO65" s="373"/>
      <c r="AP65" s="186"/>
      <c r="AQ65" s="833"/>
      <c r="AR65" s="833"/>
      <c r="AS65" s="833"/>
      <c r="AT65" s="1283"/>
      <c r="AU65" s="1283"/>
      <c r="AV65" s="1283"/>
      <c r="AW65" s="1283"/>
      <c r="AX65" s="1283"/>
      <c r="AY65" s="1283"/>
    </row>
    <row r="66" ht="15.75" customHeight="1">
      <c r="A66" s="491"/>
      <c r="B66" s="1295" t="s">
        <v>281</v>
      </c>
      <c r="C66" s="384"/>
      <c r="D66" s="1296"/>
      <c r="E66" s="1297">
        <f>SUM(E32:E65)</f>
        <v>58</v>
      </c>
      <c r="F66" s="1298"/>
      <c r="G66" s="1298"/>
      <c r="H66" s="1298"/>
      <c r="I66" s="1298"/>
      <c r="J66" s="1298"/>
      <c r="K66" s="1298"/>
      <c r="L66" s="1298"/>
      <c r="M66" s="1299"/>
      <c r="N66" s="886"/>
      <c r="O66" s="886"/>
      <c r="P66" s="886"/>
      <c r="Q66" s="886"/>
      <c r="R66" s="886"/>
      <c r="S66" s="1300"/>
      <c r="T66" s="886"/>
      <c r="U66" s="1301"/>
      <c r="V66" s="887"/>
      <c r="W66" s="887"/>
      <c r="X66" s="1302"/>
      <c r="Y66" s="887"/>
      <c r="Z66" s="887"/>
      <c r="AA66" s="887"/>
      <c r="AB66" s="887"/>
      <c r="AC66" s="887"/>
      <c r="AD66" s="887"/>
      <c r="AE66" s="887"/>
      <c r="AF66" s="1303"/>
      <c r="AG66" s="887"/>
      <c r="AH66" s="887"/>
      <c r="AI66" s="887"/>
      <c r="AJ66" s="887"/>
      <c r="AK66" s="887"/>
      <c r="AL66" s="887"/>
      <c r="AM66" s="887"/>
      <c r="AN66" s="887"/>
      <c r="AO66" s="495"/>
      <c r="AP66" s="495"/>
      <c r="AQ66" s="495"/>
      <c r="AR66" s="495"/>
      <c r="AS66" s="495"/>
      <c r="AT66" s="495"/>
      <c r="AU66" s="495"/>
      <c r="AV66" s="495"/>
      <c r="AW66" s="495"/>
      <c r="AX66" s="495"/>
      <c r="AY66" s="317"/>
    </row>
    <row r="67" ht="15.75" customHeight="1">
      <c r="A67" s="1247"/>
      <c r="B67" s="1304"/>
      <c r="C67" s="1304"/>
      <c r="D67" s="1305"/>
      <c r="E67" s="1306"/>
      <c r="F67" s="1307"/>
      <c r="G67" s="1307"/>
      <c r="H67" s="1307"/>
      <c r="I67" s="1307"/>
      <c r="J67" s="1307"/>
      <c r="K67" s="1307"/>
      <c r="L67" s="1307"/>
      <c r="M67" s="819"/>
      <c r="N67" s="1308"/>
      <c r="O67" s="1308"/>
      <c r="P67" s="1308"/>
      <c r="Q67" s="1308"/>
      <c r="R67" s="1308"/>
      <c r="S67" s="1309"/>
      <c r="T67" s="1308"/>
      <c r="U67" s="1310"/>
      <c r="V67" s="1307"/>
      <c r="W67" s="1307"/>
      <c r="X67" s="1311"/>
      <c r="Y67" s="1307"/>
      <c r="Z67" s="1307"/>
      <c r="AA67" s="1307"/>
      <c r="AB67" s="1307"/>
      <c r="AC67" s="1307"/>
      <c r="AD67" s="1307"/>
      <c r="AE67" s="1307"/>
      <c r="AF67" s="1312"/>
      <c r="AG67" s="1307"/>
      <c r="AH67" s="1307"/>
      <c r="AI67" s="1307"/>
      <c r="AJ67" s="1307"/>
      <c r="AK67" s="1307"/>
      <c r="AL67" s="1307"/>
      <c r="AM67" s="1307"/>
      <c r="AN67" s="1307"/>
      <c r="AO67" s="317"/>
      <c r="AP67" s="317"/>
      <c r="AQ67" s="317"/>
      <c r="AR67" s="317"/>
      <c r="AS67" s="317"/>
      <c r="AT67" s="317"/>
      <c r="AU67" s="317"/>
      <c r="AV67" s="317"/>
      <c r="AW67" s="317"/>
      <c r="AX67" s="317"/>
      <c r="AY67" s="317"/>
    </row>
    <row r="68" ht="15.75" customHeight="1">
      <c r="A68" s="1247"/>
      <c r="B68" s="1304"/>
      <c r="C68" s="1304"/>
      <c r="D68" s="1305"/>
      <c r="E68" s="1306"/>
      <c r="F68" s="1307"/>
      <c r="G68" s="1307"/>
      <c r="H68" s="1307"/>
      <c r="I68" s="1307"/>
      <c r="J68" s="1307"/>
      <c r="K68" s="1307"/>
      <c r="L68" s="1307"/>
      <c r="M68" s="819"/>
      <c r="N68" s="1308"/>
      <c r="O68" s="1308"/>
      <c r="P68" s="1308"/>
      <c r="Q68" s="1308"/>
      <c r="R68" s="1308"/>
      <c r="S68" s="1309"/>
      <c r="T68" s="1308"/>
      <c r="U68" s="1310"/>
      <c r="V68" s="1307"/>
      <c r="W68" s="1307"/>
      <c r="X68" s="1311"/>
      <c r="Y68" s="1307"/>
      <c r="Z68" s="1307"/>
      <c r="AA68" s="1307"/>
      <c r="AB68" s="1307"/>
      <c r="AC68" s="1307"/>
      <c r="AD68" s="1307"/>
      <c r="AE68" s="1307"/>
      <c r="AF68" s="1312"/>
      <c r="AG68" s="1307"/>
      <c r="AH68" s="1307"/>
      <c r="AI68" s="1307"/>
      <c r="AJ68" s="1307"/>
      <c r="AK68" s="1307"/>
      <c r="AL68" s="1307"/>
      <c r="AM68" s="1307"/>
      <c r="AN68" s="1307"/>
      <c r="AO68" s="317"/>
      <c r="AP68" s="317"/>
      <c r="AQ68" s="317"/>
      <c r="AR68" s="317"/>
      <c r="AS68" s="317"/>
      <c r="AT68" s="317"/>
      <c r="AU68" s="317"/>
      <c r="AV68" s="317"/>
      <c r="AW68" s="317"/>
      <c r="AX68" s="317"/>
      <c r="AY68" s="317"/>
    </row>
    <row r="69" ht="15.75" customHeight="1">
      <c r="A69" s="1247"/>
      <c r="B69" s="1304"/>
      <c r="C69" s="1304"/>
      <c r="D69" s="1305"/>
      <c r="E69" s="1306"/>
      <c r="F69" s="1307"/>
      <c r="G69" s="1307"/>
      <c r="H69" s="1307"/>
      <c r="I69" s="1307"/>
      <c r="J69" s="1307"/>
      <c r="K69" s="1307"/>
      <c r="L69" s="1307"/>
      <c r="M69" s="819"/>
      <c r="N69" s="1308"/>
      <c r="O69" s="1308"/>
      <c r="P69" s="1308"/>
      <c r="Q69" s="1308"/>
      <c r="R69" s="1308"/>
      <c r="S69" s="1309"/>
      <c r="T69" s="1308"/>
      <c r="U69" s="1310"/>
      <c r="V69" s="1307"/>
      <c r="W69" s="1307"/>
      <c r="X69" s="1311"/>
      <c r="Y69" s="1307"/>
      <c r="Z69" s="1307"/>
      <c r="AA69" s="1307"/>
      <c r="AB69" s="1307"/>
      <c r="AC69" s="1307"/>
      <c r="AD69" s="1307"/>
      <c r="AE69" s="1307"/>
      <c r="AF69" s="1312"/>
      <c r="AG69" s="1307"/>
      <c r="AH69" s="1307"/>
      <c r="AI69" s="1307"/>
      <c r="AJ69" s="1307"/>
      <c r="AK69" s="1307"/>
      <c r="AL69" s="1307"/>
      <c r="AM69" s="1307"/>
      <c r="AN69" s="1307"/>
      <c r="AO69" s="317"/>
      <c r="AP69" s="317"/>
      <c r="AQ69" s="317"/>
      <c r="AR69" s="317"/>
      <c r="AS69" s="317"/>
      <c r="AT69" s="317"/>
      <c r="AU69" s="317"/>
      <c r="AV69" s="317"/>
      <c r="AW69" s="317"/>
      <c r="AX69" s="317"/>
      <c r="AY69" s="317"/>
    </row>
    <row r="70" ht="15.75" customHeight="1">
      <c r="A70" s="1247"/>
      <c r="B70" s="1304"/>
      <c r="C70" s="1304"/>
      <c r="D70" s="1305"/>
      <c r="E70" s="1306"/>
      <c r="F70" s="1307"/>
      <c r="G70" s="1307"/>
      <c r="H70" s="1307"/>
      <c r="I70" s="1307"/>
      <c r="J70" s="1307"/>
      <c r="K70" s="1307"/>
      <c r="L70" s="1307"/>
      <c r="M70" s="819"/>
      <c r="N70" s="1308"/>
      <c r="O70" s="1308"/>
      <c r="P70" s="1308"/>
      <c r="Q70" s="1308"/>
      <c r="R70" s="1308"/>
      <c r="S70" s="1309"/>
      <c r="T70" s="1308"/>
      <c r="U70" s="1310"/>
      <c r="V70" s="1307"/>
      <c r="W70" s="1307"/>
      <c r="X70" s="1311"/>
      <c r="Y70" s="1307"/>
      <c r="Z70" s="1307"/>
      <c r="AA70" s="1307"/>
      <c r="AB70" s="1307"/>
      <c r="AC70" s="1307"/>
      <c r="AD70" s="1307"/>
      <c r="AE70" s="1307"/>
      <c r="AF70" s="1312"/>
      <c r="AG70" s="1307"/>
      <c r="AH70" s="1307"/>
      <c r="AI70" s="1307"/>
      <c r="AJ70" s="1307"/>
      <c r="AK70" s="1307"/>
      <c r="AL70" s="1307"/>
      <c r="AM70" s="1307"/>
      <c r="AN70" s="1307"/>
      <c r="AO70" s="317"/>
      <c r="AP70" s="317"/>
      <c r="AQ70" s="317"/>
      <c r="AR70" s="317"/>
      <c r="AS70" s="317"/>
      <c r="AT70" s="317"/>
      <c r="AU70" s="317"/>
      <c r="AV70" s="317"/>
      <c r="AW70" s="317"/>
      <c r="AX70" s="317"/>
      <c r="AY70" s="317"/>
    </row>
    <row r="71" ht="15.75" customHeight="1">
      <c r="A71" s="1247"/>
      <c r="B71" s="1304"/>
      <c r="C71" s="1304"/>
      <c r="D71" s="1305"/>
      <c r="E71" s="1306"/>
      <c r="F71" s="1307"/>
      <c r="G71" s="1307"/>
      <c r="H71" s="1307"/>
      <c r="I71" s="1307"/>
      <c r="J71" s="1307"/>
      <c r="K71" s="1307"/>
      <c r="L71" s="1307"/>
      <c r="M71" s="819"/>
      <c r="N71" s="1308"/>
      <c r="O71" s="1308"/>
      <c r="P71" s="1308"/>
      <c r="Q71" s="1308"/>
      <c r="R71" s="1308"/>
      <c r="S71" s="1309"/>
      <c r="T71" s="1308"/>
      <c r="U71" s="1310"/>
      <c r="V71" s="1307"/>
      <c r="W71" s="1307"/>
      <c r="X71" s="1311"/>
      <c r="Y71" s="1307"/>
      <c r="Z71" s="1307"/>
      <c r="AA71" s="1307"/>
      <c r="AB71" s="1307"/>
      <c r="AC71" s="1307"/>
      <c r="AD71" s="1307"/>
      <c r="AE71" s="1307"/>
      <c r="AF71" s="1312"/>
      <c r="AG71" s="1307"/>
      <c r="AH71" s="1307"/>
      <c r="AI71" s="1307"/>
      <c r="AJ71" s="1307"/>
      <c r="AK71" s="1307"/>
      <c r="AL71" s="1307"/>
      <c r="AM71" s="1307"/>
      <c r="AN71" s="1307"/>
      <c r="AO71" s="317"/>
      <c r="AP71" s="317"/>
      <c r="AQ71" s="317"/>
      <c r="AR71" s="317"/>
      <c r="AS71" s="317"/>
      <c r="AT71" s="317"/>
      <c r="AU71" s="317"/>
      <c r="AV71" s="317"/>
      <c r="AW71" s="317"/>
      <c r="AX71" s="317"/>
      <c r="AY71" s="317"/>
    </row>
    <row r="72" ht="15.75" customHeight="1">
      <c r="A72" s="1247"/>
      <c r="B72" s="1304"/>
      <c r="C72" s="1304"/>
      <c r="D72" s="1305"/>
      <c r="E72" s="1306"/>
      <c r="F72" s="1307"/>
      <c r="G72" s="1307"/>
      <c r="H72" s="1307"/>
      <c r="I72" s="1307"/>
      <c r="J72" s="1307"/>
      <c r="K72" s="1307"/>
      <c r="L72" s="1307"/>
      <c r="M72" s="819"/>
      <c r="N72" s="1308"/>
      <c r="O72" s="1308"/>
      <c r="P72" s="1308"/>
      <c r="Q72" s="1308"/>
      <c r="R72" s="1308"/>
      <c r="S72" s="1309"/>
      <c r="T72" s="1308"/>
      <c r="U72" s="1310"/>
      <c r="V72" s="1307"/>
      <c r="W72" s="1307"/>
      <c r="X72" s="1311"/>
      <c r="Y72" s="1307"/>
      <c r="Z72" s="1307"/>
      <c r="AA72" s="1307"/>
      <c r="AB72" s="1307"/>
      <c r="AC72" s="1307"/>
      <c r="AD72" s="1307"/>
      <c r="AE72" s="1307"/>
      <c r="AF72" s="1312"/>
      <c r="AG72" s="1307"/>
      <c r="AH72" s="1307"/>
      <c r="AI72" s="1307"/>
      <c r="AJ72" s="1307"/>
      <c r="AK72" s="1307"/>
      <c r="AL72" s="1307"/>
      <c r="AM72" s="1307"/>
      <c r="AN72" s="1307"/>
      <c r="AO72" s="317"/>
      <c r="AP72" s="317"/>
      <c r="AQ72" s="317"/>
      <c r="AR72" s="317"/>
      <c r="AS72" s="317"/>
      <c r="AT72" s="317"/>
      <c r="AU72" s="317"/>
      <c r="AV72" s="317"/>
      <c r="AW72" s="317"/>
      <c r="AX72" s="317"/>
      <c r="AY72" s="317"/>
    </row>
  </sheetData>
  <mergeCells count="80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61:C61"/>
    <mergeCell ref="AD51:AE51"/>
    <mergeCell ref="AD52:AE52"/>
    <mergeCell ref="AD42:AG44"/>
    <mergeCell ref="AD45:AE45"/>
    <mergeCell ref="AD46:AE46"/>
    <mergeCell ref="AD47:AE47"/>
    <mergeCell ref="AD48:AE48"/>
    <mergeCell ref="AD49:AE49"/>
    <mergeCell ref="AD50:AE50"/>
    <mergeCell ref="B1:AC1"/>
    <mergeCell ref="B2:Q2"/>
    <mergeCell ref="S2:AB2"/>
    <mergeCell ref="AD2:AM2"/>
    <mergeCell ref="AO2:AX2"/>
    <mergeCell ref="F29:AH29"/>
    <mergeCell ref="AO30:AX31"/>
    <mergeCell ref="F30:AH30"/>
    <mergeCell ref="B31:E31"/>
    <mergeCell ref="S31:T31"/>
    <mergeCell ref="AD31:AE31"/>
    <mergeCell ref="B32:C32"/>
    <mergeCell ref="AD32:AE32"/>
    <mergeCell ref="AD33:AE33"/>
    <mergeCell ref="S32:T32"/>
    <mergeCell ref="S33:T33"/>
    <mergeCell ref="S34:T34"/>
    <mergeCell ref="S35:T35"/>
    <mergeCell ref="S36:T36"/>
    <mergeCell ref="S37:T37"/>
    <mergeCell ref="S38:T38"/>
    <mergeCell ref="B33:C33"/>
    <mergeCell ref="B34:C34"/>
    <mergeCell ref="B35:C35"/>
    <mergeCell ref="B36:C36"/>
    <mergeCell ref="B37:C37"/>
    <mergeCell ref="B38:C38"/>
    <mergeCell ref="B39:C39"/>
    <mergeCell ref="B52:C52"/>
    <mergeCell ref="AD34:AE34"/>
    <mergeCell ref="AD35:AE35"/>
    <mergeCell ref="AD36:AE36"/>
    <mergeCell ref="AD37:AE37"/>
    <mergeCell ref="AD38:AE38"/>
    <mergeCell ref="AH42:AH43"/>
    <mergeCell ref="AI42:AI43"/>
    <mergeCell ref="S51:U52"/>
    <mergeCell ref="V51:V52"/>
    <mergeCell ref="S39:T39"/>
    <mergeCell ref="S40:T40"/>
    <mergeCell ref="S41:T41"/>
    <mergeCell ref="S42:T42"/>
    <mergeCell ref="S43:T43"/>
    <mergeCell ref="S44:T44"/>
    <mergeCell ref="S45:T45"/>
  </mergeCells>
  <conditionalFormatting sqref="N32 O32:O34 P32:R32 Y32:AC32 N34 P34:R34 T46:T50 T53">
    <cfRule type="notContainsBlanks" dxfId="0" priority="1">
      <formula>LEN(TRIM(N32))&gt;0</formula>
    </cfRule>
  </conditionalFormatting>
  <hyperlinks>
    <hyperlink r:id="rId1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2"/>
</worksheet>
</file>