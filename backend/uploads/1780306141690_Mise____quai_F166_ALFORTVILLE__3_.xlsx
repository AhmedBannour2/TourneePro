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de mise à quai Alfortville" sheetId="1" r:id="rId5"/>
    <sheet state="visible" name="POINT NPS F166" sheetId="2" r:id="rId6"/>
    <sheet state="visible" name=" Jours Fériés Dimanche" sheetId="3" r:id="rId7"/>
    <sheet state="visible" name="Copie de Jour de repos Prestata" sheetId="4" r:id="rId8"/>
    <sheet state="visible" name="Tableau suspension" sheetId="5" r:id="rId9"/>
    <sheet state="hidden" name="Jour de repos Prestataires" sheetId="6" r:id="rId10"/>
    <sheet state="hidden" name="Formule NPS" sheetId="7" r:id="rId11"/>
    <sheet state="hidden" name="Classement GV" sheetId="8" r:id="rId12"/>
    <sheet state="hidden" name="Copie de Classement GV" sheetId="9" r:id="rId13"/>
    <sheet state="hidden" name="Classement Mono" sheetId="10" r:id="rId14"/>
    <sheet state="hidden" name="Classement Instal" sheetId="11" r:id="rId15"/>
    <sheet state="hidden" name="Calcul_mensuel" sheetId="12" r:id="rId16"/>
    <sheet state="hidden" name="Classement standard" sheetId="13" r:id="rId17"/>
    <sheet state="visible" name="test" sheetId="14" r:id="rId18"/>
  </sheets>
  <definedNames>
    <definedName localSheetId="13" name="PlageNommée1">test!$30:$66</definedName>
    <definedName name="PlageNommée1">#REF!</definedName>
    <definedName localSheetId="0" name="PlageNommée1">'Plan de mise à quai Alfortville'!$30:$69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tc={04381b0f-90e9-4a94-a976-508c5262a611}</author>
    <author>tc={065e1575-24a3-43c9-a587-14c0313ede95}</author>
    <author>tc={0a73b78b-c8c6-465a-adfc-d8659e2ae0b4}</author>
    <author>tc={0ae4c508-73c4-4136-bbf9-94e3647dd16d}</author>
    <author>tc={188b7065-8b85-463f-99f8-5bacbba621b5}</author>
    <author>tc={21e5473c-1cbd-4f68-af85-a7d913c7c541}</author>
    <author>tc={2593375f-2d67-4a56-b695-77ab001f0e7c}</author>
    <author>tc={263da8ff-4b09-4560-966f-4bc80ae0d7b3}</author>
    <author>tc={2d9185b0-68fd-4c82-9291-57b4b47c10e9}</author>
    <author>tc={42653091-f61f-4d82-9de7-675921be6dec}</author>
    <author>tc={42b6ad93-7e9e-4f8a-98f8-27a9af5a3f22}</author>
    <author>tc={4ba17efd-fdba-44de-a4d2-5bdb7940d904}</author>
    <author>tc={58399931-62ea-4502-89ea-dfd1149d2f2e}</author>
    <author>tc={5e454311-28a6-47bf-ae45-0fd27a596ca1}</author>
    <author>tc={66eeb652-4d70-450f-8b94-11a836bd02be}</author>
    <author>tc={677be52d-192d-472b-98f6-5f745a9d4140}</author>
    <author>tc={6ad8f490-d744-46da-8d59-83723a22d374}</author>
    <author>tc={6c366574-eb7a-4c2a-9a8a-c3e80d7f5d52}</author>
    <author>tc={6f99b033-1176-4542-8595-b39c0fcd7ef6}</author>
    <author>tc={775e4979-781b-4f0f-9a0c-a35e35b39ae7}</author>
    <author>tc={79801e79-5fa4-4a4c-919f-eefaeca472dd}</author>
    <author>tc={7b866ad0-60f4-4d95-a461-4951cd954d51}</author>
    <author>tc={7c09689d-87d6-4e49-b345-2bfa856e03bd}</author>
    <author>tc={839ad17e-9795-47bb-a5bb-3a91cc3b5eac}</author>
    <author>tc={869fe87e-0660-4692-b22f-a04b669eed38}</author>
    <author>tc={8d5bb054-453f-4989-9c56-4d5b2feefc54}</author>
    <author>tc={919f997c-7af9-4007-8062-ddc563b4682f}</author>
    <author>tc={9242dffc-6589-407e-a274-9c131090f631}</author>
    <author>tc={9864362e-d976-46d8-be6b-4eb3c1435aca}</author>
    <author>tc={9b226643-a841-4d92-84c3-34738db43299}</author>
    <author>tc={9c513958-f3f9-4bad-938f-6aa9de6142e8}</author>
    <author>tc={b5eb9c8f-7bd8-4cfb-ba21-132d640ba64e}</author>
    <author>tc={ba95c544-15d4-430e-aa37-084bb28e363f}</author>
    <author>tc={c0155ca3-d397-44ec-abd3-0285f2bb1797}</author>
    <author>tc={ca7947e3-33c5-4401-aa39-47932b4d7371}</author>
    <author>tc={cb603616-6217-4264-bac0-25f103a00f90}</author>
    <author>tc={debdd5dc-739c-4696-bc1e-66bccfb565e2}</author>
    <author>tc={e68c3b25-eaf7-46da-accc-91f49edabd50}</author>
    <author>tc={ed5bbe76-2865-4eef-83e3-013c5ade3a46}</author>
    <author>tc={f7f4ac39-cd53-43b4-82d7-ee2227e12774}</author>
  </authors>
  <commentList>
    <comment authorId="0" xr:uid="{04381b0f-90e9-4a94-a976-508c5262a61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 retard validé par Charles cause F159 2015418
Reply:
	Marquée comme fermée
Reply:
	Rouverte
Reply:
	Marquée comme fermée
Reply:
	Rouverte
</t>
      </text>
    </comment>
    <comment authorId="1" xr:uid="{065e1575-24a3-43c9-a587-14c0313ede9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9h00
</t>
      </text>
    </comment>
    <comment authorId="2" xr:uid="{0a73b78b-c8c6-465a-adfc-d8659e2ae0b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
Reply:
	Marquée comme fermée
Reply:
	Rouverte
</t>
      </text>
    </comment>
    <comment authorId="3" xr:uid="{0ae4c508-73c4-4136-bbf9-94e3647dd16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
</t>
      </text>
    </comment>
    <comment authorId="4" xr:uid="{188b7065-8b85-463f-99f8-5bacbba621b5}" ref="E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camion en moins le 09/10
</t>
      </text>
    </comment>
    <comment authorId="5" xr:uid="{21e5473c-1cbd-4f68-af85-a7d913c7c54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-1 tournée pour non respect des règles au retour le 10/02/2025
</t>
      </text>
    </comment>
    <comment authorId="6" xr:uid="{2593375f-2d67-4a56-b695-77ab001f0e7c}" ref="E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seul camion vu Nelson
</t>
      </text>
    </comment>
    <comment authorId="7" xr:uid="{263da8ff-4b09-4560-966f-4bc80ae0d7b3}" ref="D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camion en moins suite mauvais rangement carton  le 16/04/26
</t>
      </text>
    </comment>
    <comment authorId="8" xr:uid="{2d9185b0-68fd-4c82-9291-57b4b47c10e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
</t>
      </text>
    </comment>
    <comment authorId="9" xr:uid="{42653091-f61f-4d82-9de7-675921be6dec}" ref="H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
</t>
      </text>
    </comment>
    <comment authorId="10" xr:uid="{42b6ad93-7e9e-4f8a-98f8-27a9af5a3f2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Tenue
</t>
      </text>
    </comment>
    <comment authorId="11" xr:uid="{4ba17efd-fdba-44de-a4d2-5bdb7940d904}" ref="E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Suspendu jusqu'au Lundi 27/10 vol trottinette
</t>
      </text>
    </comment>
    <comment authorId="12" xr:uid="{58399931-62ea-4502-89ea-dfd1149d2f2e}" ref="U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casquette
</t>
      </text>
    </comment>
    <comment authorId="13" xr:uid="{5e454311-28a6-47bf-ae45-0fd27a596ca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
</t>
      </text>
    </comment>
    <comment authorId="14" xr:uid="{66eeb652-4d70-450f-8b94-11a836bd02be}" ref="H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
</t>
      </text>
    </comment>
    <comment authorId="15" xr:uid="{677be52d-192d-472b-98f6-5f745a9d414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
</t>
      </text>
    </comment>
    <comment authorId="16" xr:uid="{6ad8f490-d744-46da-8d59-83723a22d374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
</t>
      </text>
    </comment>
    <comment authorId="17" xr:uid="{6c366574-eb7a-4c2a-9a8a-c3e80d7f5d52}" ref="E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tournée suspendu jusqu'à mercredi
</t>
      </text>
    </comment>
    <comment authorId="18" xr:uid="{6f99b033-1176-4542-8595-b39c0fcd7ef6}" ref="K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
</t>
      </text>
    </comment>
    <comment authorId="19" xr:uid="{775e4979-781b-4f0f-9a0c-a35e35b39ae7}" ref="D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Tournée manquante erreur F166
</t>
      </text>
    </comment>
    <comment authorId="20" xr:uid="{79801e79-5fa4-4a4c-919f-eefaeca472d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Amar s'est planté - pensais 11h30 - arrivée équipe 10:30
Reply:
	Marquée comme fermée
Reply:
	Rouverte
</t>
      </text>
    </comment>
    <comment authorId="21" xr:uid="{7b866ad0-60f4-4d95-a461-4951cd954d51}" ref="O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retard
</t>
      </text>
    </comment>
    <comment authorId="22" xr:uid="{7c09689d-87d6-4e49-b345-2bfa856e03b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23" xr:uid="{839ad17e-9795-47bb-a5bb-3a91cc3b5ea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possibilité de mettre 1GV en normale si pas besoin de 2
</t>
      </text>
    </comment>
    <comment authorId="24" xr:uid="{869fe87e-0660-4692-b22f-a04b669eed3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TDS devient B9 Transport à partir du 01 mars 2024
</t>
      </text>
    </comment>
    <comment authorId="25" xr:uid="{8d5bb054-453f-4989-9c56-4d5b2feefc54}" ref="D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camion en moins suite mauvais rangement des cartons
</t>
      </text>
    </comment>
    <comment authorId="26" xr:uid="{919f997c-7af9-4007-8062-ddc563b4682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-1 camion sur les 4 jours car RH le mercredi
</t>
      </text>
    </comment>
    <comment authorId="27" xr:uid="{9242dffc-6589-407e-a274-9c131090f631}" ref="E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tournée suspendu jusqu'à mercredi
</t>
      </text>
    </comment>
    <comment authorId="28" xr:uid="{9864362e-d976-46d8-be6b-4eb3c1435aca}" ref="D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camion en moins suite mauvais rangement des cartons
</t>
      </text>
    </comment>
    <comment authorId="29" xr:uid="{9b226643-a841-4d92-84c3-34738db4329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ABDEL
</t>
      </text>
    </comment>
    <comment authorId="30" xr:uid="{9c513958-f3f9-4bad-938f-6aa9de6142e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Départ 08h35 suite erreur de chargement autre tournée ref SMEG
</t>
      </text>
    </comment>
    <comment authorId="31" xr:uid="{b5eb9c8f-7bd8-4cfb-ba21-132d640ba64e}" ref="H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NC car problème pas de sms
</t>
      </text>
    </comment>
    <comment authorId="32" xr:uid="{ba95c544-15d4-430e-aa37-084bb28e363f}" ref="E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suspension de tournée vu Nelson
</t>
      </text>
    </comment>
    <comment authorId="33" xr:uid="{c0155ca3-d397-44ec-abd3-0285f2bb179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34" xr:uid="{ca7947e3-33c5-4401-aa39-47932b4d737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Ff774rx
</t>
      </text>
    </comment>
    <comment authorId="35" xr:uid="{cb603616-6217-4264-bac0-25f103a00f90}" ref="K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
</t>
      </text>
    </comment>
    <comment authorId="36" xr:uid="{debdd5dc-739c-4696-bc1e-66bccfb565e2}" ref="E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tournée suspendu jusqu'à mercredi
</t>
      </text>
    </comment>
    <comment authorId="37" xr:uid="{e68c3b25-eaf7-46da-accc-91f49edabd5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. In good en.......d cf fed ex cffrff de tr fwd tr fwd 'tn' de soucis je
</t>
      </text>
    </comment>
    <comment authorId="38" xr:uid="{ed5bbe76-2865-4eef-83e3-013c5ade3a46}" ref="E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camion en moins le 09/10
</t>
      </text>
    </comment>
    <comment authorId="39" xr:uid="{f7f4ac39-cd53-43b4-82d7-ee2227e1277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
Reply:
	Marquée comme fermée
Reply:
	Rouverte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9">
      <text>
        <t xml:space="preserve">Aurélie    06.59.64.50.82 
Hind        06.61.28.54.90 
Jordy       07 64 25 04 97 
Karim       07.64.26.44.78
Nelson    06.99.38.69.39 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tc={15e2dad3-e4d0-450a-9f2e-90bacc21c753}</author>
    <author>tc={3e3450e8-7166-4699-a71b-c89c87db3b8b}</author>
    <author>tc={4302c095-3e21-4c28-a945-9b7ed84dd703}</author>
    <author>tc={60525b1a-cce1-4e81-b92d-ace714a7a1fe}</author>
    <author>tc={61a2d7a1-2f43-4c7c-b217-34bc0c2a0f19}</author>
    <author>tc={7c28af7d-b125-4d5c-9ebf-fd04ca684a33}</author>
    <author>tc={8578968e-6653-430a-9210-70d4c1bb03cc}</author>
    <author>tc={870df0bf-f9ec-44ff-8d80-e031d591effc}</author>
    <author>tc={a8230d55-ca4d-4b14-928d-2cc5694d9b50}</author>
    <author>tc={ad02a7ff-e99e-4053-8b78-be467e17e1af}</author>
    <author>tc={af3d66bd-1e7d-4b74-8291-386515378e69}</author>
    <author>tc={b632c478-1f4a-4ce2-b39b-189d2b239257}</author>
    <author>tc={c7705a30-463c-4aaf-983f-69506bcceb86}</author>
    <author>tc={dee5276c-f17f-4ae5-b557-3b641868dcd2}</author>
    <author>tc={eced0e92-6397-4153-9767-efd5b081e994}</author>
    <author>tc={eeac1c53-50cf-4b3c-b6a6-c8d702e7938c}</author>
    <author>tc={ffedc65b-942c-4adf-aac2-10ea5a9670c1}</author>
  </authors>
  <commentList>
    <comment authorId="0" xr:uid="{15e2dad3-e4d0-450a-9f2e-90bacc21c753}" ref="W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DOUBS (2 équipes) Tournées 806 et 807 du 17/01/2025 -&gt; Pas de tournée le Mercredi 22/01/2025
</t>
      </text>
    </comment>
    <comment authorId="1" xr:uid="{3e3450e8-7166-4699-a71b-c89c87db3b8b}" ref="AD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Suspension camion suite tournées non rendues 201 du 25/01 et 205 du 27/01
</t>
      </text>
    </comment>
    <comment authorId="2" xr:uid="{4302c095-3e21-4c28-a945-9b7ed84dd703}" ref="M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Une tournée en moins le 12/03/2025 Dépôt sauvage des emballages
</t>
      </text>
    </comment>
    <comment authorId="3" xr:uid="{60525b1a-cce1-4e81-b92d-ace714a7a1fe}" ref="Y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AGS Tournée du 14/01/2025 -&gt; Une équipe ne tournera pas le VENDREDI 24/01/2025
</t>
      </text>
    </comment>
    <comment authorId="4" xr:uid="{61a2d7a1-2f43-4c7c-b217-34bc0c2a0f19}" ref="G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Tournée 823 / TRIGGER -&gt; dépôts sauvage DEEE
1 tournée de moins le Jeudi 06/03/2025
</t>
      </text>
    </comment>
    <comment authorId="5" xr:uid="{7c28af7d-b125-4d5c-9ebf-fd04ca684a33}" ref="F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Tournée 818 / ELIT -&gt; dépôts sauvage DEEE
1 tournée de moins le MERCREDI 05/03/2025
</t>
      </text>
    </comment>
    <comment authorId="6" xr:uid="{8578968e-6653-430a-9210-70d4c1bb03cc}" ref="AD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tournée // suspension non port des chaussures DREAMTEAM
</t>
      </text>
    </comment>
    <comment authorId="7" xr:uid="{870df0bf-f9ec-44ff-8d80-e031d591effc}" ref="G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Tournée 843 / MNS -&gt; dépôts sauvage DEEE
1 tournée de moins le Jeudi 06/03/2025
</t>
      </text>
    </comment>
    <comment authorId="8" xr:uid="{a8230d55-ca4d-4b14-928d-2cc5694d9b50}" ref="F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Express Polytrans du 03/03/2025 -&gt; dépôts sauvage DEEE
1 tournée de moins le MERCREDI 05/03/2025
</t>
      </text>
    </comment>
    <comment authorId="9" xr:uid="{ad02a7ff-e99e-4053-8b78-be467e17e1af}" ref="B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Suspension d'un camion jusqu'au 2/02/2025 inclus
</t>
      </text>
    </comment>
    <comment authorId="10" xr:uid="{af3d66bd-1e7d-4b74-8291-386515378e69}" ref="G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Tournée 502 / CLS -&gt; pas de chaussures ni au départ de tournée, ni au retour de tournée et pas de gants au retour.
1 tournée de moins le Jeudi 06/03/2025
</t>
      </text>
    </comment>
    <comment authorId="11" xr:uid="{b632c478-1f4a-4ce2-b39b-189d2b239257}" ref="E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suspension tournée mono
</t>
      </text>
    </comment>
    <comment authorId="12" xr:uid="{c7705a30-463c-4aaf-983f-69506bcceb86}" ref="AC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camion en moins suspension tournée 840 du 26/04/2025 Omar
</t>
      </text>
    </comment>
    <comment authorId="13" xr:uid="{dee5276c-f17f-4ae5-b557-3b641868dcd2}" ref="X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HK Tournée 827 du 17/01/2025 -&gt; Une équipe ne tournera pas le JEUDI 23/01/2025
</t>
      </text>
    </comment>
    <comment authorId="14" xr:uid="{eced0e92-6397-4153-9767-efd5b081e994}" ref="W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FC Tournées 835 du 17/01/2025 -&gt; Une équipe ne tournera pas le MERCREDI 22/01/2025
</t>
      </text>
    </comment>
    <comment authorId="15" xr:uid="{eeac1c53-50cf-4b3c-b6a6-c8d702e7938c}" ref="Y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Suspension d'un camion jusqu'au 2/02/2025 inclus
</t>
      </text>
    </comment>
    <comment authorId="16" xr:uid="{ffedc65b-942c-4adf-aac2-10ea5a9670c1}" ref="H1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suspension Kim SAMY DEEE non jeter dans la benne
</t>
      </text>
    </comment>
  </commentList>
</comments>
</file>

<file path=xl/sharedStrings.xml><?xml version="1.0" encoding="utf-8"?>
<sst xmlns="http://schemas.openxmlformats.org/spreadsheetml/2006/main" count="2243" uniqueCount="612">
  <si>
    <t>7H30</t>
  </si>
  <si>
    <t>8H00</t>
  </si>
  <si>
    <t>8H30</t>
  </si>
  <si>
    <t>08h30</t>
  </si>
  <si>
    <t>Quai</t>
  </si>
  <si>
    <t>TRN</t>
  </si>
  <si>
    <t>Société</t>
  </si>
  <si>
    <t>Immat</t>
  </si>
  <si>
    <t>Contact Equipage</t>
  </si>
  <si>
    <t xml:space="preserve">Tél Équipe </t>
  </si>
  <si>
    <t>DEEE</t>
  </si>
  <si>
    <t>ID</t>
  </si>
  <si>
    <t>EPI</t>
  </si>
  <si>
    <t>qté</t>
  </si>
  <si>
    <t>Tél Equipage</t>
  </si>
  <si>
    <t>1</t>
  </si>
  <si>
    <t>46</t>
  </si>
  <si>
    <t>701</t>
  </si>
  <si>
    <t>BCT-GV</t>
  </si>
  <si>
    <t xml:space="preserve">GF 356 CS </t>
  </si>
  <si>
    <t xml:space="preserve">TAREK </t>
  </si>
  <si>
    <t>0615862837</t>
  </si>
  <si>
    <t>6</t>
  </si>
  <si>
    <t>BA</t>
  </si>
  <si>
    <t>OK</t>
  </si>
  <si>
    <t>7</t>
  </si>
  <si>
    <t>704</t>
  </si>
  <si>
    <t>PRISMA2.0</t>
  </si>
  <si>
    <t>AM790GE</t>
  </si>
  <si>
    <t>Lyes</t>
  </si>
  <si>
    <t>0768260185</t>
  </si>
  <si>
    <t>5</t>
  </si>
  <si>
    <t>707</t>
  </si>
  <si>
    <t>609</t>
  </si>
  <si>
    <t>2</t>
  </si>
  <si>
    <t>47</t>
  </si>
  <si>
    <t>702</t>
  </si>
  <si>
    <t>DREAMTEAM-GV</t>
  </si>
  <si>
    <t>Eq846wr</t>
  </si>
  <si>
    <t>Wissem</t>
  </si>
  <si>
    <t>0689022265</t>
  </si>
  <si>
    <t>mt</t>
  </si>
  <si>
    <t>ok</t>
  </si>
  <si>
    <t>12</t>
  </si>
  <si>
    <t>705</t>
  </si>
  <si>
    <t>AGS-GV</t>
  </si>
  <si>
    <t>EK769DY</t>
  </si>
  <si>
    <t>Adel</t>
  </si>
  <si>
    <t>0698035793</t>
  </si>
  <si>
    <t>13</t>
  </si>
  <si>
    <t>708</t>
  </si>
  <si>
    <t>608</t>
  </si>
  <si>
    <t>3</t>
  </si>
  <si>
    <t>48</t>
  </si>
  <si>
    <t>703</t>
  </si>
  <si>
    <t>STP-GV</t>
  </si>
  <si>
    <t>EF-021-TG</t>
  </si>
  <si>
    <t>yassine</t>
  </si>
  <si>
    <t>0753764432</t>
  </si>
  <si>
    <t>lds</t>
  </si>
  <si>
    <t>706</t>
  </si>
  <si>
    <t>PROCOM-GV</t>
  </si>
  <si>
    <t xml:space="preserve">DF481CR </t>
  </si>
  <si>
    <t>relass</t>
  </si>
  <si>
    <t>0618844029</t>
  </si>
  <si>
    <t>4</t>
  </si>
  <si>
    <t>8</t>
  </si>
  <si>
    <t>709</t>
  </si>
  <si>
    <t>607</t>
  </si>
  <si>
    <t>49</t>
  </si>
  <si>
    <t>601</t>
  </si>
  <si>
    <t>MNS-MONO</t>
  </si>
  <si>
    <t>FN014VL</t>
  </si>
  <si>
    <t xml:space="preserve">CHÉRIF </t>
  </si>
  <si>
    <t>0613854681</t>
  </si>
  <si>
    <t>120</t>
  </si>
  <si>
    <t>603</t>
  </si>
  <si>
    <t>STP-MONO</t>
  </si>
  <si>
    <t>FB-283-FQ</t>
  </si>
  <si>
    <t>alaa</t>
  </si>
  <si>
    <t>0662707372</t>
  </si>
  <si>
    <t>16</t>
  </si>
  <si>
    <t>605</t>
  </si>
  <si>
    <t>854</t>
  </si>
  <si>
    <t>50</t>
  </si>
  <si>
    <t>602</t>
  </si>
  <si>
    <t>GHM-MONO</t>
  </si>
  <si>
    <t xml:space="preserve">Ay281fw </t>
  </si>
  <si>
    <t xml:space="preserve">Lounis </t>
  </si>
  <si>
    <t>0669906499</t>
  </si>
  <si>
    <t>604</t>
  </si>
  <si>
    <t>606</t>
  </si>
  <si>
    <t>855</t>
  </si>
  <si>
    <t>51</t>
  </si>
  <si>
    <t>801</t>
  </si>
  <si>
    <t>819</t>
  </si>
  <si>
    <t>837</t>
  </si>
  <si>
    <t>856</t>
  </si>
  <si>
    <t>52</t>
  </si>
  <si>
    <t>802</t>
  </si>
  <si>
    <t>STP</t>
  </si>
  <si>
    <t>BP-130-YL</t>
  </si>
  <si>
    <t>khaled</t>
  </si>
  <si>
    <t>0766890594</t>
  </si>
  <si>
    <t>9</t>
  </si>
  <si>
    <t>18</t>
  </si>
  <si>
    <t>820</t>
  </si>
  <si>
    <t>AK</t>
  </si>
  <si>
    <t>EL-198-LR</t>
  </si>
  <si>
    <t>SAMI</t>
  </si>
  <si>
    <t>0782697863</t>
  </si>
  <si>
    <t>11</t>
  </si>
  <si>
    <t>838</t>
  </si>
  <si>
    <t>TRANSTAM</t>
  </si>
  <si>
    <t>EY224AB</t>
  </si>
  <si>
    <t>AZZI</t>
  </si>
  <si>
    <t>0753922150</t>
  </si>
  <si>
    <t>857</t>
  </si>
  <si>
    <t>53</t>
  </si>
  <si>
    <t>803</t>
  </si>
  <si>
    <t>BQ-909-LD</t>
  </si>
  <si>
    <t>adem</t>
  </si>
  <si>
    <t>0744575095</t>
  </si>
  <si>
    <t>19</t>
  </si>
  <si>
    <t>821</t>
  </si>
  <si>
    <t>DF-100-YW</t>
  </si>
  <si>
    <t>AMIR</t>
  </si>
  <si>
    <t>0666311543</t>
  </si>
  <si>
    <t>15</t>
  </si>
  <si>
    <t>839</t>
  </si>
  <si>
    <t>HK</t>
  </si>
  <si>
    <t xml:space="preserve">GR100QL </t>
  </si>
  <si>
    <t xml:space="preserve">BADIS </t>
  </si>
  <si>
    <t>0753790714</t>
  </si>
  <si>
    <t>14</t>
  </si>
  <si>
    <t>858</t>
  </si>
  <si>
    <t>54</t>
  </si>
  <si>
    <t>804</t>
  </si>
  <si>
    <t>ABL</t>
  </si>
  <si>
    <t>FN-100-GE</t>
  </si>
  <si>
    <t xml:space="preserve">OUISSEM </t>
  </si>
  <si>
    <t>0671060977</t>
  </si>
  <si>
    <t>822</t>
  </si>
  <si>
    <t>LTDGP</t>
  </si>
  <si>
    <t>Em-542-fw</t>
  </si>
  <si>
    <t>Riad</t>
  </si>
  <si>
    <t>0753317028</t>
  </si>
  <si>
    <t>840</t>
  </si>
  <si>
    <t xml:space="preserve">GR634FB </t>
  </si>
  <si>
    <t xml:space="preserve">ABDALLAH </t>
  </si>
  <si>
    <t>0652059439</t>
  </si>
  <si>
    <t>859</t>
  </si>
  <si>
    <t>10</t>
  </si>
  <si>
    <t>55</t>
  </si>
  <si>
    <t>805</t>
  </si>
  <si>
    <t>FG-740-GE</t>
  </si>
  <si>
    <t xml:space="preserve">HOUSSINE </t>
  </si>
  <si>
    <t>0635568236</t>
  </si>
  <si>
    <t>823</t>
  </si>
  <si>
    <t>De-777-gg</t>
  </si>
  <si>
    <t xml:space="preserve">Benjamin </t>
  </si>
  <si>
    <t>0751303393</t>
  </si>
  <si>
    <t>o</t>
  </si>
  <si>
    <t>841</t>
  </si>
  <si>
    <t>MNS</t>
  </si>
  <si>
    <t>FX072GH</t>
  </si>
  <si>
    <t>YANNI</t>
  </si>
  <si>
    <t>0636093550</t>
  </si>
  <si>
    <t>860</t>
  </si>
  <si>
    <t>56</t>
  </si>
  <si>
    <t>806</t>
  </si>
  <si>
    <t>TRIGGER</t>
  </si>
  <si>
    <t>FY584BN</t>
  </si>
  <si>
    <t xml:space="preserve">belkacem </t>
  </si>
  <si>
    <t>0745973642</t>
  </si>
  <si>
    <t>824</t>
  </si>
  <si>
    <t>YAS</t>
  </si>
  <si>
    <t>DE-827-HD</t>
  </si>
  <si>
    <t xml:space="preserve">Malik </t>
  </si>
  <si>
    <t>0751235069</t>
  </si>
  <si>
    <t>842</t>
  </si>
  <si>
    <t>CLS</t>
  </si>
  <si>
    <t>FW-175-TC</t>
  </si>
  <si>
    <t>Ali</t>
  </si>
  <si>
    <t>0612827550</t>
  </si>
  <si>
    <t>861</t>
  </si>
  <si>
    <t>57</t>
  </si>
  <si>
    <t>807</t>
  </si>
  <si>
    <t>BG642PZ</t>
  </si>
  <si>
    <t xml:space="preserve">amine </t>
  </si>
  <si>
    <t>0667455188</t>
  </si>
  <si>
    <t>825</t>
  </si>
  <si>
    <t>EL805CD</t>
  </si>
  <si>
    <t>Yassine</t>
  </si>
  <si>
    <t>0672125631</t>
  </si>
  <si>
    <t>843</t>
  </si>
  <si>
    <t>GHM</t>
  </si>
  <si>
    <t xml:space="preserve">DG498CN </t>
  </si>
  <si>
    <t>Asene</t>
  </si>
  <si>
    <t>0624308084</t>
  </si>
  <si>
    <t>862</t>
  </si>
  <si>
    <t>63</t>
  </si>
  <si>
    <t>808</t>
  </si>
  <si>
    <t>SID</t>
  </si>
  <si>
    <t>Ey507GQ</t>
  </si>
  <si>
    <t xml:space="preserve">Mourad </t>
  </si>
  <si>
    <t>0751836680</t>
  </si>
  <si>
    <t>826</t>
  </si>
  <si>
    <t>BSSD</t>
  </si>
  <si>
    <t>Cs 625 tw</t>
  </si>
  <si>
    <t>Karim</t>
  </si>
  <si>
    <t>0651011467</t>
  </si>
  <si>
    <t>64</t>
  </si>
  <si>
    <t>809</t>
  </si>
  <si>
    <t>827</t>
  </si>
  <si>
    <t>Dy 283 bn</t>
  </si>
  <si>
    <t>Nidhal</t>
  </si>
  <si>
    <t>0605534026</t>
  </si>
  <si>
    <t>844</t>
  </si>
  <si>
    <t>TRANS75</t>
  </si>
  <si>
    <t>Et514tb</t>
  </si>
  <si>
    <t>Kaïs</t>
  </si>
  <si>
    <t>0652050293</t>
  </si>
  <si>
    <t>20</t>
  </si>
  <si>
    <t>65</t>
  </si>
  <si>
    <t>810</t>
  </si>
  <si>
    <t xml:space="preserve">Fr094rp </t>
  </si>
  <si>
    <t xml:space="preserve">Bessem </t>
  </si>
  <si>
    <t>0636108647</t>
  </si>
  <si>
    <t>828</t>
  </si>
  <si>
    <t>ANAA</t>
  </si>
  <si>
    <t>Fa-014-zk</t>
  </si>
  <si>
    <t xml:space="preserve">Adlan </t>
  </si>
  <si>
    <t>0621810511</t>
  </si>
  <si>
    <t>845</t>
  </si>
  <si>
    <t>EF-630-WF</t>
  </si>
  <si>
    <t>abdel</t>
  </si>
  <si>
    <t>0613434449</t>
  </si>
  <si>
    <t>863</t>
  </si>
  <si>
    <t>66</t>
  </si>
  <si>
    <t>811</t>
  </si>
  <si>
    <t>PROCOM</t>
  </si>
  <si>
    <t xml:space="preserve">DT707DG </t>
  </si>
  <si>
    <t xml:space="preserve">aymen </t>
  </si>
  <si>
    <t>0656726103</t>
  </si>
  <si>
    <t>829</t>
  </si>
  <si>
    <t>AGS</t>
  </si>
  <si>
    <t>DL113DT</t>
  </si>
  <si>
    <t>Ramzi</t>
  </si>
  <si>
    <t>0749123505</t>
  </si>
  <si>
    <t>846</t>
  </si>
  <si>
    <t>Bd679NG</t>
  </si>
  <si>
    <t xml:space="preserve">Khalil </t>
  </si>
  <si>
    <t>0755750808</t>
  </si>
  <si>
    <t>864</t>
  </si>
  <si>
    <t>17</t>
  </si>
  <si>
    <t>67</t>
  </si>
  <si>
    <t>812</t>
  </si>
  <si>
    <t xml:space="preserve">dr211hb </t>
  </si>
  <si>
    <t xml:space="preserve">farid </t>
  </si>
  <si>
    <t>0666073348</t>
  </si>
  <si>
    <t>830</t>
  </si>
  <si>
    <t>BCT</t>
  </si>
  <si>
    <t>EJ 232 RV</t>
  </si>
  <si>
    <t xml:space="preserve">AMINE </t>
  </si>
  <si>
    <t>0753648610</t>
  </si>
  <si>
    <t>847</t>
  </si>
  <si>
    <t>DQ627PD</t>
  </si>
  <si>
    <t>Lassad</t>
  </si>
  <si>
    <t>0744297805</t>
  </si>
  <si>
    <t>865</t>
  </si>
  <si>
    <t>813</t>
  </si>
  <si>
    <t>ELITT</t>
  </si>
  <si>
    <t>GB503XQ</t>
  </si>
  <si>
    <t xml:space="preserve">Yacine </t>
  </si>
  <si>
    <t>0611177252</t>
  </si>
  <si>
    <t>68</t>
  </si>
  <si>
    <t>831</t>
  </si>
  <si>
    <t>DREAMTEAM</t>
  </si>
  <si>
    <t>Dq775hv</t>
  </si>
  <si>
    <t>Fadhel</t>
  </si>
  <si>
    <t>0658109692</t>
  </si>
  <si>
    <t>848</t>
  </si>
  <si>
    <t>866</t>
  </si>
  <si>
    <t>69</t>
  </si>
  <si>
    <t>814</t>
  </si>
  <si>
    <t>GB023XR</t>
  </si>
  <si>
    <t xml:space="preserve">Mohamed </t>
  </si>
  <si>
    <t>0651101448</t>
  </si>
  <si>
    <t>832</t>
  </si>
  <si>
    <t>KIM</t>
  </si>
  <si>
    <t>CG016FA</t>
  </si>
  <si>
    <t xml:space="preserve">Samy </t>
  </si>
  <si>
    <t>0743269696</t>
  </si>
  <si>
    <t>849</t>
  </si>
  <si>
    <t>867</t>
  </si>
  <si>
    <t>70</t>
  </si>
  <si>
    <t>815</t>
  </si>
  <si>
    <t>Et245tb</t>
  </si>
  <si>
    <t>Youcef</t>
  </si>
  <si>
    <t>0755091973</t>
  </si>
  <si>
    <t>833</t>
  </si>
  <si>
    <t>Da115JK</t>
  </si>
  <si>
    <t xml:space="preserve">Sofiane </t>
  </si>
  <si>
    <t>0743267167</t>
  </si>
  <si>
    <t>850</t>
  </si>
  <si>
    <t>868</t>
  </si>
  <si>
    <t>21</t>
  </si>
  <si>
    <t>71</t>
  </si>
  <si>
    <t>816</t>
  </si>
  <si>
    <t>Tb144ey</t>
  </si>
  <si>
    <t>Hatem</t>
  </si>
  <si>
    <t>0612587301</t>
  </si>
  <si>
    <t>834</t>
  </si>
  <si>
    <t xml:space="preserve">TRANSMAY </t>
  </si>
  <si>
    <t>FC-952-SK</t>
  </si>
  <si>
    <t>0666045678</t>
  </si>
  <si>
    <t>851</t>
  </si>
  <si>
    <t>869</t>
  </si>
  <si>
    <t>22</t>
  </si>
  <si>
    <t>72</t>
  </si>
  <si>
    <t>817</t>
  </si>
  <si>
    <t>TMS</t>
  </si>
  <si>
    <t>cv-356-dr</t>
  </si>
  <si>
    <t xml:space="preserve">massi </t>
  </si>
  <si>
    <t>0773276391</t>
  </si>
  <si>
    <t>835</t>
  </si>
  <si>
    <t>852</t>
  </si>
  <si>
    <t>²</t>
  </si>
  <si>
    <t>870</t>
  </si>
  <si>
    <t>23</t>
  </si>
  <si>
    <t>73</t>
  </si>
  <si>
    <t>818</t>
  </si>
  <si>
    <t>ui-279-vj</t>
  </si>
  <si>
    <t xml:space="preserve">achour </t>
  </si>
  <si>
    <t>0744258931</t>
  </si>
  <si>
    <t>836</t>
  </si>
  <si>
    <t>SERVICE2.0</t>
  </si>
  <si>
    <t>Dr567rt</t>
  </si>
  <si>
    <t xml:space="preserve">Heithem </t>
  </si>
  <si>
    <t>0783858536</t>
  </si>
  <si>
    <t>853</t>
  </si>
  <si>
    <t>871</t>
  </si>
  <si>
    <t>24</t>
  </si>
  <si>
    <t>74</t>
  </si>
  <si>
    <t>501</t>
  </si>
  <si>
    <t>GHM-INSTALL</t>
  </si>
  <si>
    <t xml:space="preserve">DW257WT </t>
  </si>
  <si>
    <t xml:space="preserve">Slimane </t>
  </si>
  <si>
    <t>0745996814</t>
  </si>
  <si>
    <t>503</t>
  </si>
  <si>
    <t>ELITT-INSTALL</t>
  </si>
  <si>
    <t>GN328XP</t>
  </si>
  <si>
    <t>Ala</t>
  </si>
  <si>
    <t>0667087278</t>
  </si>
  <si>
    <t>505</t>
  </si>
  <si>
    <t>PROCOM-INSTALL</t>
  </si>
  <si>
    <t xml:space="preserve">EL713EV </t>
  </si>
  <si>
    <t>sami</t>
  </si>
  <si>
    <t>0626408791</t>
  </si>
  <si>
    <t>872</t>
  </si>
  <si>
    <t>25</t>
  </si>
  <si>
    <t>75</t>
  </si>
  <si>
    <t>502</t>
  </si>
  <si>
    <t>STP-INSTALL</t>
  </si>
  <si>
    <t>FG-483-XA</t>
  </si>
  <si>
    <t>karim</t>
  </si>
  <si>
    <t>0749563351</t>
  </si>
  <si>
    <t>504</t>
  </si>
  <si>
    <t>MNS-INSTALL</t>
  </si>
  <si>
    <t xml:space="preserve">NASSIM </t>
  </si>
  <si>
    <t>0609873016</t>
  </si>
  <si>
    <t>506</t>
  </si>
  <si>
    <t>873</t>
  </si>
  <si>
    <t xml:space="preserve">             </t>
  </si>
  <si>
    <r>
      <rPr>
        <rFont val="Comic Sans MS"/>
        <b/>
        <i val="0"/>
        <color theme="1"/>
        <sz val="24.0"/>
      </rPr>
      <t xml:space="preserve">Mise à quai du 01/06/2026
</t>
    </r>
    <r>
      <rPr>
        <rFont val="Comic Sans MS"/>
        <b/>
        <i val="0"/>
        <color rgb="FF0000FF"/>
        <sz val="24.0"/>
      </rPr>
      <t>Mise à Jour à 18H30 HIND / fin des rajouts</t>
    </r>
    <r>
      <rPr>
        <rFont val="Comic Sans MS"/>
        <b/>
        <i val="0"/>
        <color rgb="FFFF0000"/>
        <sz val="24.0"/>
      </rPr>
      <t xml:space="preserve">
 MERCI DE REMPLIR LES NUMEROS AVANT 18h00 
05 MAI 2026 NPS F166</t>
    </r>
    <r>
      <rPr>
        <rFont val="Comic Sans MS"/>
        <b/>
        <i val="0"/>
        <color theme="1"/>
        <sz val="24.0"/>
      </rPr>
      <t xml:space="preserve"> ( Mise à jour le 27/05/26.)</t>
    </r>
  </si>
  <si>
    <r>
      <rPr>
        <rFont val="Comic Sans MS"/>
        <b/>
        <color theme="1"/>
        <sz val="24.0"/>
      </rPr>
      <t xml:space="preserve">Mise à quai du 30/05/2026
</t>
    </r>
    <r>
      <rPr>
        <rFont val="Comic Sans MS"/>
        <b/>
        <color rgb="FF0000FF"/>
        <sz val="24.0"/>
      </rPr>
      <t>Mise à Jour à 22:17 par Karim</t>
    </r>
    <r>
      <rPr>
        <rFont val="Comic Sans MS"/>
        <b/>
        <color rgb="FFFF0000"/>
        <sz val="24.0"/>
      </rPr>
      <t xml:space="preserve">
 MERCI DE REMPLIR LES NUMEROS AVANT 18h00 
05 MAI 2026 NPS F166</t>
    </r>
    <r>
      <rPr>
        <rFont val="Comic Sans MS"/>
        <b/>
        <color theme="1"/>
        <sz val="24.0"/>
      </rPr>
      <t xml:space="preserve"> ( Mise à jour le 27/05/26.)</t>
    </r>
  </si>
  <si>
    <t>Réservation CAMIONS STANDARD</t>
  </si>
  <si>
    <t>à remplir tous les jours à 14h</t>
  </si>
  <si>
    <t>Capacité régulière</t>
  </si>
  <si>
    <t>SOCIETES</t>
  </si>
  <si>
    <t>711</t>
  </si>
  <si>
    <t>GHM-GV</t>
  </si>
  <si>
    <t xml:space="preserve">DS666KV </t>
  </si>
  <si>
    <t xml:space="preserve">Hassen </t>
  </si>
  <si>
    <t>0612221320</t>
  </si>
  <si>
    <t>712</t>
  </si>
  <si>
    <t>3N ou 2N+1GV</t>
  </si>
  <si>
    <t>PRISMA2.0-GV</t>
  </si>
  <si>
    <t>201</t>
  </si>
  <si>
    <t>Cq161cv</t>
  </si>
  <si>
    <t xml:space="preserve">Yasser </t>
  </si>
  <si>
    <t>0745767164</t>
  </si>
  <si>
    <t>202</t>
  </si>
  <si>
    <t>FE219PR</t>
  </si>
  <si>
    <t>MOKRAN</t>
  </si>
  <si>
    <t>0646701682</t>
  </si>
  <si>
    <t>TOTAL</t>
  </si>
  <si>
    <t>203</t>
  </si>
  <si>
    <t>Dt183vf</t>
  </si>
  <si>
    <t>Akram</t>
  </si>
  <si>
    <t>0603846683</t>
  </si>
  <si>
    <t>TRANS75-GV</t>
  </si>
  <si>
    <t>204</t>
  </si>
  <si>
    <t>EE805EL</t>
  </si>
  <si>
    <t xml:space="preserve">Melek </t>
  </si>
  <si>
    <t>0666227998</t>
  </si>
  <si>
    <t>POLYTRANS</t>
  </si>
  <si>
    <t>MNS-GV</t>
  </si>
  <si>
    <t>205</t>
  </si>
  <si>
    <t>FR072GH</t>
  </si>
  <si>
    <t>FOUAD</t>
  </si>
  <si>
    <t>0745733909</t>
  </si>
  <si>
    <t>206</t>
  </si>
  <si>
    <t>DQ-167-CC</t>
  </si>
  <si>
    <t>Samah</t>
  </si>
  <si>
    <t>0777146507</t>
  </si>
  <si>
    <t>RESERVATION MONO EQUIPAGE</t>
  </si>
  <si>
    <t>207</t>
  </si>
  <si>
    <t xml:space="preserve">FS755GS </t>
  </si>
  <si>
    <t xml:space="preserve">Souhail </t>
  </si>
  <si>
    <t>0643864082</t>
  </si>
  <si>
    <t>208</t>
  </si>
  <si>
    <t>1c+1gv ou 2c</t>
  </si>
  <si>
    <t xml:space="preserve"> </t>
  </si>
  <si>
    <t>209</t>
  </si>
  <si>
    <t>NAGA-MONO</t>
  </si>
  <si>
    <t>210</t>
  </si>
  <si>
    <t>211</t>
  </si>
  <si>
    <t>NAGA</t>
  </si>
  <si>
    <t>212</t>
  </si>
  <si>
    <t xml:space="preserve">  </t>
  </si>
  <si>
    <t>213</t>
  </si>
  <si>
    <t>AGS-MONO</t>
  </si>
  <si>
    <t>214</t>
  </si>
  <si>
    <t>TRANSMAY</t>
  </si>
  <si>
    <t>DREAMTEAM-MONO</t>
  </si>
  <si>
    <t>215</t>
  </si>
  <si>
    <t>TOTAL Tournées F166</t>
  </si>
  <si>
    <t>Classement livraison F166</t>
  </si>
  <si>
    <t>05 MAI 2026 NPS F166 ( MAJ le 27/05/26.)</t>
  </si>
  <si>
    <t>Classement tournées classique</t>
  </si>
  <si>
    <t>Classement tournées gros volumes</t>
  </si>
  <si>
    <t>Prestataires</t>
  </si>
  <si>
    <t>Note NPS</t>
  </si>
  <si>
    <t>%détracteurs</t>
  </si>
  <si>
    <t>%Neutres</t>
  </si>
  <si>
    <t>%Promoteurs</t>
  </si>
  <si>
    <t>Classement</t>
  </si>
  <si>
    <t>Classement tournées installation</t>
  </si>
  <si>
    <t>TRANSTAM-INSTALL</t>
  </si>
  <si>
    <t>Classement tournées mono équipage</t>
  </si>
  <si>
    <t>NPS ALFORTVILLE MAI 2026</t>
  </si>
  <si>
    <t>NPS ALFORTVILLE AVRIL 2026</t>
  </si>
  <si>
    <t>Nombre de réponses</t>
  </si>
  <si>
    <t>NPS</t>
  </si>
  <si>
    <t>Prog</t>
  </si>
  <si>
    <t>Plateforme Nice</t>
  </si>
  <si>
    <t>Plateforme Lyon</t>
  </si>
  <si>
    <t>+2,8</t>
  </si>
  <si>
    <t>Plateforme Lille</t>
  </si>
  <si>
    <t>+5,2</t>
  </si>
  <si>
    <t>Plateforme Toulouse</t>
  </si>
  <si>
    <t>+0,1</t>
  </si>
  <si>
    <t>Plateforme Garonor</t>
  </si>
  <si>
    <t>+3,7</t>
  </si>
  <si>
    <t>Plateforme Bordeaux</t>
  </si>
  <si>
    <t>Plateforme Nantes</t>
  </si>
  <si>
    <t>+3,9</t>
  </si>
  <si>
    <t>Plateforme Toulon</t>
  </si>
  <si>
    <t>+7,3</t>
  </si>
  <si>
    <t>Plateforme Marseille</t>
  </si>
  <si>
    <t>+8,2</t>
  </si>
  <si>
    <t>+0,4</t>
  </si>
  <si>
    <t>Magasin Boulanger</t>
  </si>
  <si>
    <t>Plateforme Alfortville</t>
  </si>
  <si>
    <t>+1,3</t>
  </si>
  <si>
    <t>Warning</t>
  </si>
  <si>
    <t>3*</t>
  </si>
  <si>
    <t>6*</t>
  </si>
  <si>
    <t>Plateforme ROCCA Bastia</t>
  </si>
  <si>
    <t>1*</t>
  </si>
  <si>
    <t>Point de contact</t>
  </si>
  <si>
    <t>Livraison domicile avec RDV</t>
  </si>
  <si>
    <t>+1</t>
  </si>
  <si>
    <t>NPS ALFORTVILLE ANNUEL 2025 en cours du 01/01/26 au 30/04/2026</t>
  </si>
  <si>
    <t>NPS ALFORTVILLE ANNUEL 2025 en cours du 01/01/25 au 31/12/2025</t>
  </si>
  <si>
    <t>Plateforme ROCCA Porto Vecchio</t>
  </si>
  <si>
    <t>+3,4</t>
  </si>
  <si>
    <t>+2,2</t>
  </si>
  <si>
    <t>+7,2</t>
  </si>
  <si>
    <t>+2</t>
  </si>
  <si>
    <t>+4,8</t>
  </si>
  <si>
    <t>+0,8</t>
  </si>
  <si>
    <t>+5,5</t>
  </si>
  <si>
    <t>+3,1</t>
  </si>
  <si>
    <t>12*</t>
  </si>
  <si>
    <t>+41,7</t>
  </si>
  <si>
    <t>5*</t>
  </si>
  <si>
    <t>+14,1</t>
  </si>
  <si>
    <t>+1,8</t>
  </si>
  <si>
    <t>+2,3</t>
  </si>
  <si>
    <t>-</t>
  </si>
  <si>
    <t>710</t>
  </si>
  <si>
    <t>ob</t>
  </si>
  <si>
    <t>251</t>
  </si>
  <si>
    <t>FE-234-XK</t>
  </si>
  <si>
    <t>269</t>
  </si>
  <si>
    <t>252</t>
  </si>
  <si>
    <t>‏FN-100-GE</t>
  </si>
  <si>
    <t>270</t>
  </si>
  <si>
    <t>253</t>
  </si>
  <si>
    <t>DJ 031 WJ</t>
  </si>
  <si>
    <t>YAZID</t>
  </si>
  <si>
    <t>0656717047</t>
  </si>
  <si>
    <t>271</t>
  </si>
  <si>
    <t>254</t>
  </si>
  <si>
    <t>LC</t>
  </si>
  <si>
    <t>272</t>
  </si>
  <si>
    <t>255</t>
  </si>
  <si>
    <t xml:space="preserve">DZ315PJ </t>
  </si>
  <si>
    <t>273</t>
  </si>
  <si>
    <t>256</t>
  </si>
  <si>
    <t xml:space="preserve">Chérif </t>
  </si>
  <si>
    <t>0758077282</t>
  </si>
  <si>
    <t>274</t>
  </si>
  <si>
    <t>257</t>
  </si>
  <si>
    <t>275</t>
  </si>
  <si>
    <t>258</t>
  </si>
  <si>
    <t>276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</si>
  <si>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</si>
  <si>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</si>
  <si>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</si>
  <si>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</si>
  <si>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</si>
  <si>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</si>
  <si>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</si>
  <si>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</si>
  <si>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</si>
  <si>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</si>
  <si>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507</t>
  </si>
  <si>
    <t>AF811EX</t>
  </si>
  <si>
    <t>0641878246</t>
  </si>
  <si>
    <t>ASTREINTE du Dimanche 31 Mai
Karim de 8h à 14h Hind de 14h à 19h</t>
  </si>
  <si>
    <t>reservation</t>
  </si>
  <si>
    <t>Capacité
à remplir</t>
  </si>
  <si>
    <t>Tournées Dimanche GROS VOLUMES</t>
  </si>
  <si>
    <t>Tournées Dimanche INSTALLATIONS</t>
  </si>
  <si>
    <t>´</t>
  </si>
  <si>
    <t>Tournées Dimanche MONO</t>
  </si>
  <si>
    <t>Tournées Standard</t>
  </si>
  <si>
    <t>PRESTA</t>
  </si>
  <si>
    <t>LUNDI</t>
  </si>
  <si>
    <t>MARDI</t>
  </si>
  <si>
    <t>MERCREDI</t>
  </si>
  <si>
    <t>JEUDI</t>
  </si>
  <si>
    <t>VENDREDI</t>
  </si>
  <si>
    <t>SAMEDI</t>
  </si>
  <si>
    <t>PRISMA</t>
  </si>
  <si>
    <t>ELIT</t>
  </si>
  <si>
    <t>Tournées installations</t>
  </si>
  <si>
    <t>DOUBS-INSTALL</t>
  </si>
  <si>
    <t>Tournées GROS VOLUMES</t>
  </si>
  <si>
    <t>VIVA-GV</t>
  </si>
  <si>
    <t>BEST-GV</t>
  </si>
  <si>
    <t>PRISMA-GV</t>
  </si>
  <si>
    <t>DOUBS-GV</t>
  </si>
  <si>
    <t>Tournées MONO</t>
  </si>
  <si>
    <t>PRISMA-MONO</t>
  </si>
  <si>
    <t>ME</t>
  </si>
  <si>
    <t>JE</t>
  </si>
  <si>
    <t>VE</t>
  </si>
  <si>
    <t>SA</t>
  </si>
  <si>
    <t>DI</t>
  </si>
  <si>
    <t>LU</t>
  </si>
  <si>
    <t>MA</t>
  </si>
  <si>
    <t>DOUBS</t>
  </si>
  <si>
    <t>BEST</t>
  </si>
  <si>
    <t>ALPHA</t>
  </si>
  <si>
    <t>DELTA</t>
  </si>
  <si>
    <t>FC</t>
  </si>
  <si>
    <t>TPE</t>
  </si>
  <si>
    <t>MOOVAM</t>
  </si>
  <si>
    <t>TMSDEM</t>
  </si>
  <si>
    <t>VIVA</t>
  </si>
  <si>
    <t>YST</t>
  </si>
  <si>
    <t>B9</t>
  </si>
  <si>
    <t>TRUSK</t>
  </si>
  <si>
    <t>DREAMTEAM-INSTALL</t>
  </si>
  <si>
    <t>CLS-INSTALL</t>
  </si>
  <si>
    <t>CITY</t>
  </si>
  <si>
    <t>H2B</t>
  </si>
  <si>
    <t>TDS</t>
  </si>
  <si>
    <t>TOURNEE GV</t>
  </si>
  <si>
    <t>TOURNEE STANDARD</t>
  </si>
  <si>
    <t>TOURNEE INSTALL</t>
  </si>
  <si>
    <t>TOURNEE MONO</t>
  </si>
  <si>
    <t>Bringg</t>
  </si>
  <si>
    <t>Satisfaction</t>
  </si>
  <si>
    <t>Moyenne</t>
  </si>
  <si>
    <t>Nbre réponses</t>
  </si>
  <si>
    <t>%Détracteurs</t>
  </si>
  <si>
    <t>RANG Bring</t>
  </si>
  <si>
    <t>RANG NPS</t>
  </si>
  <si>
    <t>RANG Moyenne</t>
  </si>
  <si>
    <t>Bringg%</t>
  </si>
  <si>
    <t>Moyenne satis/ bringg</t>
  </si>
  <si>
    <t>7H00</t>
  </si>
  <si>
    <t>8h00</t>
  </si>
  <si>
    <t>08h15</t>
  </si>
  <si>
    <t xml:space="preserve">Mise à quai du 21/11/2025
Fin des rajouts 19h Nelson
11 NOVEMBRE 2025 NPS F166 ( MAJ le 19/11.) </t>
  </si>
  <si>
    <t>11h30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</si>
</sst>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dd/MM/yyyy"/>
    <numFmt numFmtId="166" formatCode="#,##0.00\ [$€-1]"/>
    <numFmt numFmtId="167" formatCode="dd/mm/yyyy"/>
    <numFmt numFmtId="168" formatCode="dddd dd/mm"/>
    <numFmt numFmtId="169" formatCode="mmmm yyyy"/>
  </numFmts>
  <fonts count="76">
    <font>
      <sz val="10.0"/>
      <color rgb="FF000000"/>
      <name val="Calibri"/>
      <scheme val="minor"/>
    </font>
    <font>
      <b/>
      <sz val="11.0"/>
      <color theme="1"/>
      <name val="Comic Sans MS"/>
    </font>
    <font>
      <b/>
      <sz val="32.0"/>
      <color theme="1"/>
      <name val="Comic Sans MS"/>
    </font>
    <font/>
    <font>
      <b/>
      <color theme="1"/>
      <name val="Calibri"/>
    </font>
    <font>
      <b/>
      <sz val="24.0"/>
      <color theme="1"/>
      <name val="Comic Sans MS"/>
    </font>
    <font>
      <b/>
      <color theme="1"/>
      <name val="Comic Sans MS"/>
    </font>
    <font>
      <b/>
      <sz val="9.0"/>
      <color theme="1"/>
      <name val="Comic Sans MS"/>
    </font>
    <font>
      <b/>
      <sz val="11.0"/>
      <color rgb="FF1D1C1D"/>
      <name val="Comic Sans MS"/>
    </font>
    <font>
      <sz val="11.0"/>
      <color theme="1"/>
      <name val="Comic Sans MS"/>
    </font>
    <font>
      <b/>
      <i/>
      <u/>
      <sz val="24.0"/>
      <color theme="1"/>
      <name val="Comic Sans MS"/>
    </font>
    <font>
      <b/>
      <u/>
      <sz val="24.0"/>
      <color theme="1"/>
      <name val="Comic Sans MS"/>
    </font>
    <font>
      <b/>
      <sz val="28.0"/>
      <color theme="1"/>
      <name val="Comic Sans MS"/>
    </font>
    <font>
      <b/>
      <color rgb="FFFFFFFF"/>
      <name val="Calibri"/>
    </font>
    <font>
      <b/>
      <sz val="11.0"/>
      <color rgb="FF000000"/>
      <name val="Comic Sans MS"/>
    </font>
    <font>
      <b/>
      <color rgb="FFFF9900"/>
      <name val="Calibri"/>
    </font>
    <font>
      <b/>
      <sz val="14.0"/>
      <color theme="1"/>
      <name val="Comic Sans MS"/>
    </font>
    <font>
      <b/>
      <color rgb="FF000000"/>
      <name val="Calibri"/>
    </font>
    <font>
      <b/>
      <strike/>
      <color theme="1"/>
      <name val="Calibri"/>
    </font>
    <font>
      <b/>
      <color theme="1"/>
      <name val="Comic sans ms"/>
    </font>
    <font>
      <color theme="1"/>
      <name val="Calibri"/>
    </font>
    <font>
      <sz val="18.0"/>
      <color theme="1"/>
      <name val="Arial"/>
    </font>
    <font>
      <color theme="1"/>
      <name val="Arial"/>
    </font>
    <font>
      <sz val="12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color rgb="FF374151"/>
      <name val="Arial"/>
    </font>
    <font>
      <b/>
      <color rgb="FFFFFFFF"/>
      <name val="Arial"/>
    </font>
    <font>
      <b/>
      <color theme="1"/>
      <name val="Arial"/>
    </font>
    <font>
      <b/>
      <sz val="12.0"/>
      <color rgb="FF000000"/>
      <name val="Arial"/>
    </font>
    <font>
      <color rgb="FFFFFFFF"/>
      <name val="Arial"/>
    </font>
    <font>
      <b/>
      <sz val="12.0"/>
      <color theme="1"/>
      <name val="Arial"/>
    </font>
    <font>
      <color theme="1"/>
      <name val="Calibri"/>
      <scheme val="minor"/>
    </font>
    <font>
      <b/>
      <sz val="36.0"/>
      <color rgb="FF000000"/>
      <name val="Comic Sans MS"/>
    </font>
    <font>
      <b/>
      <sz val="10.0"/>
      <color theme="1"/>
      <name val="Comic Sans MS"/>
    </font>
    <font>
      <b/>
      <sz val="10.0"/>
      <color rgb="FF000000"/>
      <name val="Comic Sans MS"/>
    </font>
    <font>
      <b/>
      <u/>
      <sz val="21.0"/>
      <color theme="1"/>
      <name val="Comic Sans MS"/>
    </font>
    <font>
      <b/>
      <sz val="42.0"/>
      <color theme="1"/>
      <name val="Calibri"/>
      <scheme val="minor"/>
    </font>
    <font>
      <b/>
      <sz val="36.0"/>
      <color theme="1"/>
      <name val="Arial"/>
    </font>
    <font>
      <b/>
      <sz val="18.0"/>
      <color rgb="FF000000"/>
      <name val="Roboto"/>
    </font>
    <font>
      <b/>
      <sz val="18.0"/>
      <color theme="1"/>
      <name val="Comic Sans MS"/>
    </font>
    <font>
      <b/>
      <sz val="24.0"/>
      <color rgb="FF000000"/>
      <name val="Roboto"/>
    </font>
    <font>
      <b/>
      <color theme="1"/>
      <name val="Calibri"/>
      <scheme val="minor"/>
    </font>
    <font>
      <b/>
      <sz val="11.0"/>
      <color theme="1"/>
      <name val="&quot;comic sans ms&quot;"/>
    </font>
    <font>
      <sz val="14.0"/>
      <color theme="1"/>
      <name val="Comic Sans MS"/>
    </font>
    <font>
      <b/>
      <sz val="10.0"/>
      <color theme="1"/>
      <name val="Arial"/>
    </font>
    <font>
      <sz val="10.0"/>
      <color theme="1"/>
      <name val="Arial"/>
    </font>
    <font>
      <b/>
      <strike/>
      <sz val="36.0"/>
      <color theme="1"/>
      <name val="Arial"/>
    </font>
    <font>
      <sz val="10.0"/>
      <color theme="1"/>
      <name val="Comic Sans MS"/>
    </font>
    <font>
      <b/>
      <color theme="1"/>
      <name val="&quot;comic sans ms&quot;"/>
    </font>
    <font>
      <b/>
      <sz val="11.0"/>
      <color rgb="FF000000"/>
      <name val="&quot;comic sans ms&quot;"/>
    </font>
    <font>
      <sz val="8.0"/>
      <color theme="1"/>
      <name val="&quot;Trebuchet MS&quot;"/>
    </font>
    <font>
      <b/>
      <sz val="12.0"/>
      <color rgb="FF000000"/>
      <name val="&quot;Trebuchet MS&quot;"/>
    </font>
    <font>
      <b/>
      <sz val="8.0"/>
      <color rgb="FF000000"/>
      <name val="&quot;Trebuchet MS&quot;"/>
    </font>
    <font>
      <b/>
      <sz val="12.0"/>
      <color theme="1"/>
      <name val="&quot;Trebuchet MS&quot;"/>
    </font>
    <font>
      <sz val="12.0"/>
      <color theme="1"/>
      <name val="Calibri"/>
      <scheme val="minor"/>
    </font>
    <font>
      <b/>
      <sz val="20.0"/>
      <color theme="1"/>
      <name val="Calibri"/>
      <scheme val="minor"/>
    </font>
    <font>
      <sz val="20.0"/>
      <color theme="1"/>
      <name val="Arial"/>
    </font>
    <font>
      <sz val="9.0"/>
      <color rgb="FF000000"/>
      <name val="&quot;Google Sans Mono&quot;"/>
    </font>
    <font>
      <b/>
      <color rgb="FF000000"/>
      <name val="Arial"/>
    </font>
    <font>
      <sz val="10.0"/>
      <color rgb="FF000000"/>
      <name val="Arial"/>
    </font>
    <font>
      <color rgb="FF000000"/>
      <name val="Arial"/>
    </font>
    <font>
      <b/>
      <sz val="32.0"/>
      <color rgb="FF000000"/>
      <name val="Comic Sans MS"/>
    </font>
    <font>
      <b/>
      <sz val="24.0"/>
      <color rgb="FF000000"/>
      <name val="Comic Sans MS"/>
    </font>
    <font>
      <b/>
      <sz val="18.0"/>
      <color rgb="FF000000"/>
      <name val="Comic Sans MS"/>
    </font>
    <font>
      <b/>
      <sz val="11.0"/>
      <color rgb="FF2F3941"/>
      <name val="Comic Sans MS"/>
    </font>
    <font>
      <b/>
      <i/>
      <sz val="11.0"/>
      <color theme="1"/>
      <name val="Comic Sans MS"/>
    </font>
    <font>
      <b/>
      <sz val="11.0"/>
      <color rgb="FF000000"/>
      <name val="&quot;Comic Sans MS&quot;"/>
    </font>
    <font>
      <b/>
      <sz val="11.0"/>
      <color rgb="FF222222"/>
      <name val="Comic Sans MS"/>
    </font>
    <font>
      <b/>
      <u/>
      <sz val="24.0"/>
      <color theme="1"/>
      <name val="Comic Sans MS"/>
    </font>
    <font>
      <color rgb="FFFFFFFF"/>
      <name val="Calibri"/>
    </font>
    <font>
      <sz val="11.0"/>
      <color rgb="FF000000"/>
      <name val="Comic Sans MS"/>
    </font>
    <font>
      <color rgb="FFFF9900"/>
      <name val="Calibri"/>
    </font>
    <font>
      <color rgb="FF000000"/>
      <name val="Calibri"/>
    </font>
    <font>
      <b/>
      <i/>
      <sz val="36.0"/>
      <color theme="1"/>
      <name val="Arial"/>
    </font>
    <font>
      <sz val="36.0"/>
      <color theme="1"/>
      <name val="Arial"/>
    </font>
  </fonts>
  <fills count="3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AFAFA"/>
        <bgColor rgb="FFFAFAFA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AFD7FF"/>
        <bgColor rgb="FFAFD7FF"/>
      </patternFill>
    </fill>
    <fill>
      <patternFill patternType="solid">
        <fgColor rgb="FFF3F3F3"/>
        <bgColor rgb="FFF3F3F3"/>
      </patternFill>
    </fill>
    <fill>
      <patternFill patternType="solid">
        <fgColor rgb="FF63D297"/>
        <bgColor rgb="FF63D297"/>
      </patternFill>
    </fill>
    <fill>
      <patternFill patternType="solid">
        <fgColor rgb="FFF8F2EB"/>
        <bgColor rgb="FFF8F2EB"/>
      </patternFill>
    </fill>
    <fill>
      <patternFill patternType="solid">
        <fgColor rgb="FFE0F7FA"/>
        <bgColor rgb="FFE0F7FA"/>
      </patternFill>
    </fill>
    <fill>
      <patternFill patternType="solid">
        <fgColor rgb="FFFFFFC8"/>
        <bgColor rgb="FFFFFFC8"/>
      </patternFill>
    </fill>
    <fill>
      <patternFill patternType="solid">
        <fgColor rgb="FFFFE4E4"/>
        <bgColor rgb="FFFFE4E4"/>
      </patternFill>
    </fill>
    <fill>
      <patternFill patternType="solid">
        <fgColor rgb="FFFEF8E3"/>
        <bgColor rgb="FFFEF8E3"/>
      </patternFill>
    </fill>
    <fill>
      <patternFill patternType="solid">
        <fgColor rgb="FFE7F9EF"/>
        <bgColor rgb="FFE7F9EF"/>
      </patternFill>
    </fill>
    <fill>
      <patternFill patternType="solid">
        <fgColor rgb="FF0096B1"/>
        <bgColor rgb="FF0096B1"/>
      </patternFill>
    </fill>
    <fill>
      <patternFill patternType="solid">
        <fgColor rgb="FF999999"/>
        <bgColor rgb="FF999999"/>
      </patternFill>
    </fill>
    <fill>
      <patternFill patternType="solid">
        <fgColor rgb="FF4DD0E1"/>
        <bgColor rgb="FF4DD0E1"/>
      </patternFill>
    </fill>
    <fill>
      <patternFill patternType="solid">
        <fgColor rgb="FFF7CB4D"/>
        <bgColor rgb="FFF7CB4D"/>
      </patternFill>
    </fill>
    <fill>
      <patternFill patternType="solid">
        <fgColor rgb="FF8BC34A"/>
        <bgColor rgb="FF8BC34A"/>
      </patternFill>
    </fill>
    <fill>
      <patternFill patternType="solid">
        <fgColor rgb="FFCCA677"/>
        <bgColor rgb="FFCCA677"/>
      </patternFill>
    </fill>
  </fills>
  <borders count="10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ck">
        <color rgb="FF000000"/>
      </top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right style="thin">
        <color rgb="FFFFFFFF"/>
      </right>
    </border>
    <border>
      <left style="thick">
        <color rgb="FF00FF00"/>
      </left>
      <right style="thick">
        <color rgb="FF000000"/>
      </right>
      <top style="thick">
        <color rgb="FF000000"/>
      </top>
    </border>
    <border>
      <left style="thick">
        <color rgb="FF00FF00"/>
      </left>
      <right style="thick">
        <color rgb="FF00FF00"/>
      </right>
    </border>
    <border>
      <left style="thick">
        <color rgb="FF00FF00"/>
      </left>
      <right style="thick">
        <color rgb="FF00FF00"/>
      </right>
      <top style="thick">
        <color rgb="FF00FF00"/>
      </top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ck">
        <color rgb="FF000000"/>
      </lef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right style="thick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top style="thick">
        <color rgb="FF000000"/>
      </top>
      <bottom style="thick">
        <color rgb="FF000000"/>
      </bottom>
    </border>
    <border>
      <bottom style="medium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505050"/>
      </left>
      <right style="thin">
        <color rgb="FF505050"/>
      </right>
      <bottom style="thin">
        <color rgb="FF505050"/>
      </bottom>
    </border>
    <border>
      <right style="thin">
        <color rgb="FF505050"/>
      </right>
      <bottom style="thin">
        <color rgb="FF505050"/>
      </bottom>
    </border>
    <border>
      <bottom style="thin">
        <color rgb="FF505050"/>
      </bottom>
    </border>
    <border>
      <right style="thin">
        <color rgb="FF50505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FFFFFF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3" fontId="2" numFmtId="164" xfId="0" applyAlignment="1" applyBorder="1" applyFill="1" applyFont="1" applyNumberFormat="1">
      <alignment horizontal="center" readingOrder="0" vertical="bottom"/>
    </xf>
    <xf borderId="2" fillId="0" fontId="3" numFmtId="0" xfId="0" applyBorder="1" applyFont="1"/>
    <xf borderId="2" fillId="3" fontId="4" numFmtId="0" xfId="0" applyAlignment="1" applyBorder="1" applyFont="1">
      <alignment vertical="bottom"/>
    </xf>
    <xf borderId="2" fillId="3" fontId="4" numFmtId="0" xfId="0" applyAlignment="1" applyBorder="1" applyFont="1">
      <alignment horizontal="right" shrinkToFit="0" vertical="bottom" wrapText="1"/>
    </xf>
    <xf borderId="2" fillId="3" fontId="4" numFmtId="0" xfId="0" applyAlignment="1" applyBorder="1" applyFont="1">
      <alignment horizontal="center" vertical="bottom"/>
    </xf>
    <xf borderId="0" fillId="3" fontId="4" numFmtId="0" xfId="0" applyAlignment="1" applyFont="1">
      <alignment vertical="bottom"/>
    </xf>
    <xf borderId="3" fillId="4" fontId="5" numFmtId="49" xfId="0" applyAlignment="1" applyBorder="1" applyFill="1" applyFont="1" applyNumberForma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3" fillId="5" fontId="4" numFmtId="49" xfId="0" applyBorder="1" applyFill="1" applyFont="1" applyNumberFormat="1"/>
    <xf borderId="5" fillId="3" fontId="5" numFmtId="49" xfId="0" applyAlignment="1" applyBorder="1" applyFont="1" applyNumberFormat="1">
      <alignment horizontal="center" readingOrder="0"/>
    </xf>
    <xf borderId="6" fillId="5" fontId="4" numFmtId="165" xfId="0" applyAlignment="1" applyBorder="1" applyFont="1" applyNumberFormat="1">
      <alignment vertical="bottom"/>
    </xf>
    <xf borderId="3" fillId="3" fontId="5" numFmtId="49" xfId="0" applyAlignment="1" applyBorder="1" applyFont="1" applyNumberFormat="1">
      <alignment horizontal="center" vertical="bottom"/>
    </xf>
    <xf borderId="0" fillId="3" fontId="5" numFmtId="49" xfId="0" applyAlignment="1" applyFont="1" applyNumberFormat="1">
      <alignment horizontal="center" vertical="bottom"/>
    </xf>
    <xf borderId="1" fillId="2" fontId="1" numFmtId="49" xfId="0" applyAlignment="1" applyBorder="1" applyFont="1" applyNumberFormat="1">
      <alignment horizontal="center"/>
    </xf>
    <xf borderId="7" fillId="4" fontId="1" numFmtId="49" xfId="0" applyAlignment="1" applyBorder="1" applyFont="1" applyNumberFormat="1">
      <alignment horizontal="center"/>
    </xf>
    <xf borderId="1" fillId="4" fontId="6" numFmtId="49" xfId="0" applyAlignment="1" applyBorder="1" applyFont="1" applyNumberFormat="1">
      <alignment horizontal="center"/>
    </xf>
    <xf borderId="8" fillId="4" fontId="7" numFmtId="49" xfId="0" applyAlignment="1" applyBorder="1" applyFont="1" applyNumberFormat="1">
      <alignment horizontal="center"/>
    </xf>
    <xf borderId="9" fillId="4" fontId="7" numFmtId="49" xfId="0" applyAlignment="1" applyBorder="1" applyFont="1" applyNumberFormat="1">
      <alignment horizontal="center"/>
    </xf>
    <xf borderId="10" fillId="5" fontId="4" numFmtId="49" xfId="0" applyBorder="1" applyFont="1" applyNumberFormat="1"/>
    <xf borderId="11" fillId="3" fontId="6" numFmtId="49" xfId="0" applyAlignment="1" applyBorder="1" applyFont="1" applyNumberFormat="1">
      <alignment horizontal="center"/>
    </xf>
    <xf borderId="1" fillId="3" fontId="6" numFmtId="49" xfId="0" applyAlignment="1" applyBorder="1" applyFont="1" applyNumberFormat="1">
      <alignment horizontal="center"/>
    </xf>
    <xf borderId="12" fillId="3" fontId="6" numFmtId="49" xfId="0" applyAlignment="1" applyBorder="1" applyFont="1" applyNumberFormat="1">
      <alignment horizontal="center" vertical="bottom"/>
    </xf>
    <xf borderId="13" fillId="3" fontId="6" numFmtId="49" xfId="0" applyAlignment="1" applyBorder="1" applyFont="1" applyNumberFormat="1">
      <alignment horizontal="center" vertical="bottom"/>
    </xf>
    <xf borderId="14" fillId="3" fontId="7" numFmtId="49" xfId="0" applyAlignment="1" applyBorder="1" applyFont="1" applyNumberFormat="1">
      <alignment horizontal="center" readingOrder="0"/>
    </xf>
    <xf borderId="8" fillId="3" fontId="7" numFmtId="49" xfId="0" applyAlignment="1" applyBorder="1" applyFont="1" applyNumberFormat="1">
      <alignment horizontal="center" readingOrder="0"/>
    </xf>
    <xf borderId="15" fillId="3" fontId="7" numFmtId="49" xfId="0" applyAlignment="1" applyBorder="1" applyFont="1" applyNumberFormat="1">
      <alignment horizontal="center" readingOrder="0"/>
    </xf>
    <xf borderId="16" fillId="3" fontId="7" numFmtId="49" xfId="0" applyAlignment="1" applyBorder="1" applyFont="1" applyNumberFormat="1">
      <alignment horizontal="center" readingOrder="0"/>
    </xf>
    <xf borderId="7" fillId="5" fontId="4" numFmtId="165" xfId="0" applyBorder="1" applyFont="1" applyNumberFormat="1"/>
    <xf borderId="14" fillId="3" fontId="7" numFmtId="49" xfId="0" applyAlignment="1" applyBorder="1" applyFont="1" applyNumberFormat="1">
      <alignment horizontal="center"/>
    </xf>
    <xf borderId="8" fillId="3" fontId="7" numFmtId="49" xfId="0" applyAlignment="1" applyBorder="1" applyFont="1" applyNumberFormat="1">
      <alignment horizontal="center"/>
    </xf>
    <xf borderId="17" fillId="3" fontId="7" numFmtId="49" xfId="0" applyAlignment="1" applyBorder="1" applyFont="1" applyNumberFormat="1">
      <alignment horizontal="center"/>
    </xf>
    <xf borderId="0" fillId="3" fontId="7" numFmtId="49" xfId="0" applyAlignment="1" applyFont="1" applyNumberFormat="1">
      <alignment horizontal="center"/>
    </xf>
    <xf borderId="1" fillId="2" fontId="1" numFmtId="49" xfId="0" applyAlignment="1" applyBorder="1" applyFont="1" applyNumberFormat="1">
      <alignment horizontal="center" readingOrder="0" vertical="center"/>
    </xf>
    <xf borderId="7" fillId="6" fontId="1" numFmtId="49" xfId="0" applyAlignment="1" applyBorder="1" applyFill="1" applyFont="1" applyNumberFormat="1">
      <alignment horizontal="center"/>
    </xf>
    <xf borderId="1" fillId="6" fontId="1" numFmtId="49" xfId="0" applyAlignment="1" applyBorder="1" applyFont="1" applyNumberFormat="1">
      <alignment horizontal="center" vertical="bottom"/>
    </xf>
    <xf borderId="1" fillId="2" fontId="1" numFmtId="0" xfId="0" applyAlignment="1" applyBorder="1" applyFont="1">
      <alignment horizontal="center"/>
    </xf>
    <xf borderId="1" fillId="2" fontId="1" numFmtId="49" xfId="0" applyAlignment="1" applyBorder="1" applyFont="1" applyNumberFormat="1">
      <alignment horizontal="center" readingOrder="0" vertical="bottom"/>
    </xf>
    <xf borderId="1" fillId="2" fontId="1" numFmtId="0" xfId="0" applyAlignment="1" applyBorder="1" applyFont="1">
      <alignment horizontal="center" readingOrder="0" vertical="bottom"/>
    </xf>
    <xf borderId="18" fillId="2" fontId="1" numFmtId="49" xfId="0" applyAlignment="1" applyBorder="1" applyFont="1" applyNumberFormat="1">
      <alignment horizontal="center" readingOrder="0" vertical="bottom"/>
    </xf>
    <xf borderId="19" fillId="7" fontId="1" numFmtId="49" xfId="0" applyAlignment="1" applyBorder="1" applyFill="1" applyFont="1" applyNumberFormat="1">
      <alignment horizontal="center" readingOrder="0"/>
    </xf>
    <xf borderId="20" fillId="7" fontId="1" numFmtId="49" xfId="0" applyAlignment="1" applyBorder="1" applyFont="1" applyNumberFormat="1">
      <alignment horizontal="center" readingOrder="0"/>
    </xf>
    <xf borderId="21" fillId="7" fontId="1" numFmtId="49" xfId="0" applyAlignment="1" applyBorder="1" applyFont="1" applyNumberFormat="1">
      <alignment horizontal="center" readingOrder="0"/>
    </xf>
    <xf borderId="11" fillId="6" fontId="1" numFmtId="49" xfId="0" applyAlignment="1" applyBorder="1" applyFont="1" applyNumberFormat="1">
      <alignment horizontal="center" readingOrder="0" vertical="bottom"/>
    </xf>
    <xf borderId="1" fillId="6" fontId="1" numFmtId="49" xfId="0" applyAlignment="1" applyBorder="1" applyFont="1" applyNumberFormat="1">
      <alignment horizontal="center" readingOrder="0" vertical="bottom"/>
    </xf>
    <xf borderId="1" fillId="2" fontId="1" numFmtId="49" xfId="0" applyAlignment="1" applyBorder="1" applyFont="1" applyNumberFormat="1">
      <alignment horizontal="center" readingOrder="0"/>
    </xf>
    <xf borderId="18" fillId="2" fontId="1" numFmtId="49" xfId="0" applyAlignment="1" applyBorder="1" applyFont="1" applyNumberFormat="1">
      <alignment horizontal="center" readingOrder="0"/>
    </xf>
    <xf borderId="22" fillId="7" fontId="1" numFmtId="49" xfId="0" applyAlignment="1" applyBorder="1" applyFont="1" applyNumberFormat="1">
      <alignment horizontal="center" readingOrder="0"/>
    </xf>
    <xf borderId="7" fillId="5" fontId="4" numFmtId="165" xfId="0" applyAlignment="1" applyBorder="1" applyFont="1" applyNumberFormat="1">
      <alignment vertical="bottom"/>
    </xf>
    <xf borderId="23" fillId="2" fontId="1" numFmtId="0" xfId="0" applyAlignment="1" applyBorder="1" applyFont="1">
      <alignment horizontal="center" vertical="bottom"/>
    </xf>
    <xf borderId="23" fillId="2" fontId="1" numFmtId="49" xfId="0" applyAlignment="1" applyBorder="1" applyFont="1" applyNumberFormat="1">
      <alignment horizontal="center" readingOrder="0" vertical="bottom"/>
    </xf>
    <xf borderId="21" fillId="2" fontId="8" numFmtId="49" xfId="0" applyAlignment="1" applyBorder="1" applyFont="1" applyNumberFormat="1">
      <alignment horizontal="center" readingOrder="0" vertical="bottom"/>
    </xf>
    <xf borderId="6" fillId="7" fontId="1" numFmtId="49" xfId="0" applyAlignment="1" applyBorder="1" applyFont="1" applyNumberFormat="1">
      <alignment horizontal="right" readingOrder="0" shrinkToFit="0" wrapText="1"/>
    </xf>
    <xf borderId="7" fillId="5" fontId="4" numFmtId="0" xfId="0" applyAlignment="1" applyBorder="1" applyFont="1">
      <alignment vertical="bottom"/>
    </xf>
    <xf borderId="1" fillId="8" fontId="1" numFmtId="49" xfId="0" applyAlignment="1" applyBorder="1" applyFill="1" applyFont="1" applyNumberFormat="1">
      <alignment horizontal="center" vertical="bottom"/>
    </xf>
    <xf borderId="12" fillId="8" fontId="1" numFmtId="49" xfId="0" applyAlignment="1" applyBorder="1" applyFont="1" applyNumberFormat="1">
      <alignment horizontal="center" vertical="bottom"/>
    </xf>
    <xf borderId="24" fillId="8" fontId="4" numFmtId="0" xfId="0" applyAlignment="1" applyBorder="1" applyFont="1">
      <alignment vertical="bottom"/>
    </xf>
    <xf borderId="1" fillId="8" fontId="4" numFmtId="49" xfId="0" applyAlignment="1" applyBorder="1" applyFont="1" applyNumberFormat="1">
      <alignment vertical="top"/>
    </xf>
    <xf borderId="1" fillId="8" fontId="4" numFmtId="49" xfId="0" applyAlignment="1" applyBorder="1" applyFont="1" applyNumberFormat="1">
      <alignment vertical="bottom"/>
    </xf>
    <xf borderId="25" fillId="8" fontId="4" numFmtId="49" xfId="0" applyBorder="1" applyFont="1" applyNumberFormat="1"/>
    <xf borderId="6" fillId="7" fontId="4" numFmtId="49" xfId="0" applyBorder="1" applyFont="1" applyNumberFormat="1"/>
    <xf borderId="3" fillId="7" fontId="4" numFmtId="49" xfId="0" applyBorder="1" applyFont="1" applyNumberFormat="1"/>
    <xf borderId="20" fillId="7" fontId="4" numFmtId="49" xfId="0" applyBorder="1" applyFont="1" applyNumberFormat="1"/>
    <xf borderId="22" fillId="7" fontId="4" numFmtId="49" xfId="0" applyBorder="1" applyFont="1" applyNumberFormat="1"/>
    <xf borderId="0" fillId="7" fontId="4" numFmtId="49" xfId="0" applyFont="1" applyNumberFormat="1"/>
    <xf borderId="11" fillId="7" fontId="1" numFmtId="49" xfId="0" applyAlignment="1" applyBorder="1" applyFont="1" applyNumberFormat="1">
      <alignment horizontal="center" readingOrder="0"/>
    </xf>
    <xf borderId="1" fillId="7" fontId="1" numFmtId="49" xfId="0" applyAlignment="1" applyBorder="1" applyFont="1" applyNumberFormat="1">
      <alignment horizontal="center" readingOrder="0"/>
    </xf>
    <xf borderId="1" fillId="2" fontId="1" numFmtId="0" xfId="0" applyAlignment="1" applyBorder="1" applyFont="1">
      <alignment horizontal="center" vertical="bottom"/>
    </xf>
    <xf borderId="12" fillId="2" fontId="1" numFmtId="49" xfId="0" applyAlignment="1" applyBorder="1" applyFont="1" applyNumberFormat="1">
      <alignment horizontal="center" readingOrder="0"/>
    </xf>
    <xf borderId="25" fillId="7" fontId="1" numFmtId="49" xfId="0" applyAlignment="1" applyBorder="1" applyFont="1" applyNumberFormat="1">
      <alignment horizontal="center" readingOrder="0"/>
    </xf>
    <xf borderId="1" fillId="2" fontId="1" numFmtId="49" xfId="0" applyAlignment="1" applyBorder="1" applyFont="1" applyNumberFormat="1">
      <alignment horizontal="left" readingOrder="0" vertical="bottom"/>
    </xf>
    <xf borderId="21" fillId="0" fontId="8" numFmtId="49" xfId="0" applyAlignment="1" applyBorder="1" applyFont="1" applyNumberFormat="1">
      <alignment horizontal="center" readingOrder="0" vertical="bottom"/>
    </xf>
    <xf borderId="7" fillId="7" fontId="1" numFmtId="49" xfId="0" applyAlignment="1" applyBorder="1" applyFont="1" applyNumberFormat="1">
      <alignment horizontal="right" readingOrder="0" shrinkToFit="0" wrapText="1"/>
    </xf>
    <xf borderId="23" fillId="8" fontId="4" numFmtId="4" xfId="0" applyAlignment="1" applyBorder="1" applyFont="1" applyNumberFormat="1">
      <alignment vertical="bottom"/>
    </xf>
    <xf borderId="7" fillId="7" fontId="4" numFmtId="49" xfId="0" applyBorder="1" applyFont="1" applyNumberFormat="1"/>
    <xf borderId="10" fillId="7" fontId="4" numFmtId="49" xfId="0" applyBorder="1" applyFont="1" applyNumberFormat="1"/>
    <xf borderId="1" fillId="7" fontId="4" numFmtId="49" xfId="0" applyBorder="1" applyFont="1" applyNumberFormat="1"/>
    <xf borderId="25" fillId="7" fontId="4" numFmtId="49" xfId="0" applyBorder="1" applyFont="1" applyNumberFormat="1"/>
    <xf borderId="12" fillId="6" fontId="1" numFmtId="49" xfId="0" applyAlignment="1" applyBorder="1" applyFont="1" applyNumberFormat="1">
      <alignment horizontal="center" vertical="bottom"/>
    </xf>
    <xf borderId="1" fillId="2" fontId="6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center" readingOrder="0" vertical="top"/>
    </xf>
    <xf borderId="25" fillId="2" fontId="1" numFmtId="49" xfId="0" applyAlignment="1" applyBorder="1" applyFont="1" applyNumberFormat="1">
      <alignment horizontal="center" readingOrder="0"/>
    </xf>
    <xf borderId="25" fillId="5" fontId="4" numFmtId="49" xfId="0" applyAlignment="1" applyBorder="1" applyFont="1" applyNumberFormat="1">
      <alignment vertical="bottom"/>
    </xf>
    <xf borderId="1" fillId="8" fontId="4" numFmtId="0" xfId="0" applyAlignment="1" applyBorder="1" applyFont="1">
      <alignment vertical="bottom"/>
    </xf>
    <xf borderId="1" fillId="8" fontId="4" numFmtId="0" xfId="0" applyAlignment="1" applyBorder="1" applyFont="1">
      <alignment vertical="top"/>
    </xf>
    <xf borderId="7" fillId="8" fontId="1" numFmtId="49" xfId="0" applyAlignment="1" applyBorder="1" applyFont="1" applyNumberFormat="1">
      <alignment horizontal="center"/>
    </xf>
    <xf borderId="23" fillId="8" fontId="1" numFmtId="4" xfId="0" applyAlignment="1" applyBorder="1" applyFont="1" applyNumberFormat="1">
      <alignment horizontal="center" readingOrder="0" vertical="bottom"/>
    </xf>
    <xf borderId="1" fillId="8" fontId="1" numFmtId="49" xfId="0" applyAlignment="1" applyBorder="1" applyFont="1" applyNumberFormat="1">
      <alignment horizontal="center" readingOrder="0" vertical="bottom"/>
    </xf>
    <xf borderId="1" fillId="8" fontId="1" numFmtId="0" xfId="0" applyAlignment="1" applyBorder="1" applyFont="1">
      <alignment horizontal="center" readingOrder="0" vertical="bottom"/>
    </xf>
    <xf borderId="18" fillId="8" fontId="1" numFmtId="49" xfId="0" applyAlignment="1" applyBorder="1" applyFont="1" applyNumberFormat="1">
      <alignment horizontal="center" readingOrder="0" vertical="bottom"/>
    </xf>
    <xf borderId="11" fillId="8" fontId="1" numFmtId="49" xfId="0" applyAlignment="1" applyBorder="1" applyFont="1" applyNumberFormat="1">
      <alignment horizontal="center" readingOrder="0" vertical="bottom"/>
    </xf>
    <xf borderId="26" fillId="8" fontId="1" numFmtId="49" xfId="0" applyAlignment="1" applyBorder="1" applyFont="1" applyNumberFormat="1">
      <alignment horizontal="center" readingOrder="0" vertical="bottom"/>
    </xf>
    <xf borderId="1" fillId="8" fontId="1" numFmtId="4" xfId="0" applyAlignment="1" applyBorder="1" applyFont="1" applyNumberFormat="1">
      <alignment horizontal="center" readingOrder="0" vertical="bottom"/>
    </xf>
    <xf borderId="1" fillId="8" fontId="1" numFmtId="49" xfId="0" applyAlignment="1" applyBorder="1" applyFont="1" applyNumberFormat="1">
      <alignment horizontal="center" readingOrder="0"/>
    </xf>
    <xf borderId="18" fillId="8" fontId="1" numFmtId="49" xfId="0" applyAlignment="1" applyBorder="1" applyFont="1" applyNumberFormat="1">
      <alignment horizontal="center" readingOrder="0"/>
    </xf>
    <xf borderId="7" fillId="5" fontId="4" numFmtId="0" xfId="0" applyAlignment="1" applyBorder="1" applyFont="1">
      <alignment vertical="bottom"/>
    </xf>
    <xf borderId="1" fillId="8" fontId="1" numFmtId="49" xfId="0" applyAlignment="1" applyBorder="1" applyFont="1" applyNumberFormat="1">
      <alignment horizontal="center" readingOrder="0" shrinkToFit="0" vertical="bottom" wrapText="1"/>
    </xf>
    <xf borderId="1" fillId="8" fontId="1" numFmtId="0" xfId="0" applyAlignment="1" applyBorder="1" applyFont="1">
      <alignment horizontal="center" readingOrder="0" shrinkToFit="0" vertical="bottom" wrapText="1"/>
    </xf>
    <xf borderId="25" fillId="8" fontId="1" numFmtId="49" xfId="0" applyAlignment="1" applyBorder="1" applyFont="1" applyNumberFormat="1">
      <alignment horizontal="center" readingOrder="0" shrinkToFit="0" vertical="bottom" wrapText="1"/>
    </xf>
    <xf borderId="12" fillId="3" fontId="1" numFmtId="49" xfId="0" applyAlignment="1" applyBorder="1" applyFont="1" applyNumberFormat="1">
      <alignment horizontal="center" vertical="bottom"/>
    </xf>
    <xf borderId="1" fillId="2" fontId="1" numFmtId="0" xfId="0" applyAlignment="1" applyBorder="1" applyFont="1">
      <alignment horizontal="center" shrinkToFit="0" vertical="bottom" wrapText="1"/>
    </xf>
    <xf borderId="12" fillId="2" fontId="4" numFmtId="49" xfId="0" applyAlignment="1" applyBorder="1" applyFont="1" applyNumberFormat="1">
      <alignment readingOrder="0" vertical="bottom"/>
    </xf>
    <xf borderId="27" fillId="2" fontId="4" numFmtId="49" xfId="0" applyAlignment="1" applyBorder="1" applyFont="1" applyNumberFormat="1">
      <alignment readingOrder="0" vertical="bottom"/>
    </xf>
    <xf borderId="7" fillId="7" fontId="4" numFmtId="49" xfId="0" applyAlignment="1" applyBorder="1" applyFont="1" applyNumberFormat="1">
      <alignment readingOrder="0"/>
    </xf>
    <xf borderId="10" fillId="7" fontId="4" numFmtId="49" xfId="0" applyAlignment="1" applyBorder="1" applyFont="1" applyNumberFormat="1">
      <alignment readingOrder="0"/>
    </xf>
    <xf borderId="1" fillId="7" fontId="4" numFmtId="49" xfId="0" applyAlignment="1" applyBorder="1" applyFont="1" applyNumberFormat="1">
      <alignment readingOrder="0"/>
    </xf>
    <xf borderId="25" fillId="7" fontId="4" numFmtId="49" xfId="0" applyAlignment="1" applyBorder="1" applyFont="1" applyNumberFormat="1">
      <alignment readingOrder="0"/>
    </xf>
    <xf borderId="0" fillId="7" fontId="4" numFmtId="49" xfId="0" applyAlignment="1" applyFont="1" applyNumberFormat="1">
      <alignment readingOrder="0"/>
    </xf>
    <xf borderId="26" fillId="8" fontId="1" numFmtId="49" xfId="0" applyAlignment="1" applyBorder="1" applyFont="1" applyNumberFormat="1">
      <alignment horizontal="center" vertical="bottom"/>
    </xf>
    <xf borderId="1" fillId="8" fontId="1" numFmtId="49" xfId="0" applyAlignment="1" applyBorder="1" applyFont="1" applyNumberFormat="1">
      <alignment horizontal="center" readingOrder="0" shrinkToFit="0" wrapText="1"/>
    </xf>
    <xf borderId="18" fillId="8" fontId="1" numFmtId="49" xfId="0" applyAlignment="1" applyBorder="1" applyFont="1" applyNumberFormat="1">
      <alignment horizontal="center" readingOrder="0" shrinkToFit="0" wrapText="1"/>
    </xf>
    <xf borderId="18" fillId="8" fontId="4" numFmtId="0" xfId="0" applyAlignment="1" applyBorder="1" applyFont="1">
      <alignment vertical="bottom"/>
    </xf>
    <xf borderId="25" fillId="8" fontId="4" numFmtId="49" xfId="0" applyAlignment="1" applyBorder="1" applyFont="1" applyNumberFormat="1">
      <alignment vertical="bottom"/>
    </xf>
    <xf borderId="7" fillId="2" fontId="4" numFmtId="0" xfId="0" applyAlignment="1" applyBorder="1" applyFont="1">
      <alignment readingOrder="0" vertical="bottom"/>
    </xf>
    <xf borderId="21" fillId="2" fontId="4" numFmtId="49" xfId="0" applyAlignment="1" applyBorder="1" applyFont="1" applyNumberFormat="1">
      <alignment readingOrder="0" vertical="bottom"/>
    </xf>
    <xf borderId="1" fillId="4" fontId="1" numFmtId="49" xfId="0" applyAlignment="1" applyBorder="1" applyFont="1" applyNumberFormat="1">
      <alignment horizontal="center" vertical="bottom"/>
    </xf>
    <xf borderId="1" fillId="9" fontId="1" numFmtId="0" xfId="0" applyAlignment="1" applyBorder="1" applyFill="1" applyFont="1">
      <alignment horizontal="center" readingOrder="0" vertical="bottom"/>
    </xf>
    <xf borderId="12" fillId="9" fontId="1" numFmtId="0" xfId="0" applyAlignment="1" applyBorder="1" applyFont="1">
      <alignment horizontal="center" readingOrder="0" vertical="bottom"/>
    </xf>
    <xf borderId="18" fillId="9" fontId="1" numFmtId="49" xfId="0" applyAlignment="1" applyBorder="1" applyFont="1" applyNumberFormat="1">
      <alignment horizontal="center" readingOrder="0" vertical="bottom"/>
    </xf>
    <xf borderId="11" fillId="3" fontId="1" numFmtId="49" xfId="0" applyAlignment="1" applyBorder="1" applyFont="1" applyNumberFormat="1">
      <alignment horizontal="center" readingOrder="0" vertical="bottom"/>
    </xf>
    <xf borderId="1" fillId="3" fontId="1" numFmtId="49" xfId="0" applyAlignment="1" applyBorder="1" applyFont="1" applyNumberFormat="1">
      <alignment horizontal="center" readingOrder="0" vertical="bottom"/>
    </xf>
    <xf borderId="0" fillId="9" fontId="1" numFmtId="49" xfId="0" applyAlignment="1" applyFont="1" applyNumberFormat="1">
      <alignment horizontal="center" readingOrder="0"/>
    </xf>
    <xf borderId="18" fillId="9" fontId="1" numFmtId="49" xfId="0" applyAlignment="1" applyBorder="1" applyFont="1" applyNumberFormat="1">
      <alignment horizontal="center" readingOrder="0"/>
    </xf>
    <xf borderId="11" fillId="7" fontId="1" numFmtId="49" xfId="0" applyAlignment="1" applyBorder="1" applyFont="1" applyNumberFormat="1">
      <alignment horizontal="right" readingOrder="0" shrinkToFit="0" wrapText="1"/>
    </xf>
    <xf borderId="1" fillId="2" fontId="4" numFmtId="49" xfId="0" applyAlignment="1" applyBorder="1" applyFont="1" applyNumberFormat="1">
      <alignment readingOrder="0"/>
    </xf>
    <xf borderId="12" fillId="2" fontId="4" numFmtId="49" xfId="0" applyAlignment="1" applyBorder="1" applyFont="1" applyNumberFormat="1">
      <alignment readingOrder="0"/>
    </xf>
    <xf borderId="25" fillId="2" fontId="4" numFmtId="49" xfId="0" applyAlignment="1" applyBorder="1" applyFont="1" applyNumberFormat="1">
      <alignment readingOrder="0"/>
    </xf>
    <xf borderId="13" fillId="2" fontId="1" numFmtId="49" xfId="0" applyAlignment="1" applyBorder="1" applyFont="1" applyNumberFormat="1">
      <alignment horizontal="center" readingOrder="0"/>
    </xf>
    <xf borderId="1" fillId="2" fontId="1" numFmtId="0" xfId="0" applyAlignment="1" applyBorder="1" applyFont="1">
      <alignment horizontal="center" readingOrder="0" shrinkToFit="0" vertical="bottom" wrapText="1"/>
    </xf>
    <xf borderId="1" fillId="4" fontId="1" numFmtId="49" xfId="0" applyAlignment="1" applyBorder="1" applyFont="1" applyNumberFormat="1">
      <alignment horizontal="center"/>
    </xf>
    <xf borderId="12" fillId="3" fontId="1" numFmtId="49" xfId="0" applyAlignment="1" applyBorder="1" applyFont="1" applyNumberFormat="1">
      <alignment horizontal="center"/>
    </xf>
    <xf borderId="10" fillId="2" fontId="1" numFmtId="49" xfId="0" applyAlignment="1" applyBorder="1" applyFont="1" applyNumberFormat="1">
      <alignment horizontal="center" readingOrder="0" vertical="bottom"/>
    </xf>
    <xf borderId="23" fillId="3" fontId="1" numFmtId="49" xfId="0" applyAlignment="1" applyBorder="1" applyFont="1" applyNumberFormat="1">
      <alignment horizontal="center" readingOrder="0" vertical="bottom"/>
    </xf>
    <xf borderId="7" fillId="2" fontId="1" numFmtId="0" xfId="0" applyAlignment="1" applyBorder="1" applyFont="1">
      <alignment horizontal="center" readingOrder="0"/>
    </xf>
    <xf borderId="0" fillId="5" fontId="4" numFmtId="49" xfId="0" applyAlignment="1" applyFont="1" applyNumberFormat="1">
      <alignment vertical="bottom"/>
    </xf>
    <xf borderId="1" fillId="3" fontId="1" numFmtId="49" xfId="0" applyAlignment="1" applyBorder="1" applyFont="1" applyNumberFormat="1">
      <alignment horizontal="center"/>
    </xf>
    <xf borderId="1" fillId="2" fontId="4" numFmtId="49" xfId="0" applyAlignment="1" applyBorder="1" applyFont="1" applyNumberFormat="1">
      <alignment vertical="top"/>
    </xf>
    <xf borderId="12" fillId="2" fontId="4" numFmtId="49" xfId="0" applyAlignment="1" applyBorder="1" applyFont="1" applyNumberFormat="1">
      <alignment vertical="bottom"/>
    </xf>
    <xf borderId="25" fillId="2" fontId="4" numFmtId="49" xfId="0" applyBorder="1" applyFont="1" applyNumberFormat="1"/>
    <xf borderId="0" fillId="2" fontId="1" numFmtId="49" xfId="0" applyAlignment="1" applyFont="1" applyNumberFormat="1">
      <alignment horizontal="center" readingOrder="0" vertical="bottom"/>
    </xf>
    <xf borderId="13" fillId="2" fontId="1" numFmtId="0" xfId="0" applyAlignment="1" applyBorder="1" applyFont="1">
      <alignment horizontal="center" readingOrder="0"/>
    </xf>
    <xf borderId="1" fillId="3" fontId="1" numFmtId="49" xfId="0" applyAlignment="1" applyBorder="1" applyFont="1" applyNumberFormat="1">
      <alignment horizontal="center" readingOrder="0"/>
    </xf>
    <xf borderId="1" fillId="2" fontId="4" numFmtId="49" xfId="0" applyAlignment="1" applyBorder="1" applyFont="1" applyNumberFormat="1">
      <alignment readingOrder="0" vertical="top"/>
    </xf>
    <xf borderId="7" fillId="2" fontId="4" numFmtId="49" xfId="0" applyAlignment="1" applyBorder="1" applyFont="1" applyNumberFormat="1">
      <alignment readingOrder="0" vertical="bottom"/>
    </xf>
    <xf borderId="21" fillId="2" fontId="1" numFmtId="49" xfId="0" applyAlignment="1" applyBorder="1" applyFont="1" applyNumberFormat="1">
      <alignment horizontal="center" readingOrder="0" vertical="bottom"/>
    </xf>
    <xf borderId="10" fillId="2" fontId="1" numFmtId="0" xfId="0" applyAlignment="1" applyBorder="1" applyFont="1">
      <alignment horizontal="center" readingOrder="0"/>
    </xf>
    <xf borderId="25" fillId="7" fontId="9" numFmtId="49" xfId="0" applyAlignment="1" applyBorder="1" applyFont="1" applyNumberFormat="1">
      <alignment horizontal="center" readingOrder="0"/>
    </xf>
    <xf borderId="12" fillId="2" fontId="1" numFmtId="0" xfId="0" applyAlignment="1" applyBorder="1" applyFont="1">
      <alignment horizontal="center" readingOrder="0"/>
    </xf>
    <xf borderId="12" fillId="3" fontId="1" numFmtId="0" xfId="0" applyAlignment="1" applyBorder="1" applyFont="1">
      <alignment horizontal="center"/>
    </xf>
    <xf borderId="7" fillId="2" fontId="4" numFmtId="49" xfId="0" applyAlignment="1" applyBorder="1" applyFont="1" applyNumberFormat="1">
      <alignment vertical="bottom"/>
    </xf>
    <xf borderId="21" fillId="2" fontId="4" numFmtId="49" xfId="0" applyAlignment="1" applyBorder="1" applyFont="1" applyNumberFormat="1">
      <alignment vertical="bottom"/>
    </xf>
    <xf borderId="1" fillId="10" fontId="1" numFmtId="49" xfId="0" applyAlignment="1" applyBorder="1" applyFill="1" applyFont="1" applyNumberFormat="1">
      <alignment horizontal="center" vertical="bottom"/>
    </xf>
    <xf borderId="25" fillId="2" fontId="1" numFmtId="49" xfId="0" applyAlignment="1" applyBorder="1" applyFont="1" applyNumberFormat="1">
      <alignment horizontal="center" readingOrder="0" vertical="bottom"/>
    </xf>
    <xf borderId="12" fillId="2" fontId="1" numFmtId="0" xfId="0" applyAlignment="1" applyBorder="1" applyFont="1">
      <alignment horizontal="center" readingOrder="0" vertical="bottom"/>
    </xf>
    <xf borderId="7" fillId="5" fontId="1" numFmtId="0" xfId="0" applyAlignment="1" applyBorder="1" applyFont="1">
      <alignment horizontal="center" vertical="bottom"/>
    </xf>
    <xf borderId="12" fillId="3" fontId="1" numFmtId="49" xfId="0" applyAlignment="1" applyBorder="1" applyFont="1" applyNumberFormat="1">
      <alignment horizontal="center" readingOrder="0" vertical="bottom"/>
    </xf>
    <xf borderId="25" fillId="2" fontId="4" numFmtId="49" xfId="0" applyAlignment="1" applyBorder="1" applyFont="1" applyNumberFormat="1">
      <alignment vertical="bottom"/>
    </xf>
    <xf borderId="10" fillId="5" fontId="4" numFmtId="0" xfId="0" applyAlignment="1" applyBorder="1" applyFont="1">
      <alignment readingOrder="0"/>
    </xf>
    <xf borderId="7" fillId="2" fontId="1" numFmtId="49" xfId="0" applyAlignment="1" applyBorder="1" applyFont="1" applyNumberFormat="1">
      <alignment horizontal="center" readingOrder="0" vertical="bottom"/>
    </xf>
    <xf borderId="18" fillId="2" fontId="1" numFmtId="0" xfId="0" applyAlignment="1" applyBorder="1" applyFont="1">
      <alignment horizontal="center" readingOrder="0" vertical="bottom"/>
    </xf>
    <xf borderId="18" fillId="2" fontId="1" numFmtId="49" xfId="0" applyAlignment="1" applyBorder="1" applyFont="1" applyNumberFormat="1">
      <alignment horizontal="center" readingOrder="0" shrinkToFit="0" vertical="bottom" wrapText="1"/>
    </xf>
    <xf borderId="1" fillId="3" fontId="1" numFmtId="49" xfId="0" applyAlignment="1" applyBorder="1" applyFont="1" applyNumberFormat="1">
      <alignment horizontal="center" vertical="bottom"/>
    </xf>
    <xf borderId="1" fillId="2" fontId="4" numFmtId="49" xfId="0" applyAlignment="1" applyBorder="1" applyFont="1" applyNumberFormat="1">
      <alignment vertical="bottom"/>
    </xf>
    <xf borderId="7" fillId="7" fontId="4" numFmtId="0" xfId="0" applyBorder="1" applyFont="1"/>
    <xf borderId="10" fillId="7" fontId="4" numFmtId="0" xfId="0" applyBorder="1" applyFont="1"/>
    <xf borderId="1" fillId="7" fontId="4" numFmtId="0" xfId="0" applyBorder="1" applyFont="1"/>
    <xf borderId="25" fillId="7" fontId="4" numFmtId="0" xfId="0" applyBorder="1" applyFont="1"/>
    <xf borderId="0" fillId="7" fontId="4" numFmtId="0" xfId="0" applyFont="1"/>
    <xf borderId="1" fillId="0" fontId="1" numFmtId="0" xfId="0" applyAlignment="1" applyBorder="1" applyFont="1">
      <alignment horizontal="center" readingOrder="0" shrinkToFit="0" vertical="bottom" wrapText="1"/>
    </xf>
    <xf borderId="10" fillId="5" fontId="4" numFmtId="165" xfId="0" applyBorder="1" applyFont="1" applyNumberFormat="1"/>
    <xf borderId="18" fillId="2" fontId="1" numFmtId="0" xfId="0" applyAlignment="1" applyBorder="1" applyFont="1">
      <alignment horizontal="center" readingOrder="0"/>
    </xf>
    <xf borderId="1" fillId="9" fontId="4" numFmtId="49" xfId="0" applyAlignment="1" applyBorder="1" applyFont="1" applyNumberFormat="1">
      <alignment vertical="bottom"/>
    </xf>
    <xf borderId="1" fillId="9" fontId="4" numFmtId="0" xfId="0" applyAlignment="1" applyBorder="1" applyFont="1">
      <alignment vertical="bottom"/>
    </xf>
    <xf borderId="23" fillId="9" fontId="4" numFmtId="49" xfId="0" applyAlignment="1" applyBorder="1" applyFont="1" applyNumberFormat="1">
      <alignment vertical="bottom"/>
    </xf>
    <xf borderId="25" fillId="9" fontId="4" numFmtId="49" xfId="0" applyBorder="1" applyFont="1" applyNumberFormat="1"/>
    <xf borderId="1" fillId="9" fontId="4" numFmtId="49" xfId="0" applyAlignment="1" applyBorder="1" applyFont="1" applyNumberFormat="1">
      <alignment horizontal="center" vertical="bottom"/>
    </xf>
    <xf borderId="1" fillId="9" fontId="4" numFmtId="0" xfId="0" applyAlignment="1" applyBorder="1" applyFont="1">
      <alignment vertical="bottom"/>
    </xf>
    <xf borderId="12" fillId="9" fontId="4" numFmtId="49" xfId="0" applyAlignment="1" applyBorder="1" applyFont="1" applyNumberFormat="1">
      <alignment vertical="bottom"/>
    </xf>
    <xf borderId="27" fillId="9" fontId="4" numFmtId="49" xfId="0" applyAlignment="1" applyBorder="1" applyFont="1" applyNumberFormat="1">
      <alignment vertical="bottom"/>
    </xf>
    <xf borderId="1" fillId="4" fontId="1" numFmtId="49" xfId="0" applyAlignment="1" applyBorder="1" applyFont="1" applyNumberFormat="1">
      <alignment horizontal="center" readingOrder="0"/>
    </xf>
    <xf borderId="1" fillId="9" fontId="1" numFmtId="0" xfId="0" applyAlignment="1" applyBorder="1" applyFont="1">
      <alignment horizontal="center" readingOrder="0" shrinkToFit="0" vertical="bottom" wrapText="1"/>
    </xf>
    <xf borderId="1" fillId="9" fontId="1" numFmtId="49" xfId="0" applyAlignment="1" applyBorder="1" applyFont="1" applyNumberFormat="1">
      <alignment horizontal="center" readingOrder="0" vertical="bottom"/>
    </xf>
    <xf borderId="10" fillId="2" fontId="1" numFmtId="0" xfId="0" applyAlignment="1" applyBorder="1" applyFont="1">
      <alignment horizontal="center" readingOrder="0" vertical="bottom"/>
    </xf>
    <xf borderId="1" fillId="2" fontId="1" numFmtId="49" xfId="0" applyAlignment="1" applyBorder="1" applyFont="1" applyNumberFormat="1">
      <alignment horizontal="center" readingOrder="0" shrinkToFit="0" vertical="bottom" wrapText="1"/>
    </xf>
    <xf borderId="25" fillId="2" fontId="1" numFmtId="49" xfId="0" applyAlignment="1" applyBorder="1" applyFont="1" applyNumberFormat="1">
      <alignment horizontal="center" readingOrder="0" shrinkToFit="0" wrapText="1"/>
    </xf>
    <xf borderId="1" fillId="9" fontId="4" numFmtId="49" xfId="0" applyAlignment="1" applyBorder="1" applyFont="1" applyNumberFormat="1">
      <alignment horizontal="center"/>
    </xf>
    <xf borderId="12" fillId="2" fontId="1" numFmtId="49" xfId="0" applyAlignment="1" applyBorder="1" applyFont="1" applyNumberFormat="1">
      <alignment horizontal="center" readingOrder="0" vertical="bottom"/>
    </xf>
    <xf borderId="7" fillId="5" fontId="4" numFmtId="0" xfId="0" applyBorder="1" applyFont="1"/>
    <xf borderId="0" fillId="2" fontId="1" numFmtId="49" xfId="0" applyAlignment="1" applyFont="1" applyNumberFormat="1">
      <alignment horizontal="center" readingOrder="0"/>
    </xf>
    <xf borderId="1" fillId="0" fontId="1" numFmtId="0" xfId="0" applyAlignment="1" applyBorder="1" applyFont="1">
      <alignment horizontal="center" shrinkToFit="0" vertical="bottom" wrapText="1"/>
    </xf>
    <xf borderId="1" fillId="2" fontId="1" numFmtId="49" xfId="0" applyAlignment="1" applyBorder="1" applyFont="1" applyNumberFormat="1">
      <alignment horizontal="center" vertical="bottom"/>
    </xf>
    <xf borderId="1" fillId="2" fontId="4" numFmtId="0" xfId="0" applyAlignment="1" applyBorder="1" applyFont="1">
      <alignment vertical="bottom"/>
    </xf>
    <xf borderId="1" fillId="2" fontId="1" numFmtId="0" xfId="0" applyAlignment="1" applyBorder="1" applyFont="1">
      <alignment horizontal="center" readingOrder="0" shrinkToFit="0" wrapText="1"/>
    </xf>
    <xf borderId="7" fillId="2" fontId="1" numFmtId="0" xfId="0" applyAlignment="1" applyBorder="1" applyFont="1">
      <alignment horizontal="center" readingOrder="0" shrinkToFit="0" vertical="bottom" wrapText="1"/>
    </xf>
    <xf borderId="21" fillId="2" fontId="4" numFmtId="49" xfId="0" applyBorder="1" applyFont="1" applyNumberFormat="1"/>
    <xf borderId="0" fillId="4" fontId="1" numFmtId="0" xfId="0" applyAlignment="1" applyFont="1">
      <alignment horizontal="center" readingOrder="0"/>
    </xf>
    <xf borderId="12" fillId="4" fontId="1" numFmtId="49" xfId="0" applyAlignment="1" applyBorder="1" applyFont="1" applyNumberFormat="1">
      <alignment horizontal="center" vertical="bottom"/>
    </xf>
    <xf borderId="7" fillId="2" fontId="1" numFmtId="49" xfId="0" applyAlignment="1" applyBorder="1" applyFont="1" applyNumberFormat="1">
      <alignment horizontal="center" readingOrder="0" shrinkToFit="0" vertical="bottom" wrapText="1"/>
    </xf>
    <xf borderId="28" fillId="3" fontId="1" numFmtId="49" xfId="0" applyAlignment="1" applyBorder="1" applyFont="1" applyNumberFormat="1">
      <alignment horizontal="center" readingOrder="0" vertical="bottom"/>
    </xf>
    <xf borderId="7" fillId="5" fontId="4" numFmtId="0" xfId="0" applyAlignment="1" applyBorder="1" applyFont="1">
      <alignment readingOrder="0" vertical="bottom"/>
    </xf>
    <xf borderId="23" fillId="4" fontId="1" numFmtId="49" xfId="0" applyAlignment="1" applyBorder="1" applyFont="1" applyNumberFormat="1">
      <alignment horizontal="center" vertical="bottom"/>
    </xf>
    <xf borderId="12" fillId="2" fontId="1" numFmtId="49" xfId="0" applyAlignment="1" applyBorder="1" applyFont="1" applyNumberFormat="1">
      <alignment horizontal="center" readingOrder="0" shrinkToFit="0" vertical="bottom" wrapText="1"/>
    </xf>
    <xf borderId="29" fillId="4" fontId="1" numFmtId="49" xfId="0" applyAlignment="1" applyBorder="1" applyFont="1" applyNumberFormat="1">
      <alignment horizontal="center"/>
    </xf>
    <xf borderId="7" fillId="2" fontId="1" numFmtId="0" xfId="0" applyAlignment="1" applyBorder="1" applyFont="1">
      <alignment horizontal="center" readingOrder="0" vertical="bottom"/>
    </xf>
    <xf borderId="8" fillId="5" fontId="4" numFmtId="49" xfId="0" applyBorder="1" applyFont="1" applyNumberFormat="1"/>
    <xf borderId="21" fillId="5" fontId="4" numFmtId="49" xfId="0" applyAlignment="1" applyBorder="1" applyFont="1" applyNumberFormat="1">
      <alignment vertical="bottom"/>
    </xf>
    <xf borderId="29" fillId="5" fontId="4" numFmtId="0" xfId="0" applyAlignment="1" applyBorder="1" applyFont="1">
      <alignment vertical="bottom"/>
    </xf>
    <xf borderId="23" fillId="2" fontId="4" numFmtId="0" xfId="0" applyAlignment="1" applyBorder="1" applyFont="1">
      <alignment vertical="bottom"/>
    </xf>
    <xf borderId="1" fillId="2" fontId="4" numFmtId="49" xfId="0" applyBorder="1" applyFont="1" applyNumberFormat="1"/>
    <xf borderId="12" fillId="9" fontId="1" numFmtId="49" xfId="0" applyAlignment="1" applyBorder="1" applyFont="1" applyNumberFormat="1">
      <alignment horizontal="center" readingOrder="0"/>
    </xf>
    <xf borderId="25" fillId="11" fontId="4" numFmtId="49" xfId="0" applyAlignment="1" applyBorder="1" applyFill="1" applyFont="1" applyNumberFormat="1">
      <alignment vertical="bottom"/>
    </xf>
    <xf borderId="23" fillId="3" fontId="1" numFmtId="49" xfId="0" applyAlignment="1" applyBorder="1" applyFont="1" applyNumberFormat="1">
      <alignment horizontal="center" readingOrder="0"/>
    </xf>
    <xf borderId="23" fillId="2" fontId="1" numFmtId="0" xfId="0" applyAlignment="1" applyBorder="1" applyFont="1">
      <alignment horizontal="center" readingOrder="0" vertical="bottom"/>
    </xf>
    <xf borderId="29" fillId="5" fontId="4" numFmtId="165" xfId="0" applyAlignment="1" applyBorder="1" applyFont="1" applyNumberFormat="1">
      <alignment vertical="bottom"/>
    </xf>
    <xf borderId="23" fillId="2" fontId="4" numFmtId="0" xfId="0" applyAlignment="1" applyBorder="1" applyFont="1">
      <alignment vertical="bottom"/>
    </xf>
    <xf borderId="29" fillId="12" fontId="1" numFmtId="49" xfId="0" applyAlignment="1" applyBorder="1" applyFill="1" applyFont="1" applyNumberFormat="1">
      <alignment horizontal="center"/>
    </xf>
    <xf borderId="14" fillId="12" fontId="1" numFmtId="49" xfId="0" applyAlignment="1" applyBorder="1" applyFont="1" applyNumberFormat="1">
      <alignment horizontal="center"/>
    </xf>
    <xf borderId="23" fillId="12" fontId="1" numFmtId="0" xfId="0" applyAlignment="1" applyBorder="1" applyFont="1">
      <alignment horizontal="center" readingOrder="0" vertical="bottom"/>
    </xf>
    <xf borderId="1" fillId="12" fontId="1" numFmtId="49" xfId="0" applyAlignment="1" applyBorder="1" applyFont="1" applyNumberFormat="1">
      <alignment horizontal="center" readingOrder="0" vertical="bottom"/>
    </xf>
    <xf borderId="24" fillId="12" fontId="1" numFmtId="49" xfId="0" applyAlignment="1" applyBorder="1" applyFont="1" applyNumberFormat="1">
      <alignment horizontal="center" readingOrder="0" vertical="bottom"/>
    </xf>
    <xf borderId="28" fillId="12" fontId="1" numFmtId="49" xfId="0" applyAlignment="1" applyBorder="1" applyFont="1" applyNumberFormat="1">
      <alignment horizontal="center" readingOrder="0" vertical="bottom"/>
    </xf>
    <xf borderId="23" fillId="12" fontId="1" numFmtId="49" xfId="0" applyAlignment="1" applyBorder="1" applyFont="1" applyNumberFormat="1">
      <alignment horizontal="center" readingOrder="0" vertical="bottom"/>
    </xf>
    <xf borderId="1" fillId="12" fontId="1" numFmtId="0" xfId="0" applyAlignment="1" applyBorder="1" applyFont="1">
      <alignment horizontal="center" readingOrder="0" shrinkToFit="0" vertical="bottom" wrapText="1"/>
    </xf>
    <xf borderId="12" fillId="12" fontId="1" numFmtId="49" xfId="0" applyAlignment="1" applyBorder="1" applyFont="1" applyNumberFormat="1">
      <alignment horizontal="center" readingOrder="0"/>
    </xf>
    <xf borderId="13" fillId="12" fontId="1" numFmtId="49" xfId="0" applyAlignment="1" applyBorder="1" applyFont="1" applyNumberFormat="1">
      <alignment horizontal="center" readingOrder="0"/>
    </xf>
    <xf borderId="29" fillId="5" fontId="4" numFmtId="165" xfId="0" applyBorder="1" applyFont="1" applyNumberFormat="1"/>
    <xf borderId="23" fillId="12" fontId="1" numFmtId="49" xfId="0" applyAlignment="1" applyBorder="1" applyFont="1" applyNumberFormat="1">
      <alignment horizontal="center"/>
    </xf>
    <xf borderId="12" fillId="12" fontId="1" numFmtId="49" xfId="0" applyAlignment="1" applyBorder="1" applyFont="1" applyNumberFormat="1">
      <alignment horizontal="center" vertical="bottom"/>
    </xf>
    <xf borderId="1" fillId="12" fontId="1" numFmtId="0" xfId="0" applyAlignment="1" applyBorder="1" applyFont="1">
      <alignment horizontal="center" readingOrder="0" vertical="bottom"/>
    </xf>
    <xf borderId="1" fillId="12" fontId="1" numFmtId="0" xfId="0" applyAlignment="1" applyBorder="1" applyFont="1">
      <alignment horizontal="center" readingOrder="0" shrinkToFit="0" wrapText="1"/>
    </xf>
    <xf borderId="1" fillId="12" fontId="1" numFmtId="0" xfId="0" applyAlignment="1" applyBorder="1" applyFont="1">
      <alignment horizontal="center" readingOrder="0"/>
    </xf>
    <xf borderId="18" fillId="12" fontId="1" numFmtId="49" xfId="0" applyAlignment="1" applyBorder="1" applyFont="1" applyNumberFormat="1">
      <alignment horizontal="center" readingOrder="0"/>
    </xf>
    <xf borderId="23" fillId="3" fontId="1" numFmtId="49" xfId="0" applyAlignment="1" applyBorder="1" applyFont="1" applyNumberFormat="1">
      <alignment horizontal="center"/>
    </xf>
    <xf borderId="1" fillId="2" fontId="4" numFmtId="0" xfId="0" applyBorder="1" applyFont="1"/>
    <xf borderId="18" fillId="2" fontId="4" numFmtId="0" xfId="0" applyBorder="1" applyFont="1"/>
    <xf borderId="30" fillId="12" fontId="1" numFmtId="49" xfId="0" applyAlignment="1" applyBorder="1" applyFont="1" applyNumberFormat="1">
      <alignment horizontal="center"/>
    </xf>
    <xf borderId="31" fillId="12" fontId="1" numFmtId="49" xfId="0" applyAlignment="1" applyBorder="1" applyFont="1" applyNumberFormat="1">
      <alignment horizontal="center" vertical="bottom"/>
    </xf>
    <xf borderId="32" fillId="12" fontId="1" numFmtId="0" xfId="0" applyAlignment="1" applyBorder="1" applyFont="1">
      <alignment horizontal="center" readingOrder="0" vertical="bottom"/>
    </xf>
    <xf borderId="31" fillId="12" fontId="1" numFmtId="49" xfId="0" applyAlignment="1" applyBorder="1" applyFont="1" applyNumberFormat="1">
      <alignment horizontal="center" readingOrder="0" vertical="bottom"/>
    </xf>
    <xf borderId="29" fillId="12" fontId="1" numFmtId="0" xfId="0" applyAlignment="1" applyBorder="1" applyFont="1">
      <alignment horizontal="center" readingOrder="0" shrinkToFit="0" wrapText="1"/>
    </xf>
    <xf borderId="24" fillId="12" fontId="9" numFmtId="49" xfId="0" applyAlignment="1" applyBorder="1" applyFont="1" applyNumberFormat="1">
      <alignment horizontal="center" readingOrder="0" vertical="bottom"/>
    </xf>
    <xf borderId="33" fillId="7" fontId="1" numFmtId="49" xfId="0" applyAlignment="1" applyBorder="1" applyFont="1" applyNumberFormat="1">
      <alignment horizontal="center" readingOrder="0"/>
    </xf>
    <xf borderId="26" fillId="7" fontId="1" numFmtId="49" xfId="0" applyAlignment="1" applyBorder="1" applyFont="1" applyNumberFormat="1">
      <alignment horizontal="center" readingOrder="0"/>
    </xf>
    <xf borderId="34" fillId="7" fontId="1" numFmtId="49" xfId="0" applyAlignment="1" applyBorder="1" applyFont="1" applyNumberFormat="1">
      <alignment horizontal="center" readingOrder="0"/>
    </xf>
    <xf borderId="15" fillId="5" fontId="4" numFmtId="49" xfId="0" applyBorder="1" applyFont="1" applyNumberFormat="1"/>
    <xf borderId="35" fillId="12" fontId="1" numFmtId="49" xfId="0" applyAlignment="1" applyBorder="1" applyFont="1" applyNumberFormat="1">
      <alignment horizontal="center" readingOrder="0" vertical="bottom"/>
    </xf>
    <xf borderId="32" fillId="12" fontId="1" numFmtId="49" xfId="0" applyAlignment="1" applyBorder="1" applyFont="1" applyNumberFormat="1">
      <alignment horizontal="center" readingOrder="0" vertical="bottom"/>
    </xf>
    <xf borderId="26" fillId="12" fontId="1" numFmtId="0" xfId="0" applyAlignment="1" applyBorder="1" applyFont="1">
      <alignment horizontal="center" readingOrder="0" vertical="bottom"/>
    </xf>
    <xf borderId="31" fillId="12" fontId="1" numFmtId="0" xfId="0" applyAlignment="1" applyBorder="1" applyFont="1">
      <alignment horizontal="center" readingOrder="0"/>
    </xf>
    <xf borderId="36" fillId="12" fontId="1" numFmtId="49" xfId="0" applyAlignment="1" applyBorder="1" applyFont="1" applyNumberFormat="1">
      <alignment horizontal="center" readingOrder="0"/>
    </xf>
    <xf borderId="37" fillId="12" fontId="1" numFmtId="49" xfId="0" applyAlignment="1" applyBorder="1" applyFont="1" applyNumberFormat="1">
      <alignment horizontal="center" readingOrder="0"/>
    </xf>
    <xf borderId="16" fillId="7" fontId="1" numFmtId="49" xfId="0" applyAlignment="1" applyBorder="1" applyFont="1" applyNumberFormat="1">
      <alignment horizontal="center" readingOrder="0"/>
    </xf>
    <xf borderId="30" fillId="5" fontId="4" numFmtId="165" xfId="0" applyAlignment="1" applyBorder="1" applyFont="1" applyNumberFormat="1">
      <alignment vertical="bottom"/>
    </xf>
    <xf borderId="32" fillId="12" fontId="1" numFmtId="49" xfId="0" applyAlignment="1" applyBorder="1" applyFont="1" applyNumberFormat="1">
      <alignment horizontal="center" vertical="bottom"/>
    </xf>
    <xf borderId="36" fillId="12" fontId="1" numFmtId="49" xfId="0" applyAlignment="1" applyBorder="1" applyFont="1" applyNumberFormat="1">
      <alignment horizontal="center" vertical="bottom"/>
    </xf>
    <xf borderId="0" fillId="12" fontId="1" numFmtId="0" xfId="0" applyAlignment="1" applyFont="1">
      <alignment horizontal="center" readingOrder="0" vertical="bottom"/>
    </xf>
    <xf borderId="36" fillId="12" fontId="1" numFmtId="0" xfId="0" applyAlignment="1" applyBorder="1" applyFont="1">
      <alignment horizontal="center" readingOrder="0"/>
    </xf>
    <xf borderId="38" fillId="12" fontId="1" numFmtId="49" xfId="0" applyAlignment="1" applyBorder="1" applyFont="1" applyNumberFormat="1">
      <alignment horizontal="center" readingOrder="0"/>
    </xf>
    <xf borderId="30" fillId="7" fontId="1" numFmtId="49" xfId="0" applyAlignment="1" applyBorder="1" applyFont="1" applyNumberFormat="1">
      <alignment horizontal="right" readingOrder="0" shrinkToFit="0" wrapText="1"/>
    </xf>
    <xf borderId="31" fillId="7" fontId="1" numFmtId="49" xfId="0" applyAlignment="1" applyBorder="1" applyFont="1" applyNumberFormat="1">
      <alignment horizontal="center" readingOrder="0"/>
    </xf>
    <xf borderId="9" fillId="7" fontId="1" numFmtId="49" xfId="0" applyAlignment="1" applyBorder="1" applyFont="1" applyNumberFormat="1">
      <alignment horizontal="center" readingOrder="0"/>
    </xf>
    <xf borderId="31" fillId="3" fontId="1" numFmtId="49" xfId="0" applyAlignment="1" applyBorder="1" applyFont="1" applyNumberFormat="1">
      <alignment horizontal="center" vertical="bottom"/>
    </xf>
    <xf borderId="36" fillId="2" fontId="4" numFmtId="0" xfId="0" applyAlignment="1" applyBorder="1" applyFont="1">
      <alignment vertical="bottom"/>
    </xf>
    <xf borderId="36" fillId="2" fontId="4" numFmtId="49" xfId="0" applyAlignment="1" applyBorder="1" applyFont="1" applyNumberFormat="1">
      <alignment vertical="bottom"/>
    </xf>
    <xf borderId="38" fillId="2" fontId="4" numFmtId="49" xfId="0" applyAlignment="1" applyBorder="1" applyFont="1" applyNumberFormat="1">
      <alignment vertical="bottom"/>
    </xf>
    <xf borderId="30" fillId="7" fontId="4" numFmtId="49" xfId="0" applyBorder="1" applyFont="1" applyNumberFormat="1"/>
    <xf borderId="15" fillId="7" fontId="4" numFmtId="49" xfId="0" applyBorder="1" applyFont="1" applyNumberFormat="1"/>
    <xf borderId="31" fillId="7" fontId="4" numFmtId="49" xfId="0" applyBorder="1" applyFont="1" applyNumberFormat="1"/>
    <xf borderId="9" fillId="7" fontId="4" numFmtId="49" xfId="0" applyBorder="1" applyFont="1" applyNumberFormat="1"/>
    <xf borderId="0" fillId="0" fontId="4" numFmtId="49" xfId="0" applyAlignment="1" applyFont="1" applyNumberFormat="1">
      <alignment vertical="bottom"/>
    </xf>
    <xf borderId="0" fillId="0" fontId="4" numFmtId="0" xfId="0" applyAlignment="1" applyFont="1">
      <alignment vertical="bottom"/>
    </xf>
    <xf borderId="39" fillId="2" fontId="4" numFmtId="166" xfId="0" applyBorder="1" applyFont="1" applyNumberFormat="1"/>
    <xf borderId="39" fillId="0" fontId="3" numFmtId="0" xfId="0" applyBorder="1" applyFont="1"/>
    <xf borderId="40" fillId="0" fontId="3" numFmtId="0" xfId="0" applyBorder="1" applyFont="1"/>
    <xf borderId="0" fillId="2" fontId="4" numFmtId="49" xfId="0" applyAlignment="1" applyFont="1" applyNumberFormat="1">
      <alignment readingOrder="0"/>
    </xf>
    <xf borderId="0" fillId="2" fontId="4" numFmtId="165" xfId="0" applyAlignment="1" applyFont="1" applyNumberFormat="1">
      <alignment horizontal="right" shrinkToFit="0" vertical="bottom" wrapText="1"/>
    </xf>
    <xf borderId="0" fillId="2" fontId="4" numFmtId="165" xfId="0" applyAlignment="1" applyFont="1" applyNumberFormat="1">
      <alignment vertical="bottom"/>
    </xf>
    <xf borderId="0" fillId="5" fontId="4" numFmtId="165" xfId="0" applyAlignment="1" applyFont="1" applyNumberFormat="1">
      <alignment vertical="bottom"/>
    </xf>
    <xf borderId="0" fillId="5" fontId="4" numFmtId="49" xfId="0" applyAlignment="1" applyFont="1" applyNumberFormat="1">
      <alignment horizontal="center" vertical="bottom"/>
    </xf>
    <xf borderId="0" fillId="5" fontId="4" numFmtId="0" xfId="0" applyAlignment="1" applyFont="1">
      <alignment vertical="bottom"/>
    </xf>
    <xf borderId="41" fillId="5" fontId="1" numFmtId="0" xfId="0" applyAlignment="1" applyBorder="1" applyFont="1">
      <alignment horizontal="center" vertical="bottom"/>
    </xf>
    <xf borderId="7" fillId="2" fontId="1" numFmtId="49" xfId="0" applyAlignment="1" applyBorder="1" applyFont="1" applyNumberFormat="1">
      <alignment horizontal="center"/>
    </xf>
    <xf borderId="0" fillId="0" fontId="4" numFmtId="0" xfId="0" applyAlignment="1" applyFont="1">
      <alignment vertical="bottom"/>
    </xf>
    <xf borderId="0" fillId="2" fontId="4" numFmtId="0" xfId="0" applyAlignment="1" applyFont="1">
      <alignment readingOrder="0"/>
    </xf>
    <xf borderId="0" fillId="0" fontId="4" numFmtId="0" xfId="0" applyAlignment="1" applyFont="1">
      <alignment horizontal="center" vertical="bottom"/>
    </xf>
    <xf borderId="42" fillId="2" fontId="10" numFmtId="166" xfId="0" applyAlignment="1" applyBorder="1" applyFont="1" applyNumberFormat="1">
      <alignment horizontal="center" readingOrder="0" shrinkToFit="0" wrapText="0"/>
    </xf>
    <xf borderId="42" fillId="2" fontId="11" numFmtId="166" xfId="0" applyAlignment="1" applyBorder="1" applyFont="1" applyNumberFormat="1">
      <alignment horizontal="center" readingOrder="0" shrinkToFit="0" wrapText="0"/>
    </xf>
    <xf borderId="18" fillId="2" fontId="1" numFmtId="0" xfId="0" applyAlignment="1" applyBorder="1" applyFont="1">
      <alignment horizontal="center" vertical="bottom"/>
    </xf>
    <xf borderId="43" fillId="2" fontId="1" numFmtId="0" xfId="0" applyAlignment="1" applyBorder="1" applyFont="1">
      <alignment horizontal="center"/>
    </xf>
    <xf borderId="44" fillId="0" fontId="3" numFmtId="0" xfId="0" applyBorder="1" applyFont="1"/>
    <xf borderId="45" fillId="0" fontId="3" numFmtId="0" xfId="0" applyBorder="1" applyFont="1"/>
    <xf borderId="46" fillId="2" fontId="1" numFmtId="0" xfId="0" applyAlignment="1" applyBorder="1" applyFont="1">
      <alignment horizontal="center" shrinkToFit="0" wrapText="1"/>
    </xf>
    <xf borderId="47" fillId="3" fontId="1" numFmtId="0" xfId="0" applyAlignment="1" applyBorder="1" applyFont="1">
      <alignment horizontal="center" shrinkToFit="0" wrapText="1"/>
    </xf>
    <xf borderId="0" fillId="2" fontId="4" numFmtId="0" xfId="0" applyFont="1"/>
    <xf borderId="5" fillId="6" fontId="4" numFmtId="0" xfId="0" applyBorder="1" applyFont="1"/>
    <xf borderId="6" fillId="0" fontId="3" numFmtId="0" xfId="0" applyBorder="1" applyFont="1"/>
    <xf borderId="20" fillId="6" fontId="1" numFmtId="0" xfId="0" applyAlignment="1" applyBorder="1" applyFont="1">
      <alignment horizontal="center"/>
    </xf>
    <xf borderId="22" fillId="6" fontId="4" numFmtId="0" xfId="0" applyBorder="1" applyFont="1"/>
    <xf borderId="48" fillId="3" fontId="1" numFmtId="0" xfId="0" applyAlignment="1" applyBorder="1" applyFont="1">
      <alignment horizontal="center" shrinkToFit="0" wrapText="1"/>
    </xf>
    <xf borderId="5" fillId="12" fontId="4" numFmtId="0" xfId="0" applyBorder="1" applyFont="1"/>
    <xf borderId="20" fillId="12" fontId="1" numFmtId="0" xfId="0" applyAlignment="1" applyBorder="1" applyFont="1">
      <alignment horizontal="center"/>
    </xf>
    <xf borderId="4" fillId="12" fontId="4" numFmtId="0" xfId="0" applyAlignment="1" applyBorder="1" applyFont="1">
      <alignment vertical="bottom"/>
    </xf>
    <xf borderId="0" fillId="2" fontId="1" numFmtId="0" xfId="0" applyAlignment="1" applyFont="1">
      <alignment horizontal="center" shrinkToFit="0" wrapText="1"/>
    </xf>
    <xf borderId="49" fillId="3" fontId="1" numFmtId="0" xfId="0" applyAlignment="1" applyBorder="1" applyFont="1">
      <alignment horizontal="center" shrinkToFit="0" wrapText="1"/>
    </xf>
    <xf borderId="0" fillId="2" fontId="4" numFmtId="0" xfId="0" applyAlignment="1" applyFont="1">
      <alignment horizontal="right" readingOrder="0" shrinkToFit="0" wrapText="1"/>
    </xf>
    <xf borderId="0" fillId="5" fontId="4" numFmtId="0" xfId="0" applyFont="1"/>
    <xf borderId="13" fillId="4" fontId="12" numFmtId="49" xfId="0" applyAlignment="1" applyBorder="1" applyFont="1" applyNumberFormat="1">
      <alignment horizontal="center"/>
    </xf>
    <xf borderId="27" fillId="4" fontId="12" numFmtId="49" xfId="0" applyAlignment="1" applyBorder="1" applyFont="1" applyNumberFormat="1">
      <alignment horizontal="center"/>
    </xf>
    <xf borderId="0" fillId="4" fontId="12" numFmtId="49" xfId="0" applyAlignment="1" applyFont="1" applyNumberFormat="1">
      <alignment horizontal="center"/>
    </xf>
    <xf borderId="1" fillId="4" fontId="13" numFmtId="0" xfId="0" applyAlignment="1" applyBorder="1" applyFont="1">
      <alignment vertical="bottom"/>
    </xf>
    <xf borderId="13" fillId="10" fontId="1" numFmtId="0" xfId="0" applyAlignment="1" applyBorder="1" applyFont="1">
      <alignment horizontal="center" vertical="bottom"/>
    </xf>
    <xf borderId="12" fillId="0" fontId="3" numFmtId="0" xfId="0" applyBorder="1" applyFont="1"/>
    <xf borderId="23" fillId="10" fontId="1" numFmtId="0" xfId="0" applyAlignment="1" applyBorder="1" applyFont="1">
      <alignment horizontal="center" shrinkToFit="0" vertical="bottom" wrapText="1"/>
    </xf>
    <xf borderId="24" fillId="2" fontId="1" numFmtId="0" xfId="0" applyAlignment="1" applyBorder="1" applyFont="1">
      <alignment horizontal="center" readingOrder="0" vertical="bottom"/>
    </xf>
    <xf borderId="11" fillId="7" fontId="1" numFmtId="0" xfId="0" applyAlignment="1" applyBorder="1" applyFont="1">
      <alignment horizontal="center" readingOrder="0"/>
    </xf>
    <xf borderId="25" fillId="2" fontId="1" numFmtId="0" xfId="0" applyAlignment="1" applyBorder="1" applyFont="1">
      <alignment horizontal="center" readingOrder="0" vertical="bottom"/>
    </xf>
    <xf borderId="0" fillId="2" fontId="4" numFmtId="0" xfId="0" applyFont="1"/>
    <xf borderId="50" fillId="10" fontId="1" numFmtId="0" xfId="0" applyAlignment="1" applyBorder="1" applyFont="1">
      <alignment horizontal="center" vertical="bottom"/>
    </xf>
    <xf borderId="24" fillId="10" fontId="1" numFmtId="0" xfId="0" applyAlignment="1" applyBorder="1" applyFont="1">
      <alignment horizontal="center" vertical="bottom"/>
    </xf>
    <xf borderId="51" fillId="6" fontId="1" numFmtId="0" xfId="0" applyAlignment="1" applyBorder="1" applyFont="1">
      <alignment horizontal="center" readingOrder="0" vertical="bottom"/>
    </xf>
    <xf borderId="0" fillId="13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23" fillId="10" fontId="1" numFmtId="0" xfId="0" applyAlignment="1" applyBorder="1" applyFont="1">
      <alignment horizontal="center" readingOrder="0" vertical="bottom"/>
    </xf>
    <xf borderId="51" fillId="12" fontId="1" numFmtId="0" xfId="0" applyAlignment="1" applyBorder="1" applyFont="1">
      <alignment horizontal="center" readingOrder="0" vertical="bottom"/>
    </xf>
    <xf borderId="0" fillId="2" fontId="4" numFmtId="0" xfId="0" applyAlignment="1" applyFont="1">
      <alignment horizontal="right" shrinkToFit="0" vertical="bottom" wrapText="1"/>
    </xf>
    <xf borderId="0" fillId="2" fontId="4" numFmtId="0" xfId="0" applyAlignment="1" applyFont="1">
      <alignment vertical="bottom"/>
    </xf>
    <xf borderId="30" fillId="4" fontId="1" numFmtId="49" xfId="0" applyAlignment="1" applyBorder="1" applyFont="1" applyNumberFormat="1">
      <alignment horizontal="center"/>
    </xf>
    <xf borderId="31" fillId="4" fontId="6" numFmtId="49" xfId="0" applyAlignment="1" applyBorder="1" applyFont="1" applyNumberFormat="1">
      <alignment horizontal="center"/>
    </xf>
    <xf borderId="15" fillId="4" fontId="7" numFmtId="49" xfId="0" applyAlignment="1" applyBorder="1" applyFont="1" applyNumberFormat="1">
      <alignment horizontal="center"/>
    </xf>
    <xf borderId="52" fillId="4" fontId="12" numFmtId="49" xfId="0" applyAlignment="1" applyBorder="1" applyFont="1" applyNumberFormat="1">
      <alignment horizontal="center"/>
    </xf>
    <xf borderId="1" fillId="2" fontId="13" numFmtId="0" xfId="0" applyAlignment="1" applyBorder="1" applyFont="1">
      <alignment vertical="bottom"/>
    </xf>
    <xf borderId="10" fillId="10" fontId="1" numFmtId="0" xfId="0" applyAlignment="1" applyBorder="1" applyFont="1">
      <alignment horizontal="center" vertical="bottom"/>
    </xf>
    <xf borderId="7" fillId="0" fontId="3" numFmtId="0" xfId="0" applyBorder="1" applyFont="1"/>
    <xf borderId="1" fillId="10" fontId="1" numFmtId="0" xfId="0" applyAlignment="1" applyBorder="1" applyFont="1">
      <alignment horizontal="center" shrinkToFit="0" vertical="bottom" wrapText="1"/>
    </xf>
    <xf borderId="53" fillId="10" fontId="1" numFmtId="0" xfId="0" applyAlignment="1" applyBorder="1" applyFont="1">
      <alignment horizontal="center" vertical="bottom"/>
    </xf>
    <xf borderId="24" fillId="10" fontId="1" numFmtId="0" xfId="0" applyAlignment="1" applyBorder="1" applyFont="1">
      <alignment horizontal="center"/>
    </xf>
    <xf borderId="0" fillId="2" fontId="4" numFmtId="49" xfId="0" applyAlignment="1" applyFont="1" applyNumberFormat="1">
      <alignment vertical="bottom"/>
    </xf>
    <xf borderId="28" fillId="12" fontId="1" numFmtId="49" xfId="0" applyAlignment="1" applyBorder="1" applyFont="1" applyNumberFormat="1">
      <alignment horizontal="center" vertical="bottom"/>
    </xf>
    <xf borderId="12" fillId="12" fontId="1" numFmtId="49" xfId="0" applyAlignment="1" applyBorder="1" applyFont="1" applyNumberFormat="1">
      <alignment horizontal="center" readingOrder="0" vertical="bottom"/>
    </xf>
    <xf borderId="28" fillId="7" fontId="12" numFmtId="49" xfId="0" applyAlignment="1" applyBorder="1" applyFont="1" applyNumberFormat="1">
      <alignment horizontal="center" readingOrder="0"/>
    </xf>
    <xf borderId="23" fillId="7" fontId="12" numFmtId="49" xfId="0" applyAlignment="1" applyBorder="1" applyFont="1" applyNumberFormat="1">
      <alignment horizontal="center"/>
    </xf>
    <xf borderId="51" fillId="7" fontId="12" numFmtId="49" xfId="0" applyAlignment="1" applyBorder="1" applyFont="1" applyNumberFormat="1">
      <alignment horizontal="center"/>
    </xf>
    <xf borderId="53" fillId="4" fontId="1" numFmtId="0" xfId="0" applyAlignment="1" applyBorder="1" applyFont="1">
      <alignment horizontal="center" vertical="bottom"/>
    </xf>
    <xf borderId="23" fillId="4" fontId="1" numFmtId="0" xfId="0" applyAlignment="1" applyBorder="1" applyFont="1">
      <alignment horizontal="center" readingOrder="0" vertical="bottom"/>
    </xf>
    <xf borderId="28" fillId="6" fontId="1" numFmtId="49" xfId="0" applyAlignment="1" applyBorder="1" applyFont="1" applyNumberFormat="1">
      <alignment horizontal="center" vertical="bottom"/>
    </xf>
    <xf borderId="12" fillId="6" fontId="1" numFmtId="49" xfId="0" applyAlignment="1" applyBorder="1" applyFont="1" applyNumberFormat="1">
      <alignment horizontal="center" readingOrder="0" vertical="bottom"/>
    </xf>
    <xf borderId="7" fillId="7" fontId="1" numFmtId="49" xfId="0" applyAlignment="1" applyBorder="1" applyFont="1" applyNumberFormat="1">
      <alignment horizontal="center" readingOrder="0" vertical="bottom"/>
    </xf>
    <xf borderId="1" fillId="7" fontId="1" numFmtId="49" xfId="0" applyAlignment="1" applyBorder="1" applyFont="1" applyNumberFormat="1">
      <alignment horizontal="center" readingOrder="0" vertical="bottom"/>
    </xf>
    <xf borderId="25" fillId="7" fontId="1" numFmtId="49" xfId="0" applyAlignment="1" applyBorder="1" applyFont="1" applyNumberFormat="1">
      <alignment horizontal="center" readingOrder="0" vertical="bottom"/>
    </xf>
    <xf borderId="0" fillId="7" fontId="1" numFmtId="49" xfId="0" applyAlignment="1" applyFont="1" applyNumberFormat="1">
      <alignment horizontal="center" readingOrder="0" vertical="bottom"/>
    </xf>
    <xf borderId="10" fillId="10" fontId="1" numFmtId="0" xfId="0" applyAlignment="1" applyBorder="1" applyFont="1">
      <alignment horizontal="center" vertical="bottom"/>
    </xf>
    <xf borderId="24" fillId="2" fontId="14" numFmtId="0" xfId="0" applyAlignment="1" applyBorder="1" applyFont="1">
      <alignment horizontal="center" readingOrder="0" vertical="bottom"/>
    </xf>
    <xf borderId="1" fillId="4" fontId="1" numFmtId="0" xfId="0" applyAlignment="1" applyBorder="1" applyFont="1">
      <alignment horizontal="center" vertical="bottom"/>
    </xf>
    <xf borderId="0" fillId="0" fontId="4" numFmtId="0" xfId="0" applyFont="1"/>
    <xf borderId="0" fillId="2" fontId="4" numFmtId="0" xfId="0" applyAlignment="1" applyFont="1">
      <alignment horizontal="right" shrinkToFit="0" wrapText="1"/>
    </xf>
    <xf borderId="7" fillId="2" fontId="1" numFmtId="49" xfId="0" applyAlignment="1" applyBorder="1" applyFont="1" applyNumberFormat="1">
      <alignment horizontal="center" readingOrder="0"/>
    </xf>
    <xf borderId="7" fillId="7" fontId="1" numFmtId="49" xfId="0" applyAlignment="1" applyBorder="1" applyFont="1" applyNumberFormat="1">
      <alignment horizontal="center" readingOrder="0"/>
    </xf>
    <xf borderId="0" fillId="7" fontId="1" numFmtId="49" xfId="0" applyAlignment="1" applyFont="1" applyNumberFormat="1">
      <alignment horizontal="center" readingOrder="0"/>
    </xf>
    <xf borderId="0" fillId="2" fontId="4" numFmtId="0" xfId="0" applyAlignment="1" applyFont="1">
      <alignment vertical="bottom"/>
    </xf>
    <xf borderId="53" fillId="9" fontId="1" numFmtId="0" xfId="0" applyAlignment="1" applyBorder="1" applyFont="1">
      <alignment horizontal="center" vertical="bottom"/>
    </xf>
    <xf borderId="28" fillId="4" fontId="1" numFmtId="49" xfId="0" applyAlignment="1" applyBorder="1" applyFont="1" applyNumberFormat="1">
      <alignment horizontal="center" vertical="bottom"/>
    </xf>
    <xf borderId="1" fillId="14" fontId="13" numFmtId="0" xfId="0" applyAlignment="1" applyBorder="1" applyFill="1" applyFont="1">
      <alignment horizontal="center" readingOrder="0" vertical="bottom"/>
    </xf>
    <xf borderId="10" fillId="4" fontId="1" numFmtId="0" xfId="0" applyAlignment="1" applyBorder="1" applyFont="1">
      <alignment horizontal="center" vertical="bottom"/>
    </xf>
    <xf borderId="1" fillId="4" fontId="1" numFmtId="0" xfId="0" applyAlignment="1" applyBorder="1" applyFont="1">
      <alignment horizontal="center" shrinkToFit="0" vertical="bottom" wrapText="1"/>
    </xf>
    <xf borderId="0" fillId="2" fontId="4" numFmtId="49" xfId="0" applyFont="1" applyNumberFormat="1"/>
    <xf borderId="53" fillId="4" fontId="1" numFmtId="49" xfId="0" applyAlignment="1" applyBorder="1" applyFont="1" applyNumberFormat="1">
      <alignment horizontal="center" vertical="bottom"/>
    </xf>
    <xf borderId="0" fillId="2" fontId="1" numFmtId="49" xfId="0" applyAlignment="1" applyFont="1" applyNumberFormat="1">
      <alignment horizontal="center"/>
    </xf>
    <xf borderId="0" fillId="2" fontId="4" numFmtId="0" xfId="0" applyFont="1"/>
    <xf borderId="0" fillId="0" fontId="4" numFmtId="49" xfId="0" applyFont="1" applyNumberFormat="1"/>
    <xf borderId="0" fillId="2" fontId="4" numFmtId="49" xfId="0" applyAlignment="1" applyFont="1" applyNumberFormat="1">
      <alignment horizontal="right" shrinkToFit="0" wrapText="1"/>
    </xf>
    <xf borderId="0" fillId="5" fontId="4" numFmtId="49" xfId="0" applyFont="1" applyNumberFormat="1"/>
    <xf borderId="7" fillId="15" fontId="1" numFmtId="0" xfId="0" applyAlignment="1" applyBorder="1" applyFill="1" applyFont="1">
      <alignment horizontal="center" readingOrder="0"/>
    </xf>
    <xf borderId="25" fillId="16" fontId="1" numFmtId="49" xfId="0" applyAlignment="1" applyBorder="1" applyFill="1" applyFont="1" applyNumberFormat="1">
      <alignment horizontal="center" readingOrder="0" vertical="bottom"/>
    </xf>
    <xf borderId="10" fillId="4" fontId="1" numFmtId="0" xfId="0" applyAlignment="1" applyBorder="1" applyFont="1">
      <alignment horizontal="center" vertical="bottom"/>
    </xf>
    <xf borderId="53" fillId="9" fontId="1" numFmtId="49" xfId="0" applyAlignment="1" applyBorder="1" applyFont="1" applyNumberFormat="1">
      <alignment horizontal="center" vertical="bottom"/>
    </xf>
    <xf borderId="1" fillId="9" fontId="1" numFmtId="0" xfId="0" applyAlignment="1" applyBorder="1" applyFont="1">
      <alignment horizontal="center" vertical="bottom"/>
    </xf>
    <xf borderId="54" fillId="7" fontId="1" numFmtId="165" xfId="0" applyAlignment="1" applyBorder="1" applyFont="1" applyNumberFormat="1">
      <alignment horizontal="center" vertical="bottom"/>
    </xf>
    <xf borderId="30" fillId="0" fontId="3" numFmtId="0" xfId="0" applyBorder="1" applyFont="1"/>
    <xf borderId="31" fillId="7" fontId="4" numFmtId="49" xfId="0" applyAlignment="1" applyBorder="1" applyFont="1" applyNumberFormat="1">
      <alignment vertical="bottom"/>
    </xf>
    <xf borderId="9" fillId="7" fontId="1" numFmtId="0" xfId="0" applyAlignment="1" applyBorder="1" applyFont="1">
      <alignment horizontal="center" vertical="bottom"/>
    </xf>
    <xf borderId="28" fillId="4" fontId="1" numFmtId="49" xfId="0" applyAlignment="1" applyBorder="1" applyFont="1" applyNumberFormat="1">
      <alignment horizontal="center" readingOrder="0" vertical="bottom"/>
    </xf>
    <xf borderId="0" fillId="2" fontId="4" numFmtId="165" xfId="0" applyFont="1" applyNumberFormat="1"/>
    <xf borderId="0" fillId="2" fontId="4" numFmtId="49" xfId="0" applyAlignment="1" applyFont="1" applyNumberFormat="1">
      <alignment horizontal="right" shrinkToFit="0" vertical="bottom" wrapText="1"/>
    </xf>
    <xf borderId="1" fillId="2" fontId="13" numFmtId="0" xfId="0" applyAlignment="1" applyBorder="1" applyFont="1">
      <alignment vertical="bottom"/>
    </xf>
    <xf borderId="24" fillId="9" fontId="1" numFmtId="0" xfId="0" applyAlignment="1" applyBorder="1" applyFont="1">
      <alignment horizontal="center" readingOrder="0" vertical="bottom"/>
    </xf>
    <xf borderId="0" fillId="2" fontId="4" numFmtId="166" xfId="0" applyFont="1" applyNumberFormat="1"/>
    <xf borderId="53" fillId="9" fontId="1" numFmtId="49" xfId="0" applyAlignment="1" applyBorder="1" applyFont="1" applyNumberFormat="1">
      <alignment horizontal="center" readingOrder="0" vertical="bottom"/>
    </xf>
    <xf borderId="51" fillId="6" fontId="1" numFmtId="0" xfId="0" applyAlignment="1" applyBorder="1" applyFont="1">
      <alignment horizontal="center" readingOrder="0" shrinkToFit="0" vertical="bottom" wrapText="1"/>
    </xf>
    <xf borderId="0" fillId="13" fontId="1" numFmtId="0" xfId="0" applyAlignment="1" applyFont="1">
      <alignment horizontal="center" readingOrder="0" shrinkToFit="0" wrapText="1"/>
    </xf>
    <xf borderId="0" fillId="0" fontId="4" numFmtId="166" xfId="0" applyFont="1" applyNumberFormat="1"/>
    <xf borderId="0" fillId="5" fontId="4" numFmtId="165" xfId="0" applyFont="1" applyNumberFormat="1"/>
    <xf borderId="7" fillId="7" fontId="1" numFmtId="49" xfId="0" applyAlignment="1" applyBorder="1" applyFont="1" applyNumberFormat="1">
      <alignment horizontal="center" readingOrder="0" shrinkToFit="0" wrapText="1"/>
    </xf>
    <xf borderId="10" fillId="7" fontId="1" numFmtId="49" xfId="0" applyAlignment="1" applyBorder="1" applyFont="1" applyNumberFormat="1">
      <alignment horizontal="center" readingOrder="0" shrinkToFit="0" wrapText="1"/>
    </xf>
    <xf borderId="1" fillId="7" fontId="1" numFmtId="49" xfId="0" applyAlignment="1" applyBorder="1" applyFont="1" applyNumberFormat="1">
      <alignment horizontal="center" readingOrder="0" shrinkToFit="0" wrapText="1"/>
    </xf>
    <xf borderId="25" fillId="7" fontId="6" numFmtId="49" xfId="0" applyAlignment="1" applyBorder="1" applyFont="1" applyNumberFormat="1">
      <alignment horizontal="center" readingOrder="0" shrinkToFit="0" wrapText="1"/>
    </xf>
    <xf borderId="0" fillId="7" fontId="6" numFmtId="49" xfId="0" applyAlignment="1" applyFont="1" applyNumberFormat="1">
      <alignment horizontal="center" readingOrder="0" shrinkToFit="0" wrapText="1"/>
    </xf>
    <xf borderId="1" fillId="2" fontId="15" numFmtId="0" xfId="0" applyAlignment="1" applyBorder="1" applyFont="1">
      <alignment vertical="bottom"/>
    </xf>
    <xf borderId="53" fillId="2" fontId="4" numFmtId="166" xfId="0" applyAlignment="1" applyBorder="1" applyFont="1" applyNumberFormat="1">
      <alignment vertical="bottom"/>
    </xf>
    <xf borderId="1" fillId="2" fontId="4" numFmtId="166" xfId="0" applyAlignment="1" applyBorder="1" applyFont="1" applyNumberFormat="1">
      <alignment vertical="bottom"/>
    </xf>
    <xf borderId="25" fillId="2" fontId="4" numFmtId="166" xfId="0" applyAlignment="1" applyBorder="1" applyFont="1" applyNumberFormat="1">
      <alignment vertical="bottom"/>
    </xf>
    <xf borderId="37" fillId="2" fontId="4" numFmtId="166" xfId="0" applyBorder="1" applyFont="1" applyNumberFormat="1"/>
    <xf borderId="0" fillId="5" fontId="4" numFmtId="0" xfId="0" applyFont="1"/>
    <xf borderId="25" fillId="7" fontId="1" numFmtId="49" xfId="0" applyAlignment="1" applyBorder="1" applyFont="1" applyNumberFormat="1">
      <alignment horizontal="center" readingOrder="0" shrinkToFit="0" wrapText="1"/>
    </xf>
    <xf borderId="0" fillId="7" fontId="1" numFmtId="49" xfId="0" applyAlignment="1" applyFont="1" applyNumberFormat="1">
      <alignment horizontal="center" readingOrder="0" shrinkToFit="0" wrapText="1"/>
    </xf>
    <xf borderId="1" fillId="2" fontId="13" numFmtId="0" xfId="0" applyAlignment="1" applyBorder="1" applyFont="1">
      <alignment readingOrder="0" vertical="bottom"/>
    </xf>
    <xf borderId="11" fillId="7" fontId="7" numFmtId="0" xfId="0" applyAlignment="1" applyBorder="1" applyFont="1">
      <alignment horizontal="center" readingOrder="0"/>
    </xf>
    <xf borderId="53" fillId="2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25" fillId="2" fontId="4" numFmtId="0" xfId="0" applyAlignment="1" applyBorder="1" applyFont="1">
      <alignment vertical="bottom"/>
    </xf>
    <xf borderId="0" fillId="0" fontId="4" numFmtId="0" xfId="0" applyFont="1"/>
    <xf borderId="55" fillId="8" fontId="1" numFmtId="0" xfId="0" applyAlignment="1" applyBorder="1" applyFont="1">
      <alignment horizontal="center"/>
    </xf>
    <xf borderId="41" fillId="0" fontId="3" numFmtId="0" xfId="0" applyBorder="1" applyFont="1"/>
    <xf borderId="0" fillId="2" fontId="1" numFmtId="0" xfId="0" applyAlignment="1" applyFont="1">
      <alignment horizontal="center" shrinkToFit="0" wrapText="1"/>
    </xf>
    <xf borderId="48" fillId="3" fontId="1" numFmtId="0" xfId="0" applyAlignment="1" applyBorder="1" applyFont="1">
      <alignment horizontal="center" shrinkToFit="0" wrapText="1"/>
    </xf>
    <xf borderId="7" fillId="2" fontId="1" numFmtId="49" xfId="0" applyAlignment="1" applyBorder="1" applyFont="1" applyNumberFormat="1">
      <alignment horizontal="center" readingOrder="0" shrinkToFit="0" wrapText="1"/>
    </xf>
    <xf borderId="55" fillId="0" fontId="3" numFmtId="0" xfId="0" applyBorder="1" applyFont="1"/>
    <xf borderId="48" fillId="0" fontId="3" numFmtId="0" xfId="0" applyBorder="1" applyFont="1"/>
    <xf borderId="0" fillId="2" fontId="4" numFmtId="0" xfId="0" applyAlignment="1" applyFont="1">
      <alignment horizontal="right" shrinkToFit="0" wrapText="1"/>
    </xf>
    <xf borderId="0" fillId="5" fontId="4" numFmtId="0" xfId="0" applyFont="1"/>
    <xf borderId="25" fillId="2" fontId="1" numFmtId="49" xfId="0" applyAlignment="1" applyBorder="1" applyFont="1" applyNumberFormat="1">
      <alignment horizontal="center" readingOrder="0" shrinkToFit="0" vertical="bottom" wrapText="1"/>
    </xf>
    <xf borderId="56" fillId="0" fontId="3" numFmtId="0" xfId="0" applyBorder="1" applyFont="1"/>
    <xf borderId="37" fillId="0" fontId="3" numFmtId="0" xfId="0" applyBorder="1" applyFont="1"/>
    <xf borderId="38" fillId="0" fontId="3" numFmtId="0" xfId="0" applyBorder="1" applyFont="1"/>
    <xf borderId="11" fillId="4" fontId="1" numFmtId="49" xfId="0" applyAlignment="1" applyBorder="1" applyFont="1" applyNumberFormat="1">
      <alignment horizontal="center" vertical="bottom"/>
    </xf>
    <xf borderId="25" fillId="0" fontId="1" numFmtId="49" xfId="0" applyAlignment="1" applyBorder="1" applyFont="1" applyNumberFormat="1">
      <alignment horizontal="center" readingOrder="0" shrinkToFit="0" vertical="bottom" wrapText="1"/>
    </xf>
    <xf borderId="10" fillId="7" fontId="4" numFmtId="165" xfId="0" applyBorder="1" applyFont="1" applyNumberFormat="1"/>
    <xf borderId="1" fillId="7" fontId="4" numFmtId="165" xfId="0" applyBorder="1" applyFont="1" applyNumberFormat="1"/>
    <xf borderId="54" fillId="7" fontId="1" numFmtId="0" xfId="0" applyAlignment="1" applyBorder="1" applyFont="1">
      <alignment horizontal="center" vertical="bottom"/>
    </xf>
    <xf borderId="37" fillId="7" fontId="4" numFmtId="0" xfId="0" applyAlignment="1" applyBorder="1" applyFont="1">
      <alignment vertical="bottom"/>
    </xf>
    <xf borderId="50" fillId="8" fontId="1" numFmtId="0" xfId="0" applyAlignment="1" applyBorder="1" applyFont="1">
      <alignment horizontal="center" vertical="bottom"/>
    </xf>
    <xf borderId="23" fillId="8" fontId="1" numFmtId="0" xfId="0" applyAlignment="1" applyBorder="1" applyFont="1">
      <alignment horizontal="center" readingOrder="0" vertical="bottom"/>
    </xf>
    <xf borderId="51" fillId="9" fontId="1" numFmtId="0" xfId="0" applyAlignment="1" applyBorder="1" applyFont="1">
      <alignment horizontal="center" readingOrder="0" vertical="bottom"/>
    </xf>
    <xf borderId="11" fillId="4" fontId="1" numFmtId="49" xfId="0" applyAlignment="1" applyBorder="1" applyFont="1" applyNumberFormat="1">
      <alignment horizontal="center"/>
    </xf>
    <xf borderId="25" fillId="0" fontId="4" numFmtId="49" xfId="0" applyAlignment="1" applyBorder="1" applyFont="1" applyNumberFormat="1">
      <alignment vertical="bottom"/>
    </xf>
    <xf borderId="0" fillId="2" fontId="4" numFmtId="0" xfId="0" applyAlignment="1" applyFont="1">
      <alignment vertical="bottom"/>
    </xf>
    <xf borderId="53" fillId="8" fontId="1" numFmtId="0" xfId="0" applyAlignment="1" applyBorder="1" applyFont="1">
      <alignment horizontal="center" vertical="bottom"/>
    </xf>
    <xf borderId="51" fillId="8" fontId="1" numFmtId="0" xfId="0" applyAlignment="1" applyBorder="1" applyFont="1">
      <alignment horizontal="center" readingOrder="0" vertical="bottom"/>
    </xf>
    <xf borderId="1" fillId="2" fontId="4" numFmtId="0" xfId="0" applyAlignment="1" applyBorder="1" applyFont="1">
      <alignment vertical="bottom"/>
    </xf>
    <xf borderId="7" fillId="7" fontId="4" numFmtId="165" xfId="0" applyBorder="1" applyFont="1" applyNumberFormat="1"/>
    <xf borderId="25" fillId="7" fontId="4" numFmtId="165" xfId="0" applyBorder="1" applyFont="1" applyNumberFormat="1"/>
    <xf borderId="0" fillId="7" fontId="4" numFmtId="165" xfId="0" applyFont="1" applyNumberFormat="1"/>
    <xf borderId="51" fillId="2" fontId="1" numFmtId="0" xfId="0" applyAlignment="1" applyBorder="1" applyFont="1">
      <alignment horizontal="center" readingOrder="0" vertical="bottom"/>
    </xf>
    <xf borderId="7" fillId="7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18" fillId="8" fontId="1" numFmtId="0" xfId="0" applyAlignment="1" applyBorder="1" applyFont="1">
      <alignment horizontal="center" readingOrder="0" vertical="bottom"/>
    </xf>
    <xf borderId="7" fillId="4" fontId="1" numFmtId="49" xfId="0" applyAlignment="1" applyBorder="1" applyFont="1" applyNumberFormat="1">
      <alignment horizontal="center" vertical="bottom"/>
    </xf>
    <xf borderId="25" fillId="2" fontId="4" numFmtId="0" xfId="0" applyAlignment="1" applyBorder="1" applyFont="1">
      <alignment vertical="bottom"/>
    </xf>
    <xf borderId="25" fillId="8" fontId="1" numFmtId="0" xfId="0" applyAlignment="1" applyBorder="1" applyFont="1">
      <alignment horizontal="center" readingOrder="0" shrinkToFit="0" vertical="bottom" wrapText="1"/>
    </xf>
    <xf borderId="57" fillId="4" fontId="1" numFmtId="49" xfId="0" applyAlignment="1" applyBorder="1" applyFont="1" applyNumberFormat="1">
      <alignment horizontal="center" vertical="bottom"/>
    </xf>
    <xf borderId="58" fillId="4" fontId="1" numFmtId="49" xfId="0" applyAlignment="1" applyBorder="1" applyFont="1" applyNumberFormat="1">
      <alignment horizontal="center" vertical="bottom"/>
    </xf>
    <xf borderId="59" fillId="2" fontId="4" numFmtId="0" xfId="0" applyAlignment="1" applyBorder="1" applyFont="1">
      <alignment vertical="bottom"/>
    </xf>
    <xf borderId="60" fillId="2" fontId="4" numFmtId="0" xfId="0" applyAlignment="1" applyBorder="1" applyFont="1">
      <alignment vertical="bottom"/>
    </xf>
    <xf borderId="61" fillId="7" fontId="4" numFmtId="49" xfId="0" applyBorder="1" applyFont="1" applyNumberFormat="1"/>
    <xf borderId="62" fillId="7" fontId="4" numFmtId="49" xfId="0" applyBorder="1" applyFont="1" applyNumberFormat="1"/>
    <xf borderId="59" fillId="7" fontId="4" numFmtId="49" xfId="0" applyBorder="1" applyFont="1" applyNumberFormat="1"/>
    <xf borderId="60" fillId="7" fontId="4" numFmtId="49" xfId="0" applyBorder="1" applyFont="1" applyNumberFormat="1"/>
    <xf borderId="63" fillId="3" fontId="16" numFmtId="0" xfId="0" applyAlignment="1" applyBorder="1" applyFont="1">
      <alignment horizontal="center" shrinkToFit="0" vertical="center" wrapText="1"/>
    </xf>
    <xf borderId="52" fillId="0" fontId="3" numFmtId="0" xfId="0" applyBorder="1" applyFont="1"/>
    <xf borderId="64" fillId="3" fontId="16" numFmtId="0" xfId="0" applyAlignment="1" applyBorder="1" applyFont="1">
      <alignment horizontal="center" vertical="center"/>
    </xf>
    <xf borderId="53" fillId="8" fontId="4" numFmtId="0" xfId="0" applyAlignment="1" applyBorder="1" applyFont="1">
      <alignment vertical="bottom"/>
    </xf>
    <xf borderId="25" fillId="8" fontId="4" numFmtId="0" xfId="0" applyAlignment="1" applyBorder="1" applyFont="1">
      <alignment vertical="bottom"/>
    </xf>
    <xf borderId="0" fillId="0" fontId="4" numFmtId="0" xfId="0" applyAlignment="1" applyFont="1">
      <alignment horizontal="right" shrinkToFit="0" wrapText="1"/>
    </xf>
    <xf borderId="0" fillId="2" fontId="4" numFmtId="0" xfId="0" applyAlignment="1" applyFont="1">
      <alignment horizontal="center"/>
    </xf>
    <xf borderId="0" fillId="2" fontId="4" numFmtId="49" xfId="0" applyAlignment="1" applyFont="1" applyNumberFormat="1">
      <alignment horizontal="center" vertical="bottom"/>
    </xf>
    <xf borderId="65" fillId="0" fontId="3" numFmtId="0" xfId="0" applyBorder="1" applyFont="1"/>
    <xf borderId="31" fillId="7" fontId="4" numFmtId="0" xfId="0" applyAlignment="1" applyBorder="1" applyFont="1">
      <alignment vertical="bottom"/>
    </xf>
    <xf borderId="7" fillId="7" fontId="1" numFmtId="0" xfId="0" applyAlignment="1" applyBorder="1" applyFont="1">
      <alignment horizontal="center" readingOrder="0" shrinkToFit="0" wrapText="1"/>
    </xf>
    <xf borderId="1" fillId="2" fontId="17" numFmtId="0" xfId="0" applyAlignment="1" applyBorder="1" applyFont="1">
      <alignment vertical="bottom"/>
    </xf>
    <xf borderId="10" fillId="9" fontId="1" numFmtId="0" xfId="0" applyAlignment="1" applyBorder="1" applyFont="1">
      <alignment horizontal="center" vertical="bottom"/>
    </xf>
    <xf borderId="1" fillId="9" fontId="1" numFmtId="0" xfId="0" applyAlignment="1" applyBorder="1" applyFont="1">
      <alignment horizontal="center" shrinkToFit="0" vertical="bottom" wrapText="1"/>
    </xf>
    <xf borderId="0" fillId="0" fontId="18" numFmtId="0" xfId="0" applyFont="1"/>
    <xf borderId="1" fillId="2" fontId="17" numFmtId="0" xfId="0" applyAlignment="1" applyBorder="1" applyFont="1">
      <alignment readingOrder="0" vertical="bottom"/>
    </xf>
    <xf borderId="10" fillId="9" fontId="4" numFmtId="0" xfId="0" applyAlignment="1" applyBorder="1" applyFont="1">
      <alignment vertical="bottom"/>
    </xf>
    <xf borderId="51" fillId="2" fontId="4" numFmtId="0" xfId="0" applyAlignment="1" applyBorder="1" applyFont="1">
      <alignment readingOrder="0" vertical="bottom"/>
    </xf>
    <xf borderId="25" fillId="2" fontId="4" numFmtId="0" xfId="0" applyBorder="1" applyFont="1"/>
    <xf borderId="66" fillId="2" fontId="4" numFmtId="0" xfId="0" applyAlignment="1" applyBorder="1" applyFont="1">
      <alignment vertical="bottom"/>
    </xf>
    <xf borderId="66" fillId="2" fontId="4" numFmtId="0" xfId="0" applyBorder="1" applyFont="1"/>
    <xf borderId="66" fillId="2" fontId="4" numFmtId="0" xfId="0" applyAlignment="1" applyBorder="1" applyFont="1">
      <alignment vertical="bottom"/>
    </xf>
    <xf borderId="67" fillId="2" fontId="4" numFmtId="0" xfId="0" applyAlignment="1" applyBorder="1" applyFont="1">
      <alignment vertical="bottom"/>
    </xf>
    <xf borderId="51" fillId="2" fontId="4" numFmtId="0" xfId="0" applyAlignment="1" applyBorder="1" applyFont="1">
      <alignment vertical="bottom"/>
    </xf>
    <xf borderId="10" fillId="2" fontId="4" numFmtId="0" xfId="0" applyAlignment="1" applyBorder="1" applyFont="1">
      <alignment vertical="bottom"/>
    </xf>
    <xf borderId="66" fillId="2" fontId="4" numFmtId="0" xfId="0" applyAlignment="1" applyBorder="1" applyFont="1">
      <alignment horizontal="center" vertical="bottom"/>
    </xf>
    <xf borderId="7" fillId="2" fontId="4" numFmtId="0" xfId="0" applyAlignment="1" applyBorder="1" applyFont="1">
      <alignment vertical="bottom"/>
    </xf>
    <xf borderId="26" fillId="2" fontId="4" numFmtId="0" xfId="0" applyAlignment="1" applyBorder="1" applyFont="1">
      <alignment vertical="bottom"/>
    </xf>
    <xf borderId="1" fillId="2" fontId="1" numFmtId="0" xfId="0" applyAlignment="1" applyBorder="1" applyFont="1">
      <alignment horizontal="center" vertical="bottom"/>
    </xf>
    <xf borderId="15" fillId="7" fontId="19" numFmtId="0" xfId="0" applyAlignment="1" applyBorder="1" applyFont="1">
      <alignment horizontal="center" vertical="bottom"/>
    </xf>
    <xf borderId="37" fillId="7" fontId="4" numFmtId="0" xfId="0" applyBorder="1" applyFont="1"/>
    <xf borderId="38" fillId="7" fontId="4" numFmtId="0" xfId="0" applyBorder="1" applyFont="1"/>
    <xf borderId="0" fillId="7" fontId="4" numFmtId="0" xfId="0" applyFont="1"/>
    <xf borderId="0" fillId="7" fontId="20" numFmtId="0" xfId="0" applyFont="1"/>
    <xf borderId="0" fillId="7" fontId="4" numFmtId="0" xfId="0" applyAlignment="1" applyFont="1">
      <alignment horizontal="right" shrinkToFit="0" wrapText="1"/>
    </xf>
    <xf borderId="0" fillId="7" fontId="4" numFmtId="0" xfId="0" applyAlignment="1" applyFont="1">
      <alignment vertical="bottom"/>
    </xf>
    <xf borderId="0" fillId="7" fontId="4" numFmtId="0" xfId="0" applyAlignment="1" applyFont="1">
      <alignment horizontal="center" vertical="bottom"/>
    </xf>
    <xf borderId="0" fillId="7" fontId="20" numFmtId="0" xfId="0" applyAlignment="1" applyFont="1">
      <alignment vertical="bottom"/>
    </xf>
    <xf borderId="0" fillId="2" fontId="20" numFmtId="0" xfId="0" applyAlignment="1" applyFont="1">
      <alignment vertical="bottom"/>
    </xf>
    <xf borderId="0" fillId="0" fontId="21" numFmtId="0" xfId="0" applyAlignment="1" applyFont="1">
      <alignment horizontal="center" vertical="bottom"/>
    </xf>
    <xf borderId="0" fillId="0" fontId="21" numFmtId="49" xfId="0" applyAlignment="1" applyFont="1" applyNumberFormat="1">
      <alignment horizontal="center" readingOrder="0" vertical="bottom"/>
    </xf>
    <xf borderId="0" fillId="0" fontId="20" numFmtId="49" xfId="0" applyAlignment="1" applyFont="1" applyNumberFormat="1">
      <alignment vertical="bottom"/>
    </xf>
    <xf borderId="68" fillId="2" fontId="20" numFmtId="0" xfId="0" applyAlignment="1" applyBorder="1" applyFont="1">
      <alignment vertical="bottom"/>
    </xf>
    <xf borderId="10" fillId="17" fontId="22" numFmtId="167" xfId="0" applyAlignment="1" applyBorder="1" applyFill="1" applyFont="1" applyNumberFormat="1">
      <alignment horizontal="center" readingOrder="0" vertical="bottom"/>
    </xf>
    <xf borderId="10" fillId="0" fontId="3" numFmtId="0" xfId="0" applyBorder="1" applyFont="1"/>
    <xf borderId="0" fillId="0" fontId="20" numFmtId="0" xfId="0" applyAlignment="1" applyFont="1">
      <alignment vertical="bottom"/>
    </xf>
    <xf borderId="13" fillId="0" fontId="20" numFmtId="0" xfId="0" applyAlignment="1" applyBorder="1" applyFont="1">
      <alignment vertical="bottom"/>
    </xf>
    <xf borderId="13" fillId="0" fontId="20" numFmtId="4" xfId="0" applyAlignment="1" applyBorder="1" applyFont="1" applyNumberFormat="1">
      <alignment vertical="bottom"/>
    </xf>
    <xf borderId="13" fillId="0" fontId="20" numFmtId="10" xfId="0" applyAlignment="1" applyBorder="1" applyFont="1" applyNumberFormat="1">
      <alignment vertical="bottom"/>
    </xf>
    <xf borderId="68" fillId="2" fontId="20" numFmtId="0" xfId="0" applyAlignment="1" applyBorder="1" applyFont="1">
      <alignment vertical="bottom"/>
    </xf>
    <xf borderId="18" fillId="18" fontId="23" numFmtId="0" xfId="0" applyAlignment="1" applyBorder="1" applyFill="1" applyFont="1">
      <alignment horizontal="center" vertical="bottom"/>
    </xf>
    <xf borderId="68" fillId="0" fontId="20" numFmtId="49" xfId="0" applyAlignment="1" applyBorder="1" applyFont="1" applyNumberFormat="1">
      <alignment vertical="bottom"/>
    </xf>
    <xf borderId="18" fillId="6" fontId="23" numFmtId="0" xfId="0" applyAlignment="1" applyBorder="1" applyFont="1">
      <alignment horizontal="center" vertical="bottom"/>
    </xf>
    <xf borderId="12" fillId="18" fontId="22" numFmtId="0" xfId="0" applyAlignment="1" applyBorder="1" applyFont="1">
      <alignment horizontal="center" vertical="bottom"/>
    </xf>
    <xf borderId="12" fillId="18" fontId="22" numFmtId="4" xfId="0" applyAlignment="1" applyBorder="1" applyFont="1" applyNumberFormat="1">
      <alignment horizontal="center" vertical="bottom"/>
    </xf>
    <xf borderId="1" fillId="18" fontId="22" numFmtId="0" xfId="0" applyAlignment="1" applyBorder="1" applyFont="1">
      <alignment horizontal="center" vertical="bottom"/>
    </xf>
    <xf borderId="1" fillId="6" fontId="22" numFmtId="0" xfId="0" applyAlignment="1" applyBorder="1" applyFont="1">
      <alignment horizontal="center" vertical="bottom"/>
    </xf>
    <xf borderId="12" fillId="6" fontId="22" numFmtId="4" xfId="0" applyAlignment="1" applyBorder="1" applyFont="1" applyNumberFormat="1">
      <alignment horizontal="center" vertical="bottom"/>
    </xf>
    <xf borderId="12" fillId="6" fontId="22" numFmtId="0" xfId="0" applyAlignment="1" applyBorder="1" applyFont="1">
      <alignment horizontal="center" vertical="bottom"/>
    </xf>
    <xf borderId="1" fillId="2" fontId="24" numFmtId="0" xfId="0" applyAlignment="1" applyBorder="1" applyFont="1">
      <alignment horizontal="center" vertical="bottom"/>
    </xf>
    <xf borderId="1" fillId="19" fontId="22" numFmtId="0" xfId="0" applyAlignment="1" applyBorder="1" applyFill="1" applyFont="1">
      <alignment horizontal="center" vertical="bottom"/>
    </xf>
    <xf borderId="68" fillId="2" fontId="22" numFmtId="4" xfId="0" applyAlignment="1" applyBorder="1" applyFont="1" applyNumberFormat="1">
      <alignment horizontal="center" vertical="bottom"/>
    </xf>
    <xf borderId="68" fillId="2" fontId="22" numFmtId="10" xfId="0" applyAlignment="1" applyBorder="1" applyFont="1" applyNumberFormat="1">
      <alignment horizontal="center" vertical="bottom"/>
    </xf>
    <xf borderId="68" fillId="2" fontId="22" numFmtId="0" xfId="0" applyAlignment="1" applyBorder="1" applyFont="1">
      <alignment horizontal="center" vertical="bottom"/>
    </xf>
    <xf borderId="1" fillId="2" fontId="24" numFmtId="49" xfId="0" applyAlignment="1" applyBorder="1" applyFont="1" applyNumberFormat="1">
      <alignment horizontal="center" vertical="bottom"/>
    </xf>
    <xf borderId="68" fillId="2" fontId="22" numFmtId="10" xfId="0" applyAlignment="1" applyBorder="1" applyFont="1" applyNumberFormat="1">
      <alignment horizontal="center" vertical="bottom"/>
    </xf>
    <xf borderId="1" fillId="19" fontId="22" numFmtId="0" xfId="0" applyAlignment="1" applyBorder="1" applyFont="1">
      <alignment horizontal="center" vertical="bottom"/>
    </xf>
    <xf borderId="68" fillId="20" fontId="22" numFmtId="4" xfId="0" applyAlignment="1" applyBorder="1" applyFill="1" applyFont="1" applyNumberFormat="1">
      <alignment horizontal="center" vertical="bottom"/>
    </xf>
    <xf borderId="68" fillId="20" fontId="22" numFmtId="10" xfId="0" applyAlignment="1" applyBorder="1" applyFont="1" applyNumberFormat="1">
      <alignment horizontal="center" vertical="bottom"/>
    </xf>
    <xf borderId="68" fillId="20" fontId="22" numFmtId="0" xfId="0" applyAlignment="1" applyBorder="1" applyFont="1">
      <alignment horizontal="center" vertical="bottom"/>
    </xf>
    <xf borderId="68" fillId="21" fontId="22" numFmtId="4" xfId="0" applyAlignment="1" applyBorder="1" applyFill="1" applyFont="1" applyNumberFormat="1">
      <alignment horizontal="center" vertical="bottom"/>
    </xf>
    <xf borderId="68" fillId="21" fontId="22" numFmtId="10" xfId="0" applyAlignment="1" applyBorder="1" applyFont="1" applyNumberFormat="1">
      <alignment horizontal="center" vertical="bottom"/>
    </xf>
    <xf borderId="68" fillId="21" fontId="22" numFmtId="10" xfId="0" applyAlignment="1" applyBorder="1" applyFont="1" applyNumberFormat="1">
      <alignment horizontal="center" vertical="bottom"/>
    </xf>
    <xf borderId="68" fillId="21" fontId="22" numFmtId="0" xfId="0" applyAlignment="1" applyBorder="1" applyFont="1">
      <alignment horizontal="center" vertical="bottom"/>
    </xf>
    <xf borderId="0" fillId="0" fontId="20" numFmtId="0" xfId="0" applyAlignment="1" applyFont="1">
      <alignment vertical="bottom"/>
    </xf>
    <xf borderId="1" fillId="22" fontId="22" numFmtId="0" xfId="0" applyAlignment="1" applyBorder="1" applyFill="1" applyFont="1">
      <alignment horizontal="center" vertical="bottom"/>
    </xf>
    <xf borderId="68" fillId="2" fontId="22" numFmtId="1" xfId="0" applyAlignment="1" applyBorder="1" applyFont="1" applyNumberFormat="1">
      <alignment horizontal="center" vertical="bottom"/>
    </xf>
    <xf borderId="69" fillId="21" fontId="22" numFmtId="4" xfId="0" applyAlignment="1" applyBorder="1" applyFont="1" applyNumberFormat="1">
      <alignment horizontal="center" vertical="bottom"/>
    </xf>
    <xf borderId="69" fillId="21" fontId="22" numFmtId="10" xfId="0" applyAlignment="1" applyBorder="1" applyFont="1" applyNumberFormat="1">
      <alignment horizontal="center" vertical="bottom"/>
    </xf>
    <xf borderId="69" fillId="21" fontId="22" numFmtId="10" xfId="0" applyAlignment="1" applyBorder="1" applyFont="1" applyNumberFormat="1">
      <alignment horizontal="center" vertical="bottom"/>
    </xf>
    <xf borderId="69" fillId="21" fontId="22" numFmtId="0" xfId="0" applyAlignment="1" applyBorder="1" applyFont="1">
      <alignment horizontal="center" vertical="bottom"/>
    </xf>
    <xf borderId="1" fillId="23" fontId="22" numFmtId="0" xfId="0" applyAlignment="1" applyBorder="1" applyFill="1" applyFont="1">
      <alignment horizontal="center" vertical="bottom"/>
    </xf>
    <xf borderId="1" fillId="0" fontId="24" numFmtId="49" xfId="0" applyAlignment="1" applyBorder="1" applyFont="1" applyNumberFormat="1">
      <alignment horizontal="center" vertical="bottom"/>
    </xf>
    <xf borderId="18" fillId="23" fontId="22" numFmtId="0" xfId="0" applyAlignment="1" applyBorder="1" applyFont="1">
      <alignment horizontal="center" vertical="bottom"/>
    </xf>
    <xf borderId="70" fillId="21" fontId="22" numFmtId="4" xfId="0" applyAlignment="1" applyBorder="1" applyFont="1" applyNumberFormat="1">
      <alignment horizontal="center" vertical="bottom"/>
    </xf>
    <xf borderId="70" fillId="21" fontId="22" numFmtId="10" xfId="0" applyAlignment="1" applyBorder="1" applyFont="1" applyNumberFormat="1">
      <alignment horizontal="center" vertical="bottom"/>
    </xf>
    <xf borderId="70" fillId="21" fontId="22" numFmtId="1" xfId="0" applyAlignment="1" applyBorder="1" applyFont="1" applyNumberFormat="1">
      <alignment horizontal="center" vertical="bottom"/>
    </xf>
    <xf borderId="23" fillId="21" fontId="22" numFmtId="4" xfId="0" applyAlignment="1" applyBorder="1" applyFont="1" applyNumberFormat="1">
      <alignment horizontal="center" vertical="bottom"/>
    </xf>
    <xf borderId="23" fillId="21" fontId="20" numFmtId="10" xfId="0" applyAlignment="1" applyBorder="1" applyFont="1" applyNumberFormat="1">
      <alignment vertical="bottom"/>
    </xf>
    <xf borderId="23" fillId="21" fontId="22" numFmtId="1" xfId="0" applyAlignment="1" applyBorder="1" applyFont="1" applyNumberFormat="1">
      <alignment horizontal="center" vertical="bottom"/>
    </xf>
    <xf borderId="18" fillId="12" fontId="23" numFmtId="0" xfId="0" applyAlignment="1" applyBorder="1" applyFont="1">
      <alignment horizontal="center" vertical="bottom"/>
    </xf>
    <xf borderId="69" fillId="12" fontId="22" numFmtId="0" xfId="0" applyAlignment="1" applyBorder="1" applyFont="1">
      <alignment horizontal="center" vertical="bottom"/>
    </xf>
    <xf borderId="68" fillId="12" fontId="22" numFmtId="4" xfId="0" applyAlignment="1" applyBorder="1" applyFont="1" applyNumberFormat="1">
      <alignment horizontal="center" vertical="bottom"/>
    </xf>
    <xf borderId="68" fillId="12" fontId="22" numFmtId="0" xfId="0" applyAlignment="1" applyBorder="1" applyFont="1">
      <alignment horizontal="center" vertical="bottom"/>
    </xf>
    <xf borderId="26" fillId="2" fontId="22" numFmtId="4" xfId="0" applyAlignment="1" applyBorder="1" applyFont="1" applyNumberFormat="1">
      <alignment horizontal="center" vertical="bottom"/>
    </xf>
    <xf borderId="26" fillId="2" fontId="22" numFmtId="10" xfId="0" applyAlignment="1" applyBorder="1" applyFont="1" applyNumberFormat="1">
      <alignment horizontal="center" vertical="bottom"/>
    </xf>
    <xf borderId="26" fillId="2" fontId="22" numFmtId="0" xfId="0" applyAlignment="1" applyBorder="1" applyFont="1">
      <alignment horizontal="center" vertical="bottom"/>
    </xf>
    <xf borderId="69" fillId="24" fontId="22" numFmtId="4" xfId="0" applyAlignment="1" applyBorder="1" applyFill="1" applyFont="1" applyNumberFormat="1">
      <alignment horizontal="center" vertical="bottom"/>
    </xf>
    <xf borderId="69" fillId="24" fontId="22" numFmtId="10" xfId="0" applyAlignment="1" applyBorder="1" applyFont="1" applyNumberFormat="1">
      <alignment horizontal="center" vertical="bottom"/>
    </xf>
    <xf borderId="69" fillId="24" fontId="22" numFmtId="0" xfId="0" applyAlignment="1" applyBorder="1" applyFont="1">
      <alignment horizontal="center" vertical="bottom"/>
    </xf>
    <xf borderId="69" fillId="2" fontId="22" numFmtId="4" xfId="0" applyAlignment="1" applyBorder="1" applyFont="1" applyNumberFormat="1">
      <alignment horizontal="center" vertical="bottom"/>
    </xf>
    <xf borderId="69" fillId="2" fontId="22" numFmtId="10" xfId="0" applyAlignment="1" applyBorder="1" applyFont="1" applyNumberFormat="1">
      <alignment horizontal="center" vertical="bottom"/>
    </xf>
    <xf borderId="69" fillId="2" fontId="22" numFmtId="0" xfId="0" applyAlignment="1" applyBorder="1" applyFont="1">
      <alignment horizontal="center" vertical="bottom"/>
    </xf>
    <xf borderId="18" fillId="23" fontId="22" numFmtId="0" xfId="0" applyAlignment="1" applyBorder="1" applyFont="1">
      <alignment horizontal="center" vertical="bottom"/>
    </xf>
    <xf borderId="70" fillId="24" fontId="22" numFmtId="4" xfId="0" applyAlignment="1" applyBorder="1" applyFont="1" applyNumberFormat="1">
      <alignment horizontal="center" vertical="bottom"/>
    </xf>
    <xf borderId="70" fillId="24" fontId="22" numFmtId="10" xfId="0" applyAlignment="1" applyBorder="1" applyFont="1" applyNumberFormat="1">
      <alignment horizontal="center" vertical="bottom"/>
    </xf>
    <xf borderId="70" fillId="2" fontId="22" numFmtId="4" xfId="0" applyAlignment="1" applyBorder="1" applyFont="1" applyNumberFormat="1">
      <alignment horizontal="center" vertical="bottom"/>
    </xf>
    <xf borderId="24" fillId="2" fontId="22" numFmtId="4" xfId="0" applyAlignment="1" applyBorder="1" applyFont="1" applyNumberFormat="1">
      <alignment horizontal="center" vertical="bottom"/>
    </xf>
    <xf borderId="23" fillId="2" fontId="22" numFmtId="10" xfId="0" applyAlignment="1" applyBorder="1" applyFont="1" applyNumberFormat="1">
      <alignment horizontal="center" vertical="bottom"/>
    </xf>
    <xf borderId="23" fillId="2" fontId="22" numFmtId="0" xfId="0" applyAlignment="1" applyBorder="1" applyFont="1">
      <alignment horizontal="center" vertical="bottom"/>
    </xf>
    <xf borderId="0" fillId="2" fontId="20" numFmtId="49" xfId="0" applyAlignment="1" applyFont="1" applyNumberFormat="1">
      <alignment vertical="bottom"/>
    </xf>
    <xf borderId="0" fillId="2" fontId="20" numFmtId="10" xfId="0" applyAlignment="1" applyFont="1" applyNumberFormat="1">
      <alignment vertical="bottom"/>
    </xf>
    <xf borderId="0" fillId="2" fontId="20" numFmtId="0" xfId="0" applyAlignment="1" applyFont="1">
      <alignment vertical="bottom"/>
    </xf>
    <xf borderId="13" fillId="2" fontId="20" numFmtId="0" xfId="0" applyAlignment="1" applyBorder="1" applyFont="1">
      <alignment vertical="bottom"/>
    </xf>
    <xf borderId="13" fillId="2" fontId="20" numFmtId="4" xfId="0" applyAlignment="1" applyBorder="1" applyFont="1" applyNumberFormat="1">
      <alignment vertical="bottom"/>
    </xf>
    <xf borderId="24" fillId="8" fontId="23" numFmtId="4" xfId="0" applyAlignment="1" applyBorder="1" applyFont="1" applyNumberFormat="1">
      <alignment horizontal="center" vertical="bottom"/>
    </xf>
    <xf borderId="13" fillId="0" fontId="3" numFmtId="0" xfId="0" applyBorder="1" applyFont="1"/>
    <xf borderId="69" fillId="8" fontId="22" numFmtId="4" xfId="0" applyAlignment="1" applyBorder="1" applyFont="1" applyNumberFormat="1">
      <alignment horizontal="center" vertical="bottom"/>
    </xf>
    <xf borderId="68" fillId="8" fontId="22" numFmtId="4" xfId="0" applyAlignment="1" applyBorder="1" applyFont="1" applyNumberFormat="1">
      <alignment horizontal="center" vertical="bottom"/>
    </xf>
    <xf borderId="68" fillId="8" fontId="22" numFmtId="0" xfId="0" applyAlignment="1" applyBorder="1" applyFont="1">
      <alignment horizontal="center" vertical="bottom"/>
    </xf>
    <xf borderId="1" fillId="19" fontId="22" numFmtId="4" xfId="0" applyAlignment="1" applyBorder="1" applyFont="1" applyNumberFormat="1">
      <alignment horizontal="center" vertical="bottom"/>
    </xf>
    <xf borderId="26" fillId="2" fontId="25" numFmtId="10" xfId="0" applyAlignment="1" applyBorder="1" applyFont="1" applyNumberFormat="1">
      <alignment horizontal="center" vertical="bottom"/>
    </xf>
    <xf borderId="18" fillId="22" fontId="22" numFmtId="4" xfId="0" applyAlignment="1" applyBorder="1" applyFont="1" applyNumberFormat="1">
      <alignment horizontal="center" vertical="bottom"/>
    </xf>
    <xf borderId="70" fillId="25" fontId="22" numFmtId="4" xfId="0" applyAlignment="1" applyBorder="1" applyFill="1" applyFont="1" applyNumberFormat="1">
      <alignment horizontal="center" vertical="bottom"/>
    </xf>
    <xf borderId="70" fillId="25" fontId="22" numFmtId="10" xfId="0" applyAlignment="1" applyBorder="1" applyFont="1" applyNumberFormat="1">
      <alignment horizontal="center" vertical="bottom"/>
    </xf>
    <xf borderId="70" fillId="25" fontId="26" numFmtId="10" xfId="0" applyAlignment="1" applyBorder="1" applyFont="1" applyNumberFormat="1">
      <alignment horizontal="center" vertical="bottom"/>
    </xf>
    <xf borderId="70" fillId="25" fontId="25" numFmtId="10" xfId="0" applyAlignment="1" applyBorder="1" applyFont="1" applyNumberFormat="1">
      <alignment horizontal="center" vertical="bottom"/>
    </xf>
    <xf borderId="69" fillId="25" fontId="22" numFmtId="0" xfId="0" applyAlignment="1" applyBorder="1" applyFont="1">
      <alignment horizontal="center" vertical="bottom"/>
    </xf>
    <xf borderId="1" fillId="22" fontId="22" numFmtId="0" xfId="0" applyAlignment="1" applyBorder="1" applyFont="1">
      <alignment horizontal="center"/>
    </xf>
    <xf borderId="69" fillId="2" fontId="25" numFmtId="10" xfId="0" applyAlignment="1" applyBorder="1" applyFont="1" applyNumberFormat="1">
      <alignment horizontal="center" vertical="bottom"/>
    </xf>
    <xf borderId="69" fillId="25" fontId="22" numFmtId="4" xfId="0" applyAlignment="1" applyBorder="1" applyFont="1" applyNumberFormat="1">
      <alignment horizontal="center" vertical="bottom"/>
    </xf>
    <xf borderId="69" fillId="25" fontId="22" numFmtId="10" xfId="0" applyAlignment="1" applyBorder="1" applyFont="1" applyNumberFormat="1">
      <alignment horizontal="center" vertical="bottom"/>
    </xf>
    <xf borderId="69" fillId="25" fontId="26" numFmtId="10" xfId="0" applyAlignment="1" applyBorder="1" applyFont="1" applyNumberFormat="1">
      <alignment horizontal="center" vertical="bottom"/>
    </xf>
    <xf borderId="69" fillId="25" fontId="25" numFmtId="10" xfId="0" applyAlignment="1" applyBorder="1" applyFont="1" applyNumberFormat="1">
      <alignment horizontal="center" vertical="bottom"/>
    </xf>
    <xf borderId="1" fillId="23" fontId="22" numFmtId="0" xfId="0" applyAlignment="1" applyBorder="1" applyFont="1">
      <alignment horizontal="center" vertical="bottom"/>
    </xf>
    <xf borderId="69" fillId="20" fontId="22" numFmtId="4" xfId="0" applyAlignment="1" applyBorder="1" applyFont="1" applyNumberFormat="1">
      <alignment horizontal="center" vertical="bottom"/>
    </xf>
    <xf borderId="69" fillId="20" fontId="22" numFmtId="10" xfId="0" applyAlignment="1" applyBorder="1" applyFont="1" applyNumberFormat="1">
      <alignment horizontal="center" vertical="bottom"/>
    </xf>
    <xf borderId="1" fillId="23" fontId="22" numFmtId="0" xfId="0" applyAlignment="1" applyBorder="1" applyFont="1">
      <alignment horizontal="center"/>
    </xf>
    <xf borderId="69" fillId="2" fontId="22" numFmtId="49" xfId="0" applyAlignment="1" applyBorder="1" applyFont="1" applyNumberFormat="1">
      <alignment horizontal="center" vertical="bottom"/>
    </xf>
    <xf borderId="1" fillId="23" fontId="20" numFmtId="0" xfId="0" applyAlignment="1" applyBorder="1" applyFont="1">
      <alignment vertical="bottom"/>
    </xf>
    <xf borderId="69" fillId="20" fontId="20" numFmtId="4" xfId="0" applyAlignment="1" applyBorder="1" applyFont="1" applyNumberFormat="1">
      <alignment vertical="bottom"/>
    </xf>
    <xf borderId="69" fillId="20" fontId="20" numFmtId="10" xfId="0" applyAlignment="1" applyBorder="1" applyFont="1" applyNumberFormat="1">
      <alignment vertical="bottom"/>
    </xf>
    <xf borderId="68" fillId="20" fontId="20" numFmtId="0" xfId="0" applyAlignment="1" applyBorder="1" applyFont="1">
      <alignment vertical="bottom"/>
    </xf>
    <xf borderId="1" fillId="23" fontId="20" numFmtId="0" xfId="0" applyBorder="1" applyFont="1"/>
    <xf borderId="23" fillId="2" fontId="20" numFmtId="4" xfId="0" applyAlignment="1" applyBorder="1" applyFont="1" applyNumberFormat="1">
      <alignment vertical="bottom"/>
    </xf>
    <xf borderId="23" fillId="2" fontId="20" numFmtId="10" xfId="0" applyAlignment="1" applyBorder="1" applyFont="1" applyNumberFormat="1">
      <alignment vertical="bottom"/>
    </xf>
    <xf borderId="69" fillId="2" fontId="20" numFmtId="4" xfId="0" applyAlignment="1" applyBorder="1" applyFont="1" applyNumberFormat="1">
      <alignment vertical="bottom"/>
    </xf>
    <xf borderId="69" fillId="2" fontId="20" numFmtId="10" xfId="0" applyAlignment="1" applyBorder="1" applyFont="1" applyNumberFormat="1">
      <alignment vertical="bottom"/>
    </xf>
    <xf borderId="0" fillId="0" fontId="20" numFmtId="10" xfId="0" applyAlignment="1" applyFont="1" applyNumberFormat="1">
      <alignment vertical="bottom"/>
    </xf>
    <xf borderId="0" fillId="0" fontId="20" numFmtId="4" xfId="0" applyAlignment="1" applyFont="1" applyNumberFormat="1">
      <alignment vertical="bottom"/>
    </xf>
    <xf borderId="18" fillId="23" fontId="20" numFmtId="0" xfId="0" applyAlignment="1" applyBorder="1" applyFont="1">
      <alignment vertical="bottom"/>
    </xf>
    <xf borderId="70" fillId="20" fontId="20" numFmtId="4" xfId="0" applyAlignment="1" applyBorder="1" applyFont="1" applyNumberFormat="1">
      <alignment vertical="bottom"/>
    </xf>
    <xf borderId="70" fillId="20" fontId="20" numFmtId="10" xfId="0" applyAlignment="1" applyBorder="1" applyFont="1" applyNumberFormat="1">
      <alignment vertical="bottom"/>
    </xf>
    <xf borderId="1" fillId="23" fontId="20" numFmtId="0" xfId="0" applyAlignment="1" applyBorder="1" applyFont="1">
      <alignment vertical="bottom"/>
    </xf>
    <xf borderId="18" fillId="23" fontId="20" numFmtId="49" xfId="0" applyAlignment="1" applyBorder="1" applyFont="1" applyNumberFormat="1">
      <alignment vertical="bottom"/>
    </xf>
    <xf borderId="69" fillId="20" fontId="20" numFmtId="49" xfId="0" applyAlignment="1" applyBorder="1" applyFont="1" applyNumberFormat="1">
      <alignment vertical="bottom"/>
    </xf>
    <xf borderId="68" fillId="20" fontId="20" numFmtId="0" xfId="0" applyAlignment="1" applyBorder="1" applyFont="1">
      <alignment vertical="bottom"/>
    </xf>
    <xf borderId="1" fillId="23" fontId="20" numFmtId="49" xfId="0" applyAlignment="1" applyBorder="1" applyFont="1" applyNumberFormat="1">
      <alignment vertical="bottom"/>
    </xf>
    <xf borderId="68" fillId="2" fontId="20" numFmtId="4" xfId="0" applyAlignment="1" applyBorder="1" applyFont="1" applyNumberFormat="1">
      <alignment vertical="bottom"/>
    </xf>
    <xf borderId="69" fillId="2" fontId="20" numFmtId="49" xfId="0" applyAlignment="1" applyBorder="1" applyFont="1" applyNumberFormat="1">
      <alignment vertical="bottom"/>
    </xf>
    <xf borderId="12" fillId="20" fontId="20" numFmtId="4" xfId="0" applyAlignment="1" applyBorder="1" applyFont="1" applyNumberFormat="1">
      <alignment vertical="bottom"/>
    </xf>
    <xf borderId="12" fillId="20" fontId="20" numFmtId="49" xfId="0" applyAlignment="1" applyBorder="1" applyFont="1" applyNumberFormat="1">
      <alignment vertical="bottom"/>
    </xf>
    <xf borderId="12" fillId="20" fontId="20" numFmtId="0" xfId="0" applyAlignment="1" applyBorder="1" applyFont="1">
      <alignment vertical="bottom"/>
    </xf>
    <xf borderId="0" fillId="2" fontId="22" numFmtId="0" xfId="0" applyFont="1"/>
    <xf borderId="0" fillId="0" fontId="23" numFmtId="0" xfId="0" applyAlignment="1" applyFont="1">
      <alignment horizontal="center" readingOrder="0"/>
    </xf>
    <xf borderId="0" fillId="0" fontId="23" numFmtId="0" xfId="0" applyAlignment="1" applyFont="1">
      <alignment horizontal="center"/>
    </xf>
    <xf borderId="0" fillId="0" fontId="22" numFmtId="0" xfId="0" applyAlignment="1" applyFont="1">
      <alignment vertical="bottom"/>
    </xf>
    <xf borderId="0" fillId="2" fontId="22" numFmtId="0" xfId="0" applyAlignment="1" applyFont="1">
      <alignment vertical="bottom"/>
    </xf>
    <xf borderId="14" fillId="26" fontId="27" numFmtId="0" xfId="0" applyAlignment="1" applyBorder="1" applyFill="1" applyFont="1">
      <alignment horizontal="center" vertical="bottom"/>
    </xf>
    <xf borderId="8" fillId="26" fontId="22" numFmtId="0" xfId="0" applyAlignment="1" applyBorder="1" applyFont="1">
      <alignment vertical="bottom"/>
    </xf>
    <xf borderId="10" fillId="26" fontId="27" numFmtId="0" xfId="0" applyAlignment="1" applyBorder="1" applyFont="1">
      <alignment horizontal="center" shrinkToFit="0" vertical="bottom" wrapText="0"/>
    </xf>
    <xf borderId="10" fillId="26" fontId="27" numFmtId="0" xfId="0" applyAlignment="1" applyBorder="1" applyFont="1">
      <alignment horizontal="center" vertical="bottom"/>
    </xf>
    <xf borderId="7" fillId="26" fontId="27" numFmtId="0" xfId="0" applyAlignment="1" applyBorder="1" applyFont="1">
      <alignment horizontal="center" vertical="bottom"/>
    </xf>
    <xf borderId="0" fillId="0" fontId="22" numFmtId="0" xfId="0" applyAlignment="1" applyFont="1">
      <alignment vertical="bottom"/>
    </xf>
    <xf borderId="18" fillId="2" fontId="28" numFmtId="0" xfId="0" applyAlignment="1" applyBorder="1" applyFont="1">
      <alignment horizontal="center" readingOrder="0" vertical="center"/>
    </xf>
    <xf borderId="70" fillId="2" fontId="9" numFmtId="0" xfId="0" applyAlignment="1" applyBorder="1" applyFont="1">
      <alignment readingOrder="0" vertical="bottom"/>
    </xf>
    <xf borderId="0" fillId="2" fontId="9" numFmtId="0" xfId="0" applyAlignment="1" applyFont="1">
      <alignment readingOrder="0" vertical="bottom"/>
    </xf>
    <xf borderId="1" fillId="2" fontId="9" numFmtId="0" xfId="0" applyAlignment="1" applyBorder="1" applyFont="1">
      <alignment horizontal="center" readingOrder="0" vertical="bottom"/>
    </xf>
    <xf borderId="1" fillId="10" fontId="1" numFmtId="0" xfId="0" applyAlignment="1" applyBorder="1" applyFont="1">
      <alignment horizontal="center" readingOrder="0" vertical="bottom"/>
    </xf>
    <xf quotePrefix="1" borderId="1" fillId="10" fontId="1" numFmtId="0" xfId="0" applyAlignment="1" applyBorder="1" applyFont="1">
      <alignment horizontal="center" readingOrder="0" vertical="bottom"/>
    </xf>
    <xf borderId="70" fillId="2" fontId="9" numFmtId="0" xfId="0" applyAlignment="1" applyBorder="1" applyFont="1">
      <alignment readingOrder="0" shrinkToFit="0" vertical="bottom" wrapText="0"/>
    </xf>
    <xf borderId="0" fillId="2" fontId="9" numFmtId="0" xfId="0" applyAlignment="1" applyFont="1">
      <alignment vertical="bottom"/>
    </xf>
    <xf borderId="68" fillId="2" fontId="9" numFmtId="0" xfId="0" applyAlignment="1" applyBorder="1" applyFont="1">
      <alignment vertical="bottom"/>
    </xf>
    <xf borderId="29" fillId="2" fontId="9" numFmtId="0" xfId="0" applyAlignment="1" applyBorder="1" applyFont="1">
      <alignment horizontal="center" readingOrder="0" vertical="bottom"/>
    </xf>
    <xf borderId="26" fillId="2" fontId="9" numFmtId="0" xfId="0" applyAlignment="1" applyBorder="1" applyFont="1">
      <alignment horizontal="center" readingOrder="0" vertical="bottom"/>
    </xf>
    <xf borderId="26" fillId="9" fontId="1" numFmtId="0" xfId="0" applyAlignment="1" applyBorder="1" applyFont="1">
      <alignment horizontal="center" readingOrder="0" vertical="bottom"/>
    </xf>
    <xf borderId="1" fillId="2" fontId="28" numFmtId="0" xfId="0" applyAlignment="1" applyBorder="1" applyFont="1">
      <alignment horizontal="center" readingOrder="0" vertical="center"/>
    </xf>
    <xf borderId="24" fillId="2" fontId="9" numFmtId="0" xfId="0" applyAlignment="1" applyBorder="1" applyFont="1">
      <alignment readingOrder="0" vertical="bottom"/>
    </xf>
    <xf borderId="0" fillId="2" fontId="22" numFmtId="0" xfId="0" applyAlignment="1" applyFont="1">
      <alignment vertical="bottom"/>
    </xf>
    <xf borderId="70" fillId="26" fontId="27" numFmtId="0" xfId="0" applyAlignment="1" applyBorder="1" applyFont="1">
      <alignment horizontal="center" shrinkToFit="0" vertical="bottom" wrapText="0"/>
    </xf>
    <xf borderId="0" fillId="26" fontId="22" numFmtId="0" xfId="0" applyAlignment="1" applyFont="1">
      <alignment vertical="bottom"/>
    </xf>
    <xf borderId="0" fillId="26" fontId="27" numFmtId="0" xfId="0" applyAlignment="1" applyFont="1">
      <alignment horizontal="center" shrinkToFit="0" vertical="bottom" wrapText="0"/>
    </xf>
    <xf borderId="0" fillId="26" fontId="27" numFmtId="0" xfId="0" applyAlignment="1" applyFont="1">
      <alignment horizontal="center" vertical="bottom"/>
    </xf>
    <xf borderId="68" fillId="26" fontId="27" numFmtId="0" xfId="0" applyAlignment="1" applyBorder="1" applyFont="1">
      <alignment horizontal="center" vertical="bottom"/>
    </xf>
    <xf borderId="1" fillId="2" fontId="22" numFmtId="0" xfId="0" applyAlignment="1" applyBorder="1" applyFont="1">
      <alignment readingOrder="0" shrinkToFit="0" vertical="bottom" wrapText="0"/>
    </xf>
    <xf borderId="1" fillId="2" fontId="22" numFmtId="0" xfId="0" applyAlignment="1" applyBorder="1" applyFont="1">
      <alignment vertical="bottom"/>
    </xf>
    <xf borderId="1" fillId="2" fontId="22" numFmtId="0" xfId="0" applyAlignment="1" applyBorder="1" applyFont="1">
      <alignment horizontal="center" readingOrder="0" vertical="bottom"/>
    </xf>
    <xf borderId="1" fillId="9" fontId="29" numFmtId="0" xfId="0" applyAlignment="1" applyBorder="1" applyFont="1">
      <alignment horizontal="center" readingOrder="0" vertical="bottom"/>
    </xf>
    <xf quotePrefix="1" borderId="1" fillId="10" fontId="29" numFmtId="0" xfId="0" applyAlignment="1" applyBorder="1" applyFont="1">
      <alignment horizontal="center" readingOrder="0" vertical="bottom"/>
    </xf>
    <xf borderId="0" fillId="2" fontId="22" numFmtId="0" xfId="0" applyAlignment="1" applyFont="1">
      <alignment shrinkToFit="0" vertical="bottom" wrapText="0"/>
    </xf>
    <xf borderId="0" fillId="2" fontId="22" numFmtId="0" xfId="0" applyAlignment="1" applyFont="1">
      <alignment horizontal="center" vertical="bottom"/>
    </xf>
    <xf borderId="0" fillId="2" fontId="22" numFmtId="0" xfId="0" applyAlignment="1" applyFont="1">
      <alignment vertical="bottom"/>
    </xf>
    <xf borderId="0" fillId="2" fontId="24" numFmtId="0" xfId="0" applyAlignment="1" applyFont="1">
      <alignment horizontal="center" readingOrder="0" vertical="bottom"/>
    </xf>
    <xf borderId="0" fillId="2" fontId="24" numFmtId="0" xfId="0" applyAlignment="1" applyFont="1">
      <alignment horizontal="center" readingOrder="0" shrinkToFit="0" vertical="center" wrapText="0"/>
    </xf>
    <xf borderId="18" fillId="26" fontId="30" numFmtId="0" xfId="0" applyAlignment="1" applyBorder="1" applyFont="1">
      <alignment horizontal="center" vertical="bottom"/>
    </xf>
    <xf borderId="10" fillId="26" fontId="22" numFmtId="0" xfId="0" applyAlignment="1" applyBorder="1" applyFont="1">
      <alignment vertical="bottom"/>
    </xf>
    <xf borderId="10" fillId="26" fontId="30" numFmtId="0" xfId="0" applyAlignment="1" applyBorder="1" applyFont="1">
      <alignment horizontal="center" vertical="bottom"/>
    </xf>
    <xf borderId="7" fillId="26" fontId="30" numFmtId="0" xfId="0" applyAlignment="1" applyBorder="1" applyFont="1">
      <alignment horizontal="center" vertical="bottom"/>
    </xf>
    <xf borderId="1" fillId="2" fontId="28" numFmtId="0" xfId="0" applyAlignment="1" applyBorder="1" applyFont="1">
      <alignment horizontal="center" vertical="bottom"/>
    </xf>
    <xf borderId="24" fillId="2" fontId="22" numFmtId="0" xfId="0" applyAlignment="1" applyBorder="1" applyFont="1">
      <alignment readingOrder="0" vertical="bottom"/>
    </xf>
    <xf borderId="12" fillId="2" fontId="22" numFmtId="0" xfId="0" applyAlignment="1" applyBorder="1" applyFont="1">
      <alignment vertical="bottom"/>
    </xf>
    <xf borderId="1" fillId="10" fontId="31" numFmtId="0" xfId="0" applyAlignment="1" applyBorder="1" applyFont="1">
      <alignment horizontal="center" readingOrder="0" vertical="bottom"/>
    </xf>
    <xf quotePrefix="1" borderId="1" fillId="10" fontId="31" numFmtId="0" xfId="0" applyAlignment="1" applyBorder="1" applyFont="1">
      <alignment horizontal="center" readingOrder="0" vertical="bottom"/>
    </xf>
    <xf borderId="1" fillId="9" fontId="31" numFmtId="0" xfId="0" applyAlignment="1" applyBorder="1" applyFont="1">
      <alignment horizontal="center" readingOrder="0" vertical="bottom"/>
    </xf>
    <xf borderId="1" fillId="6" fontId="28" numFmtId="0" xfId="0" applyAlignment="1" applyBorder="1" applyFont="1">
      <alignment horizontal="center" vertical="bottom"/>
    </xf>
    <xf borderId="24" fillId="6" fontId="22" numFmtId="0" xfId="0" applyAlignment="1" applyBorder="1" applyFont="1">
      <alignment readingOrder="0" vertical="bottom"/>
    </xf>
    <xf borderId="12" fillId="6" fontId="22" numFmtId="0" xfId="0" applyAlignment="1" applyBorder="1" applyFont="1">
      <alignment vertical="bottom"/>
    </xf>
    <xf borderId="1" fillId="6" fontId="22" numFmtId="0" xfId="0" applyAlignment="1" applyBorder="1" applyFont="1">
      <alignment horizontal="center" readingOrder="0" vertical="bottom"/>
    </xf>
    <xf borderId="13" fillId="2" fontId="22" numFmtId="0" xfId="0" applyAlignment="1" applyBorder="1" applyFont="1">
      <alignment vertical="bottom"/>
    </xf>
    <xf borderId="10" fillId="2" fontId="22" numFmtId="0" xfId="0" applyAlignment="1" applyBorder="1" applyFont="1">
      <alignment horizontal="center" readingOrder="0" vertical="bottom"/>
    </xf>
    <xf borderId="70" fillId="2" fontId="22" numFmtId="0" xfId="0" applyAlignment="1" applyBorder="1" applyFont="1">
      <alignment readingOrder="0" vertical="bottom"/>
    </xf>
    <xf borderId="0" fillId="2" fontId="22" numFmtId="0" xfId="0" applyAlignment="1" applyFont="1">
      <alignment vertical="bottom"/>
    </xf>
    <xf borderId="18" fillId="2" fontId="22" numFmtId="0" xfId="0" applyAlignment="1" applyBorder="1" applyFont="1">
      <alignment horizontal="center" readingOrder="0" vertical="bottom"/>
    </xf>
    <xf borderId="10" fillId="26" fontId="30" numFmtId="0" xfId="0" applyAlignment="1" applyBorder="1" applyFont="1">
      <alignment vertical="bottom"/>
    </xf>
    <xf borderId="7" fillId="26" fontId="30" numFmtId="0" xfId="0" applyAlignment="1" applyBorder="1" applyFont="1">
      <alignment vertical="bottom"/>
    </xf>
    <xf borderId="23" fillId="2" fontId="22" numFmtId="0" xfId="0" applyAlignment="1" applyBorder="1" applyFont="1">
      <alignment readingOrder="0" vertical="bottom"/>
    </xf>
    <xf borderId="23" fillId="2" fontId="22" numFmtId="0" xfId="0" applyAlignment="1" applyBorder="1" applyFont="1">
      <alignment vertical="bottom"/>
    </xf>
    <xf borderId="23" fillId="2" fontId="22" numFmtId="0" xfId="0" applyAlignment="1" applyBorder="1" applyFont="1">
      <alignment horizontal="center" readingOrder="0" vertical="bottom"/>
    </xf>
    <xf quotePrefix="1" borderId="23" fillId="10" fontId="24" numFmtId="0" xfId="0" applyAlignment="1" applyBorder="1" applyFont="1">
      <alignment horizontal="center" readingOrder="0" vertical="bottom"/>
    </xf>
    <xf borderId="0" fillId="2" fontId="22" numFmtId="0" xfId="0" applyAlignment="1" applyFont="1">
      <alignment shrinkToFit="0" vertical="bottom" wrapText="0"/>
    </xf>
    <xf borderId="0" fillId="2" fontId="22" numFmtId="0" xfId="0" applyAlignment="1" applyFont="1">
      <alignment horizontal="center" vertical="bottom"/>
    </xf>
    <xf borderId="0" fillId="2" fontId="28" numFmtId="0" xfId="0" applyAlignment="1" applyFont="1">
      <alignment horizontal="center" readingOrder="0" vertical="center"/>
    </xf>
    <xf borderId="0" fillId="2" fontId="22" numFmtId="0" xfId="0" applyAlignment="1" applyFont="1">
      <alignment horizontal="center" readingOrder="0" vertical="bottom"/>
    </xf>
    <xf borderId="0" fillId="2" fontId="32" numFmtId="10" xfId="0" applyFont="1" applyNumberFormat="1"/>
    <xf borderId="0" fillId="2" fontId="22" numFmtId="10" xfId="0" applyAlignment="1" applyFont="1" applyNumberFormat="1">
      <alignment horizontal="center" readingOrder="0" vertical="bottom"/>
    </xf>
    <xf borderId="0" fillId="2" fontId="22" numFmtId="0" xfId="0" applyAlignment="1" applyFont="1">
      <alignment horizontal="center" vertical="bottom"/>
    </xf>
    <xf borderId="0" fillId="2" fontId="28" numFmtId="0" xfId="0" applyAlignment="1" applyFont="1">
      <alignment horizontal="center" vertical="bottom"/>
    </xf>
    <xf borderId="0" fillId="0" fontId="32" numFmtId="0" xfId="0" applyFont="1"/>
    <xf borderId="0" fillId="0" fontId="32" numFmtId="10" xfId="0" applyFont="1" applyNumberFormat="1"/>
    <xf borderId="63" fillId="3" fontId="5" numFmtId="166" xfId="0" applyAlignment="1" applyBorder="1" applyFont="1" applyNumberFormat="1">
      <alignment horizontal="center" readingOrder="0"/>
    </xf>
    <xf borderId="71" fillId="3" fontId="33" numFmtId="168" xfId="0" applyAlignment="1" applyBorder="1" applyFont="1" applyNumberFormat="1">
      <alignment horizontal="center" readingOrder="0"/>
    </xf>
    <xf borderId="72" fillId="0" fontId="3" numFmtId="0" xfId="0" applyBorder="1" applyFont="1"/>
    <xf borderId="73" fillId="0" fontId="3" numFmtId="0" xfId="0" applyBorder="1" applyFont="1"/>
    <xf borderId="2" fillId="3" fontId="33" numFmtId="167" xfId="0" applyAlignment="1" applyBorder="1" applyFont="1" applyNumberFormat="1">
      <alignment horizontal="center" readingOrder="0"/>
    </xf>
    <xf borderId="0" fillId="3" fontId="33" numFmtId="167" xfId="0" applyAlignment="1" applyFont="1" applyNumberFormat="1">
      <alignment horizontal="center" readingOrder="0"/>
    </xf>
    <xf borderId="74" fillId="5" fontId="5" numFmtId="49" xfId="0" applyAlignment="1" applyBorder="1" applyFont="1" applyNumberFormat="1">
      <alignment horizontal="center"/>
    </xf>
    <xf borderId="71" fillId="3" fontId="33" numFmtId="168" xfId="0" applyAlignment="1" applyBorder="1" applyFont="1" applyNumberFormat="1">
      <alignment horizontal="center" readingOrder="0" vertical="center"/>
    </xf>
    <xf borderId="72" fillId="3" fontId="33" numFmtId="0" xfId="0" applyAlignment="1" applyBorder="1" applyFont="1">
      <alignment horizontal="center" readingOrder="0"/>
    </xf>
    <xf borderId="72" fillId="5" fontId="1" numFmtId="49" xfId="0" applyAlignment="1" applyBorder="1" applyFont="1" applyNumberFormat="1">
      <alignment horizontal="center" vertical="center"/>
    </xf>
    <xf borderId="75" fillId="3" fontId="33" numFmtId="0" xfId="0" applyAlignment="1" applyBorder="1" applyFont="1">
      <alignment horizontal="center" readingOrder="0"/>
    </xf>
    <xf borderId="0" fillId="3" fontId="33" numFmtId="0" xfId="0" applyAlignment="1" applyFont="1">
      <alignment horizontal="center" readingOrder="0"/>
    </xf>
    <xf borderId="76" fillId="5" fontId="5" numFmtId="49" xfId="0" applyAlignment="1" applyBorder="1" applyFont="1" applyNumberFormat="1">
      <alignment horizontal="center"/>
    </xf>
    <xf borderId="7" fillId="4" fontId="1" numFmtId="49" xfId="0" applyAlignment="1" applyBorder="1" applyFont="1" applyNumberFormat="1">
      <alignment horizontal="center" readingOrder="0" vertical="center"/>
    </xf>
    <xf borderId="1" fillId="4" fontId="34" numFmtId="49" xfId="0" applyAlignment="1" applyBorder="1" applyFont="1" applyNumberFormat="1">
      <alignment horizontal="center" readingOrder="0" vertical="center"/>
    </xf>
    <xf borderId="8" fillId="4" fontId="7" numFmtId="49" xfId="0" applyAlignment="1" applyBorder="1" applyFont="1" applyNumberFormat="1">
      <alignment horizontal="center" readingOrder="0" vertical="center"/>
    </xf>
    <xf borderId="9" fillId="4" fontId="7" numFmtId="49" xfId="0" applyAlignment="1" applyBorder="1" applyFont="1" applyNumberFormat="1">
      <alignment horizontal="center" readingOrder="0" vertical="center"/>
    </xf>
    <xf borderId="37" fillId="5" fontId="34" numFmtId="49" xfId="0" applyAlignment="1" applyBorder="1" applyFont="1" applyNumberFormat="1">
      <alignment horizontal="center" vertical="center"/>
    </xf>
    <xf borderId="11" fillId="3" fontId="34" numFmtId="49" xfId="0" applyAlignment="1" applyBorder="1" applyFont="1" applyNumberFormat="1">
      <alignment horizontal="center" readingOrder="0" vertical="center"/>
    </xf>
    <xf borderId="1" fillId="3" fontId="34" numFmtId="49" xfId="0" applyAlignment="1" applyBorder="1" applyFont="1" applyNumberFormat="1">
      <alignment horizontal="center" readingOrder="0" vertical="center"/>
    </xf>
    <xf borderId="12" fillId="3" fontId="6" numFmtId="49" xfId="0" applyAlignment="1" applyBorder="1" applyFont="1" applyNumberFormat="1">
      <alignment horizontal="center" readingOrder="0"/>
    </xf>
    <xf borderId="13" fillId="3" fontId="6" numFmtId="49" xfId="0" applyAlignment="1" applyBorder="1" applyFont="1" applyNumberFormat="1">
      <alignment horizontal="center" readingOrder="0"/>
    </xf>
    <xf borderId="14" fillId="3" fontId="7" numFmtId="49" xfId="0" applyAlignment="1" applyBorder="1" applyFont="1" applyNumberFormat="1">
      <alignment horizontal="center" readingOrder="0" vertical="center"/>
    </xf>
    <xf borderId="8" fillId="3" fontId="7" numFmtId="49" xfId="0" applyAlignment="1" applyBorder="1" applyFont="1" applyNumberFormat="1">
      <alignment horizontal="center" readingOrder="0" vertical="center"/>
    </xf>
    <xf borderId="0" fillId="3" fontId="7" numFmtId="49" xfId="0" applyAlignment="1" applyFont="1" applyNumberFormat="1">
      <alignment horizontal="center" readingOrder="0" vertical="center"/>
    </xf>
    <xf borderId="7" fillId="6" fontId="1" numFmtId="49" xfId="0" applyAlignment="1" applyBorder="1" applyFont="1" applyNumberFormat="1">
      <alignment horizontal="center" readingOrder="0" vertical="center"/>
    </xf>
    <xf borderId="24" fillId="2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readingOrder="0" vertical="center"/>
    </xf>
    <xf borderId="18" fillId="2" fontId="1" numFmtId="49" xfId="0" applyAlignment="1" applyBorder="1" applyFont="1" applyNumberFormat="1">
      <alignment horizontal="center" readingOrder="0" vertical="center"/>
    </xf>
    <xf borderId="19" fillId="7" fontId="1" numFmtId="49" xfId="0" applyAlignment="1" applyBorder="1" applyFont="1" applyNumberFormat="1">
      <alignment horizontal="center" readingOrder="0" vertical="center"/>
    </xf>
    <xf borderId="20" fillId="7" fontId="1" numFmtId="49" xfId="0" applyAlignment="1" applyBorder="1" applyFont="1" applyNumberFormat="1">
      <alignment horizontal="center" readingOrder="0" vertical="center"/>
    </xf>
    <xf borderId="27" fillId="7" fontId="1" numFmtId="49" xfId="0" applyAlignment="1" applyBorder="1" applyFont="1" applyNumberFormat="1">
      <alignment horizontal="center" readingOrder="0" vertical="center"/>
    </xf>
    <xf borderId="37" fillId="5" fontId="1" numFmtId="49" xfId="0" applyAlignment="1" applyBorder="1" applyFont="1" applyNumberFormat="1">
      <alignment horizontal="center" readingOrder="0" vertical="center"/>
    </xf>
    <xf borderId="11" fillId="6" fontId="1" numFmtId="49" xfId="0" applyAlignment="1" applyBorder="1" applyFont="1" applyNumberFormat="1">
      <alignment horizontal="center" readingOrder="0" vertical="center"/>
    </xf>
    <xf borderId="1" fillId="6" fontId="1" numFmtId="49" xfId="0" applyAlignment="1" applyBorder="1" applyFont="1" applyNumberFormat="1">
      <alignment horizontal="center" readingOrder="0" vertical="center"/>
    </xf>
    <xf borderId="10" fillId="2" fontId="1" numFmtId="49" xfId="0" applyAlignment="1" applyBorder="1" applyFont="1" applyNumberFormat="1">
      <alignment horizontal="center" readingOrder="0"/>
    </xf>
    <xf borderId="0" fillId="7" fontId="1" numFmtId="49" xfId="0" applyAlignment="1" applyFont="1" applyNumberFormat="1">
      <alignment horizontal="center" readingOrder="0" vertical="center"/>
    </xf>
    <xf borderId="11" fillId="7" fontId="1" numFmtId="49" xfId="0" applyAlignment="1" applyBorder="1" applyFont="1" applyNumberFormat="1">
      <alignment horizontal="center" readingOrder="0" vertical="center"/>
    </xf>
    <xf borderId="1" fillId="7" fontId="1" numFmtId="49" xfId="0" applyAlignment="1" applyBorder="1" applyFont="1" applyNumberFormat="1">
      <alignment horizontal="center" readingOrder="0" vertical="center"/>
    </xf>
    <xf borderId="21" fillId="7" fontId="1" numFmtId="49" xfId="0" applyAlignment="1" applyBorder="1" applyFont="1" applyNumberFormat="1">
      <alignment horizontal="center" readingOrder="0" vertical="center"/>
    </xf>
    <xf borderId="37" fillId="5" fontId="1" numFmtId="49" xfId="0" applyAlignment="1" applyBorder="1" applyFont="1" applyNumberFormat="1">
      <alignment horizontal="center" vertical="center"/>
    </xf>
    <xf borderId="11" fillId="6" fontId="14" numFmtId="49" xfId="0" applyAlignment="1" applyBorder="1" applyFont="1" applyNumberFormat="1">
      <alignment horizontal="center" readingOrder="0" vertical="center"/>
    </xf>
    <xf borderId="12" fillId="2" fontId="1" numFmtId="49" xfId="0" applyAlignment="1" applyBorder="1" applyFont="1" applyNumberFormat="1">
      <alignment horizontal="center" readingOrder="0" vertical="center"/>
    </xf>
    <xf borderId="1" fillId="2" fontId="14" numFmtId="0" xfId="0" applyAlignment="1" applyBorder="1" applyFont="1">
      <alignment horizontal="center" readingOrder="0" vertical="center"/>
    </xf>
    <xf borderId="1" fillId="2" fontId="14" numFmtId="49" xfId="0" applyAlignment="1" applyBorder="1" applyFont="1" applyNumberFormat="1">
      <alignment horizontal="center" readingOrder="0" vertical="center"/>
    </xf>
    <xf borderId="7" fillId="8" fontId="1" numFmtId="49" xfId="0" applyAlignment="1" applyBorder="1" applyFont="1" applyNumberFormat="1">
      <alignment horizontal="center" readingOrder="0" vertical="center"/>
    </xf>
    <xf borderId="23" fillId="8" fontId="35" numFmtId="4" xfId="0" applyAlignment="1" applyBorder="1" applyFont="1" applyNumberFormat="1">
      <alignment horizontal="center" readingOrder="0" vertical="bottom"/>
    </xf>
    <xf borderId="1" fillId="8" fontId="14" numFmtId="49" xfId="0" applyAlignment="1" applyBorder="1" applyFont="1" applyNumberFormat="1">
      <alignment horizontal="center" readingOrder="0" vertical="center"/>
    </xf>
    <xf borderId="1" fillId="8" fontId="1" numFmtId="49" xfId="0" applyAlignment="1" applyBorder="1" applyFont="1" applyNumberFormat="1">
      <alignment horizontal="center" readingOrder="0" vertical="center"/>
    </xf>
    <xf borderId="25" fillId="8" fontId="14" numFmtId="49" xfId="0" applyAlignment="1" applyBorder="1" applyFont="1" applyNumberFormat="1">
      <alignment horizontal="center" readingOrder="0" vertical="center"/>
    </xf>
    <xf borderId="11" fillId="8" fontId="1" numFmtId="49" xfId="0" applyAlignment="1" applyBorder="1" applyFont="1" applyNumberFormat="1">
      <alignment horizontal="center" readingOrder="0" vertical="center"/>
    </xf>
    <xf borderId="26" fillId="8" fontId="1" numFmtId="49" xfId="0" applyAlignment="1" applyBorder="1" applyFont="1" applyNumberFormat="1">
      <alignment horizontal="center" readingOrder="0" vertical="center"/>
    </xf>
    <xf borderId="1" fillId="8" fontId="35" numFmtId="0" xfId="0" applyAlignment="1" applyBorder="1" applyFont="1">
      <alignment horizontal="center" readingOrder="0" vertical="bottom"/>
    </xf>
    <xf borderId="18" fillId="8" fontId="1" numFmtId="49" xfId="0" applyAlignment="1" applyBorder="1" applyFont="1" applyNumberFormat="1">
      <alignment horizontal="center" readingOrder="0" vertical="center"/>
    </xf>
    <xf borderId="1" fillId="8" fontId="35" numFmtId="4" xfId="0" applyAlignment="1" applyBorder="1" applyFont="1" applyNumberFormat="1">
      <alignment horizontal="center" readingOrder="0" vertical="bottom"/>
    </xf>
    <xf borderId="1" fillId="8" fontId="14" numFmtId="49" xfId="0" applyAlignment="1" applyBorder="1" applyFont="1" applyNumberFormat="1">
      <alignment horizontal="center" readingOrder="0" vertical="bottom"/>
    </xf>
    <xf borderId="7" fillId="7" fontId="1" numFmtId="49" xfId="0" applyAlignment="1" applyBorder="1" applyFont="1" applyNumberFormat="1">
      <alignment horizontal="center" readingOrder="0" vertical="center"/>
    </xf>
    <xf borderId="13" fillId="5" fontId="1" numFmtId="49" xfId="0" applyAlignment="1" applyBorder="1" applyFont="1" applyNumberFormat="1">
      <alignment horizontal="center" readingOrder="0" vertical="center"/>
    </xf>
    <xf borderId="11" fillId="3" fontId="1" numFmtId="49" xfId="0" applyAlignment="1" applyBorder="1" applyFont="1" applyNumberFormat="1">
      <alignment horizontal="center" readingOrder="0" vertical="center"/>
    </xf>
    <xf borderId="1" fillId="3" fontId="1" numFmtId="49" xfId="0" applyAlignment="1" applyBorder="1" applyFont="1" applyNumberFormat="1">
      <alignment horizontal="center" readingOrder="0" vertical="center"/>
    </xf>
    <xf borderId="13" fillId="2" fontId="1" numFmtId="49" xfId="0" applyAlignment="1" applyBorder="1" applyFont="1" applyNumberFormat="1">
      <alignment horizontal="center" readingOrder="0" vertical="center"/>
    </xf>
    <xf borderId="11" fillId="3" fontId="14" numFmtId="49" xfId="0" applyAlignment="1" applyBorder="1" applyFont="1" applyNumberFormat="1">
      <alignment horizontal="center" readingOrder="0" vertical="center"/>
    </xf>
    <xf borderId="21" fillId="2" fontId="1" numFmtId="49" xfId="0" applyAlignment="1" applyBorder="1" applyFont="1" applyNumberFormat="1">
      <alignment horizontal="center" readingOrder="0" vertical="center"/>
    </xf>
    <xf borderId="23" fillId="3" fontId="1" numFmtId="49" xfId="0" applyAlignment="1" applyBorder="1" applyFont="1" applyNumberFormat="1">
      <alignment horizontal="center" readingOrder="0" vertical="center"/>
    </xf>
    <xf borderId="0" fillId="2" fontId="1" numFmtId="0" xfId="0" applyAlignment="1" applyFont="1">
      <alignment horizontal="center" readingOrder="0"/>
    </xf>
    <xf borderId="10" fillId="2" fontId="1" numFmtId="49" xfId="0" applyAlignment="1" applyBorder="1" applyFont="1" applyNumberFormat="1">
      <alignment horizontal="center" readingOrder="0" vertical="center"/>
    </xf>
    <xf borderId="0" fillId="2" fontId="14" numFmtId="49" xfId="0" applyAlignment="1" applyFont="1" applyNumberFormat="1">
      <alignment horizontal="center" readingOrder="0"/>
    </xf>
    <xf borderId="7" fillId="2" fontId="1" numFmtId="0" xfId="0" applyAlignment="1" applyBorder="1" applyFont="1">
      <alignment horizontal="center" readingOrder="0" vertical="center"/>
    </xf>
    <xf borderId="0" fillId="2" fontId="1" numFmtId="49" xfId="0" applyAlignment="1" applyFont="1" applyNumberFormat="1">
      <alignment horizontal="center" readingOrder="0" vertical="center"/>
    </xf>
    <xf borderId="7" fillId="2" fontId="1" numFmtId="49" xfId="0" applyAlignment="1" applyBorder="1" applyFont="1" applyNumberFormat="1">
      <alignment horizontal="center" readingOrder="0" vertical="center"/>
    </xf>
    <xf borderId="11" fillId="7" fontId="14" numFmtId="0" xfId="0" applyAlignment="1" applyBorder="1" applyFont="1">
      <alignment horizontal="center" readingOrder="0" vertical="center"/>
    </xf>
    <xf borderId="1" fillId="7" fontId="14" numFmtId="0" xfId="0" applyAlignment="1" applyBorder="1" applyFont="1">
      <alignment horizontal="center" readingOrder="0" vertical="center"/>
    </xf>
    <xf borderId="21" fillId="7" fontId="14" numFmtId="0" xfId="0" applyAlignment="1" applyBorder="1" applyFont="1">
      <alignment horizontal="center" readingOrder="0" vertical="center"/>
    </xf>
    <xf borderId="77" fillId="5" fontId="1" numFmtId="49" xfId="0" applyAlignment="1" applyBorder="1" applyFont="1" applyNumberFormat="1">
      <alignment horizontal="center" vertical="center"/>
    </xf>
    <xf borderId="12" fillId="2" fontId="1" numFmtId="0" xfId="0" applyAlignment="1" applyBorder="1" applyFont="1">
      <alignment horizontal="center" readingOrder="0" vertical="center"/>
    </xf>
    <xf borderId="25" fillId="2" fontId="14" numFmtId="49" xfId="0" applyAlignment="1" applyBorder="1" applyFont="1" applyNumberFormat="1">
      <alignment horizontal="center" readingOrder="0" vertical="center"/>
    </xf>
    <xf borderId="1" fillId="2" fontId="1" numFmtId="49" xfId="0" applyAlignment="1" applyBorder="1" applyFont="1" applyNumberFormat="1">
      <alignment horizontal="center" readingOrder="0" shrinkToFit="0" vertical="center" wrapText="1"/>
    </xf>
    <xf borderId="13" fillId="2" fontId="14" numFmtId="49" xfId="0" applyAlignment="1" applyBorder="1" applyFont="1" applyNumberFormat="1">
      <alignment horizontal="center" readingOrder="0"/>
    </xf>
    <xf borderId="0" fillId="5" fontId="1" numFmtId="49" xfId="0" applyAlignment="1" applyFont="1" applyNumberFormat="1">
      <alignment horizontal="center" vertical="center"/>
    </xf>
    <xf borderId="11" fillId="3" fontId="1" numFmtId="49" xfId="0" applyAlignment="1" applyBorder="1" applyFont="1" applyNumberFormat="1">
      <alignment horizontal="center" vertical="center"/>
    </xf>
    <xf borderId="1" fillId="3" fontId="1" numFmtId="49" xfId="0" applyAlignment="1" applyBorder="1" applyFont="1" applyNumberFormat="1">
      <alignment horizontal="center" vertical="center"/>
    </xf>
    <xf borderId="0" fillId="7" fontId="14" numFmtId="0" xfId="0" applyAlignment="1" applyFont="1">
      <alignment horizontal="center" readingOrder="0" vertical="center"/>
    </xf>
    <xf borderId="0" fillId="0" fontId="1" numFmtId="49" xfId="0" applyAlignment="1" applyFont="1" applyNumberFormat="1">
      <alignment horizontal="center" readingOrder="0" shrinkToFit="0" wrapText="1"/>
    </xf>
    <xf borderId="25" fillId="2" fontId="1" numFmtId="49" xfId="0" applyAlignment="1" applyBorder="1" applyFont="1" applyNumberFormat="1">
      <alignment horizontal="center" readingOrder="0" vertical="center"/>
    </xf>
    <xf borderId="11" fillId="3" fontId="14" numFmtId="49" xfId="0" applyAlignment="1" applyBorder="1" applyFont="1" applyNumberFormat="1">
      <alignment horizontal="center" vertical="center"/>
    </xf>
    <xf borderId="18" fillId="2" fontId="14" numFmtId="49" xfId="0" applyAlignment="1" applyBorder="1" applyFont="1" applyNumberFormat="1">
      <alignment horizontal="center" readingOrder="0" vertical="center"/>
    </xf>
    <xf borderId="11" fillId="7" fontId="9" numFmtId="49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7" fontId="1" numFmtId="0" xfId="0" applyAlignment="1" applyFont="1">
      <alignment horizontal="center" readingOrder="0"/>
    </xf>
    <xf borderId="10" fillId="2" fontId="14" numFmtId="49" xfId="0" applyAlignment="1" applyBorder="1" applyFont="1" applyNumberFormat="1">
      <alignment horizontal="center" readingOrder="0" vertical="center"/>
    </xf>
    <xf borderId="28" fillId="3" fontId="1" numFmtId="49" xfId="0" applyAlignment="1" applyBorder="1" applyFont="1" applyNumberFormat="1">
      <alignment horizontal="center" vertical="center"/>
    </xf>
    <xf borderId="23" fillId="2" fontId="1" numFmtId="0" xfId="0" applyAlignment="1" applyBorder="1" applyFont="1">
      <alignment horizontal="center" shrinkToFit="0" vertical="bottom" wrapText="1"/>
    </xf>
    <xf borderId="34" fillId="7" fontId="1" numFmtId="49" xfId="0" applyAlignment="1" applyBorder="1" applyFont="1" applyNumberFormat="1">
      <alignment horizontal="center" readingOrder="0" vertical="center"/>
    </xf>
    <xf borderId="23" fillId="3" fontId="1" numFmtId="49" xfId="0" applyAlignment="1" applyBorder="1" applyFont="1" applyNumberFormat="1">
      <alignment horizontal="center" vertical="center"/>
    </xf>
    <xf borderId="25" fillId="0" fontId="1" numFmtId="49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/>
    </xf>
    <xf borderId="29" fillId="12" fontId="1" numFmtId="49" xfId="0" applyAlignment="1" applyBorder="1" applyFont="1" applyNumberFormat="1">
      <alignment horizontal="center" readingOrder="0" vertical="center"/>
    </xf>
    <xf borderId="23" fillId="12" fontId="1" numFmtId="49" xfId="0" applyAlignment="1" applyBorder="1" applyFont="1" applyNumberFormat="1">
      <alignment horizontal="center" readingOrder="0" vertical="center"/>
    </xf>
    <xf borderId="1" fillId="12" fontId="1" numFmtId="49" xfId="0" applyAlignment="1" applyBorder="1" applyFont="1" applyNumberFormat="1">
      <alignment horizontal="center" readingOrder="0" shrinkToFit="0" wrapText="1"/>
    </xf>
    <xf borderId="12" fillId="12" fontId="1" numFmtId="49" xfId="0" applyAlignment="1" applyBorder="1" applyFont="1" applyNumberFormat="1">
      <alignment horizontal="center" readingOrder="0" vertical="center"/>
    </xf>
    <xf borderId="13" fillId="12" fontId="1" numFmtId="49" xfId="0" applyAlignment="1" applyBorder="1" applyFont="1" applyNumberFormat="1">
      <alignment horizontal="center" readingOrder="0" vertical="center"/>
    </xf>
    <xf borderId="28" fillId="12" fontId="1" numFmtId="49" xfId="0" applyAlignment="1" applyBorder="1" applyFont="1" applyNumberFormat="1">
      <alignment horizontal="center" readingOrder="0" vertical="center"/>
    </xf>
    <xf borderId="30" fillId="12" fontId="1" numFmtId="49" xfId="0" applyAlignment="1" applyBorder="1" applyFont="1" applyNumberFormat="1">
      <alignment horizontal="center" readingOrder="0" vertical="center"/>
    </xf>
    <xf borderId="32" fillId="12" fontId="1" numFmtId="49" xfId="0" applyAlignment="1" applyBorder="1" applyFont="1" applyNumberFormat="1">
      <alignment horizontal="center" readingOrder="0" vertical="center"/>
    </xf>
    <xf borderId="31" fillId="12" fontId="1" numFmtId="0" xfId="0" applyAlignment="1" applyBorder="1" applyFont="1">
      <alignment horizontal="center" readingOrder="0" vertical="bottom"/>
    </xf>
    <xf borderId="31" fillId="12" fontId="1" numFmtId="0" xfId="0" applyAlignment="1" applyBorder="1" applyFont="1">
      <alignment horizontal="center" readingOrder="0" vertical="center"/>
    </xf>
    <xf borderId="36" fillId="12" fontId="1" numFmtId="0" xfId="0" applyAlignment="1" applyBorder="1" applyFont="1">
      <alignment horizontal="center" readingOrder="0" vertical="center"/>
    </xf>
    <xf borderId="37" fillId="12" fontId="1" numFmtId="49" xfId="0" applyAlignment="1" applyBorder="1" applyFont="1" applyNumberFormat="1">
      <alignment horizontal="center" readingOrder="0" vertical="center"/>
    </xf>
    <xf borderId="78" fillId="7" fontId="1" numFmtId="49" xfId="0" applyAlignment="1" applyBorder="1" applyFont="1" applyNumberFormat="1">
      <alignment horizontal="center" readingOrder="0" vertical="center"/>
    </xf>
    <xf borderId="31" fillId="7" fontId="1" numFmtId="49" xfId="0" applyAlignment="1" applyBorder="1" applyFont="1" applyNumberFormat="1">
      <alignment horizontal="center" readingOrder="0" vertical="center"/>
    </xf>
    <xf borderId="79" fillId="7" fontId="1" numFmtId="49" xfId="0" applyAlignment="1" applyBorder="1" applyFont="1" applyNumberFormat="1">
      <alignment horizontal="center" readingOrder="0" vertical="center"/>
    </xf>
    <xf borderId="35" fillId="12" fontId="1" numFmtId="49" xfId="0" applyAlignment="1" applyBorder="1" applyFont="1" applyNumberFormat="1">
      <alignment horizontal="center" readingOrder="0" vertical="center"/>
    </xf>
    <xf borderId="0" fillId="0" fontId="22" numFmtId="0" xfId="0" applyAlignment="1" applyFont="1">
      <alignment vertical="bottom"/>
    </xf>
    <xf borderId="0" fillId="6" fontId="36" numFmtId="49" xfId="0" applyAlignment="1" applyFont="1" applyNumberFormat="1">
      <alignment horizontal="center" readingOrder="0" shrinkToFit="0" textRotation="0" vertical="center" wrapText="1"/>
    </xf>
    <xf borderId="0" fillId="2" fontId="37" numFmtId="0" xfId="0" applyAlignment="1" applyFont="1">
      <alignment horizontal="center" readingOrder="0" vertical="center"/>
    </xf>
    <xf borderId="0" fillId="2" fontId="38" numFmtId="0" xfId="0" applyAlignment="1" applyFont="1">
      <alignment horizontal="center" shrinkToFit="0" vertical="center" wrapText="1"/>
    </xf>
    <xf borderId="0" fillId="2" fontId="39" numFmtId="0" xfId="0" applyAlignment="1" applyFont="1">
      <alignment horizontal="center" vertical="center"/>
    </xf>
    <xf borderId="0" fillId="2" fontId="40" numFmtId="49" xfId="0" applyAlignment="1" applyFont="1" applyNumberFormat="1">
      <alignment horizontal="center" readingOrder="0" shrinkToFit="0" wrapText="1"/>
    </xf>
    <xf borderId="0" fillId="0" fontId="39" numFmtId="0" xfId="0" applyAlignment="1" applyFont="1">
      <alignment horizontal="center"/>
    </xf>
    <xf borderId="0" fillId="2" fontId="38" numFmtId="0" xfId="0" applyAlignment="1" applyFont="1">
      <alignment horizontal="center" readingOrder="0" shrinkToFit="0" vertical="center" wrapText="1"/>
    </xf>
    <xf borderId="0" fillId="0" fontId="5" numFmtId="49" xfId="0" applyAlignment="1" applyFont="1" applyNumberFormat="1">
      <alignment horizontal="center" vertical="bottom"/>
    </xf>
    <xf borderId="0" fillId="0" fontId="28" numFmtId="0" xfId="0" applyAlignment="1" applyFont="1">
      <alignment vertical="bottom"/>
    </xf>
    <xf borderId="14" fillId="2" fontId="34" numFmtId="0" xfId="0" applyAlignment="1" applyBorder="1" applyFont="1">
      <alignment horizontal="center" readingOrder="0" vertical="center"/>
    </xf>
    <xf borderId="29" fillId="0" fontId="3" numFmtId="0" xfId="0" applyBorder="1" applyFont="1"/>
    <xf borderId="26" fillId="2" fontId="34" numFmtId="0" xfId="0" applyAlignment="1" applyBorder="1" applyFont="1">
      <alignment horizontal="center" readingOrder="0" vertical="center"/>
    </xf>
    <xf borderId="0" fillId="2" fontId="34" numFmtId="0" xfId="0" applyAlignment="1" applyFont="1">
      <alignment horizontal="center" readingOrder="0" vertical="center"/>
    </xf>
    <xf borderId="0" fillId="2" fontId="41" numFmtId="0" xfId="0" applyAlignment="1" applyFont="1">
      <alignment horizontal="center" vertical="center"/>
    </xf>
    <xf borderId="0" fillId="0" fontId="42" numFmtId="0" xfId="0" applyFont="1"/>
    <xf borderId="0" fillId="0" fontId="38" numFmtId="0" xfId="0" applyAlignment="1" applyFont="1">
      <alignment horizontal="center" vertical="center"/>
    </xf>
    <xf borderId="24" fillId="0" fontId="3" numFmtId="0" xfId="0" applyBorder="1" applyFont="1"/>
    <xf borderId="23" fillId="0" fontId="3" numFmtId="0" xfId="0" applyBorder="1" applyFont="1"/>
    <xf borderId="0" fillId="0" fontId="38" numFmtId="0" xfId="0" applyAlignment="1" applyFont="1">
      <alignment horizontal="left" vertical="center"/>
    </xf>
    <xf borderId="18" fillId="10" fontId="43" numFmtId="0" xfId="0" applyAlignment="1" applyBorder="1" applyFont="1">
      <alignment horizontal="center" vertical="bottom"/>
    </xf>
    <xf borderId="1" fillId="2" fontId="34" numFmtId="0" xfId="0" applyAlignment="1" applyBorder="1" applyFont="1">
      <alignment horizontal="center" readingOrder="0"/>
    </xf>
    <xf borderId="12" fillId="13" fontId="1" numFmtId="0" xfId="0" applyAlignment="1" applyBorder="1" applyFont="1">
      <alignment horizontal="center" readingOrder="0" vertical="bottom"/>
    </xf>
    <xf borderId="0" fillId="2" fontId="1" numFmtId="0" xfId="0" applyAlignment="1" applyFont="1">
      <alignment horizontal="center" readingOrder="0" vertical="bottom"/>
    </xf>
    <xf borderId="12" fillId="2" fontId="6" numFmtId="0" xfId="0" applyAlignment="1" applyBorder="1" applyFont="1">
      <alignment horizontal="center" readingOrder="0" vertical="bottom"/>
    </xf>
    <xf borderId="0" fillId="0" fontId="38" numFmtId="0" xfId="0" applyAlignment="1" applyFont="1">
      <alignment horizontal="center" readingOrder="0" vertical="center"/>
    </xf>
    <xf borderId="7" fillId="13" fontId="1" numFmtId="0" xfId="0" applyAlignment="1" applyBorder="1" applyFont="1">
      <alignment horizontal="center" readingOrder="0" vertical="bottom"/>
    </xf>
    <xf borderId="18" fillId="4" fontId="43" numFmtId="0" xfId="0" applyAlignment="1" applyBorder="1" applyFont="1">
      <alignment horizontal="center" vertical="bottom"/>
    </xf>
    <xf borderId="18" fillId="4" fontId="43" numFmtId="0" xfId="0" applyAlignment="1" applyBorder="1" applyFont="1">
      <alignment horizontal="center" readingOrder="0" vertical="bottom"/>
    </xf>
    <xf borderId="1" fillId="4" fontId="14" numFmtId="0" xfId="0" applyAlignment="1" applyBorder="1" applyFont="1">
      <alignment horizontal="center" shrinkToFit="0" vertical="bottom" wrapText="1"/>
    </xf>
    <xf borderId="0" fillId="2" fontId="34" numFmtId="0" xfId="0" applyAlignment="1" applyFont="1">
      <alignment horizontal="center" readingOrder="0"/>
    </xf>
    <xf borderId="18" fillId="4" fontId="34" numFmtId="0" xfId="0" applyAlignment="1" applyBorder="1" applyFont="1">
      <alignment horizontal="center" readingOrder="0" vertical="center"/>
    </xf>
    <xf borderId="1" fillId="4" fontId="14" numFmtId="0" xfId="0" applyAlignment="1" applyBorder="1" applyFont="1">
      <alignment horizontal="center" readingOrder="0" shrinkToFit="0" vertical="bottom" wrapText="1"/>
    </xf>
    <xf borderId="1" fillId="2" fontId="34" numFmtId="0" xfId="0" applyAlignment="1" applyBorder="1" applyFont="1">
      <alignment horizontal="center" vertical="center"/>
    </xf>
    <xf borderId="0" fillId="2" fontId="34" numFmtId="0" xfId="0" applyAlignment="1" applyFont="1">
      <alignment horizontal="center" vertical="center"/>
    </xf>
    <xf borderId="0" fillId="0" fontId="24" numFmtId="0" xfId="0" applyAlignment="1" applyFont="1">
      <alignment horizontal="center" vertical="center"/>
    </xf>
    <xf borderId="14" fillId="2" fontId="44" numFmtId="0" xfId="0" applyAlignment="1" applyBorder="1" applyFont="1">
      <alignment horizontal="center" readingOrder="0" vertical="center"/>
    </xf>
    <xf borderId="8" fillId="0" fontId="3" numFmtId="0" xfId="0" applyBorder="1" applyFont="1"/>
    <xf borderId="0" fillId="2" fontId="44" numFmtId="0" xfId="0" applyAlignment="1" applyFont="1">
      <alignment horizontal="center" readingOrder="0" vertical="center"/>
    </xf>
    <xf borderId="0" fillId="0" fontId="25" numFmtId="0" xfId="0" applyAlignment="1" applyFont="1">
      <alignment vertical="bottom"/>
    </xf>
    <xf borderId="18" fillId="6" fontId="1" numFmtId="0" xfId="0" applyAlignment="1" applyBorder="1" applyFont="1">
      <alignment horizontal="center" readingOrder="0" vertical="center"/>
    </xf>
    <xf borderId="1" fillId="6" fontId="1" numFmtId="0" xfId="0" applyAlignment="1" applyBorder="1" applyFont="1">
      <alignment horizontal="center" shrinkToFit="0" vertical="bottom" wrapText="1"/>
    </xf>
    <xf borderId="1" fillId="27" fontId="34" numFmtId="0" xfId="0" applyAlignment="1" applyBorder="1" applyFill="1" applyFont="1">
      <alignment horizontal="center" readingOrder="0"/>
    </xf>
    <xf borderId="1" fillId="2" fontId="34" numFmtId="49" xfId="0" applyAlignment="1" applyBorder="1" applyFont="1" applyNumberFormat="1">
      <alignment horizontal="center" readingOrder="0" vertical="center"/>
    </xf>
    <xf borderId="0" fillId="2" fontId="34" numFmtId="49" xfId="0" applyAlignment="1" applyFont="1" applyNumberFormat="1">
      <alignment horizontal="center" readingOrder="0" vertical="center"/>
    </xf>
    <xf borderId="24" fillId="6" fontId="1" numFmtId="0" xfId="0" applyAlignment="1" applyBorder="1" applyFont="1">
      <alignment horizontal="center" shrinkToFit="0" vertical="bottom" wrapText="1"/>
    </xf>
    <xf borderId="18" fillId="6" fontId="34" numFmtId="0" xfId="0" applyAlignment="1" applyBorder="1" applyFont="1">
      <alignment horizontal="center" readingOrder="0" vertical="center"/>
    </xf>
    <xf borderId="24" fillId="6" fontId="1" numFmtId="0" xfId="0" applyAlignment="1" applyBorder="1" applyFont="1">
      <alignment horizontal="center" readingOrder="0" vertical="bottom"/>
    </xf>
    <xf borderId="0" fillId="2" fontId="45" numFmtId="0" xfId="0" applyAlignment="1" applyFont="1">
      <alignment horizontal="center" vertical="center"/>
    </xf>
    <xf borderId="0" fillId="0" fontId="46" numFmtId="0" xfId="0" applyAlignment="1" applyFont="1">
      <alignment horizontal="center" shrinkToFit="0" vertical="center" wrapText="0"/>
    </xf>
    <xf borderId="18" fillId="12" fontId="34" numFmtId="0" xfId="0" applyAlignment="1" applyBorder="1" applyFont="1">
      <alignment horizontal="center" readingOrder="0" vertical="center"/>
    </xf>
    <xf borderId="1" fillId="2" fontId="34" numFmtId="0" xfId="0" applyAlignment="1" applyBorder="1" applyFont="1">
      <alignment horizontal="center" readingOrder="0" vertical="center"/>
    </xf>
    <xf borderId="0" fillId="0" fontId="47" numFmtId="0" xfId="0" applyAlignment="1" applyFont="1">
      <alignment horizontal="left" vertical="center"/>
    </xf>
    <xf borderId="0" fillId="0" fontId="46" numFmtId="0" xfId="0" applyAlignment="1" applyFont="1">
      <alignment horizontal="center" vertical="center"/>
    </xf>
    <xf borderId="1" fillId="12" fontId="14" numFmtId="0" xfId="0" applyAlignment="1" applyBorder="1" applyFont="1">
      <alignment horizontal="center" readingOrder="0" shrinkToFit="0" vertical="bottom" wrapText="1"/>
    </xf>
    <xf borderId="1" fillId="2" fontId="34" numFmtId="49" xfId="0" applyAlignment="1" applyBorder="1" applyFont="1" applyNumberFormat="1">
      <alignment horizontal="center" vertical="center"/>
    </xf>
    <xf borderId="0" fillId="2" fontId="34" numFmtId="49" xfId="0" applyAlignment="1" applyFont="1" applyNumberFormat="1">
      <alignment horizontal="center" vertical="center"/>
    </xf>
    <xf borderId="0" fillId="0" fontId="46" numFmtId="0" xfId="0" applyAlignment="1" applyFont="1">
      <alignment horizontal="left" readingOrder="0" vertical="center"/>
    </xf>
    <xf borderId="0" fillId="0" fontId="22" numFmtId="0" xfId="0" applyAlignment="1" applyFont="1">
      <alignment horizontal="left" vertical="bottom"/>
    </xf>
    <xf borderId="18" fillId="2" fontId="34" numFmtId="0" xfId="0" applyAlignment="1" applyBorder="1" applyFont="1">
      <alignment horizontal="center" vertical="center"/>
    </xf>
    <xf borderId="1" fillId="2" fontId="35" numFmtId="0" xfId="0" applyAlignment="1" applyBorder="1" applyFont="1">
      <alignment horizontal="center" vertical="center"/>
    </xf>
    <xf borderId="1" fillId="2" fontId="34" numFmtId="0" xfId="0" applyAlignment="1" applyBorder="1" applyFont="1">
      <alignment horizontal="center"/>
    </xf>
    <xf borderId="0" fillId="0" fontId="46" numFmtId="0" xfId="0" applyAlignment="1" applyFont="1">
      <alignment horizontal="left" vertical="center"/>
    </xf>
    <xf borderId="0" fillId="0" fontId="34" numFmtId="49" xfId="0" applyAlignment="1" applyFont="1" applyNumberFormat="1">
      <alignment horizontal="center" readingOrder="0" vertical="center"/>
    </xf>
    <xf borderId="0" fillId="7" fontId="38" numFmtId="0" xfId="0" applyAlignment="1" applyFont="1">
      <alignment horizontal="left" vertical="center"/>
    </xf>
    <xf borderId="0" fillId="7" fontId="38" numFmtId="0" xfId="0" applyAlignment="1" applyFont="1">
      <alignment horizontal="center" vertical="center"/>
    </xf>
    <xf borderId="18" fillId="8" fontId="34" numFmtId="0" xfId="0" applyAlignment="1" applyBorder="1" applyFont="1">
      <alignment horizontal="center" readingOrder="0" vertical="center"/>
    </xf>
    <xf borderId="1" fillId="2" fontId="48" numFmtId="0" xfId="0" applyAlignment="1" applyBorder="1" applyFont="1">
      <alignment horizontal="center" readingOrder="0"/>
    </xf>
    <xf borderId="1" fillId="27" fontId="34" numFmtId="0" xfId="0" applyAlignment="1" applyBorder="1" applyFont="1">
      <alignment horizontal="center"/>
    </xf>
    <xf borderId="1" fillId="8" fontId="35" numFmtId="0" xfId="0" applyAlignment="1" applyBorder="1" applyFont="1">
      <alignment horizontal="center" vertical="bottom"/>
    </xf>
    <xf borderId="0" fillId="7" fontId="22" numFmtId="0" xfId="0" applyAlignment="1" applyFont="1">
      <alignment horizontal="left" vertical="bottom"/>
    </xf>
    <xf borderId="18" fillId="7" fontId="49" numFmtId="0" xfId="0" applyAlignment="1" applyBorder="1" applyFont="1">
      <alignment horizontal="center"/>
    </xf>
    <xf borderId="1" fillId="7" fontId="50" numFmtId="0" xfId="0" applyAlignment="1" applyBorder="1" applyFont="1">
      <alignment horizontal="center"/>
    </xf>
    <xf borderId="1" fillId="7" fontId="49" numFmtId="0" xfId="0" applyAlignment="1" applyBorder="1" applyFont="1">
      <alignment horizontal="center"/>
    </xf>
    <xf borderId="1" fillId="7" fontId="49" numFmtId="0" xfId="0" applyAlignment="1" applyBorder="1" applyFont="1">
      <alignment horizontal="center" readingOrder="0"/>
    </xf>
    <xf borderId="0" fillId="7" fontId="49" numFmtId="0" xfId="0" applyAlignment="1" applyFont="1">
      <alignment horizontal="center" readingOrder="0"/>
    </xf>
    <xf borderId="0" fillId="0" fontId="22" numFmtId="49" xfId="0" applyAlignment="1" applyFont="1" applyNumberFormat="1">
      <alignment vertical="bottom"/>
    </xf>
    <xf borderId="0" fillId="2" fontId="14" numFmtId="0" xfId="0" applyAlignment="1" applyFont="1">
      <alignment horizontal="center" vertical="center"/>
    </xf>
    <xf borderId="0" fillId="2" fontId="1" numFmtId="49" xfId="0" applyAlignment="1" applyFont="1" applyNumberFormat="1">
      <alignment horizontal="center" vertical="center"/>
    </xf>
    <xf borderId="0" fillId="0" fontId="32" numFmtId="0" xfId="0" applyAlignment="1" applyFont="1">
      <alignment readingOrder="0"/>
    </xf>
    <xf borderId="0" fillId="0" fontId="51" numFmtId="0" xfId="0" applyAlignment="1" applyFont="1">
      <alignment vertical="bottom"/>
    </xf>
    <xf borderId="80" fillId="2" fontId="52" numFmtId="0" xfId="0" applyAlignment="1" applyBorder="1" applyFont="1">
      <alignment horizontal="center" readingOrder="0" vertical="center"/>
    </xf>
    <xf borderId="81" fillId="0" fontId="3" numFmtId="0" xfId="0" applyBorder="1" applyFont="1"/>
    <xf borderId="82" fillId="0" fontId="3" numFmtId="0" xfId="0" applyBorder="1" applyFont="1"/>
    <xf borderId="0" fillId="2" fontId="32" numFmtId="0" xfId="0" applyFont="1"/>
    <xf borderId="1" fillId="0" fontId="51" numFmtId="0" xfId="0" applyAlignment="1" applyBorder="1" applyFont="1">
      <alignment vertical="bottom"/>
    </xf>
    <xf borderId="23" fillId="2" fontId="52" numFmtId="0" xfId="0" applyAlignment="1" applyBorder="1" applyFont="1">
      <alignment horizontal="center" readingOrder="0" vertical="center"/>
    </xf>
    <xf borderId="23" fillId="2" fontId="52" numFmtId="0" xfId="0" applyAlignment="1" applyBorder="1" applyFont="1">
      <alignment horizontal="center" vertical="center"/>
    </xf>
    <xf borderId="83" fillId="0" fontId="53" numFmtId="0" xfId="0" applyAlignment="1" applyBorder="1" applyFont="1">
      <alignment horizontal="center"/>
    </xf>
    <xf borderId="84" fillId="2" fontId="52" numFmtId="0" xfId="0" applyAlignment="1" applyBorder="1" applyFont="1">
      <alignment horizontal="center" readingOrder="0" shrinkToFit="0" wrapText="1"/>
    </xf>
    <xf borderId="84" fillId="10" fontId="54" numFmtId="0" xfId="0" applyAlignment="1" applyBorder="1" applyFont="1">
      <alignment horizontal="center" readingOrder="0"/>
    </xf>
    <xf borderId="0" fillId="9" fontId="32" numFmtId="0" xfId="0" applyFont="1"/>
    <xf borderId="84" fillId="10" fontId="54" numFmtId="0" xfId="0" applyAlignment="1" applyBorder="1" applyFont="1">
      <alignment horizontal="center" readingOrder="0"/>
    </xf>
    <xf borderId="85" fillId="10" fontId="54" numFmtId="0" xfId="0" applyAlignment="1" applyBorder="1" applyFont="1">
      <alignment horizontal="center" readingOrder="0"/>
    </xf>
    <xf borderId="1" fillId="10" fontId="54" numFmtId="0" xfId="0" applyAlignment="1" applyBorder="1" applyFont="1">
      <alignment horizontal="center" readingOrder="0"/>
    </xf>
    <xf borderId="0" fillId="6" fontId="32" numFmtId="0" xfId="0" applyAlignment="1" applyFont="1">
      <alignment readingOrder="0"/>
    </xf>
    <xf borderId="0" fillId="2" fontId="32" numFmtId="0" xfId="0" applyAlignment="1" applyFont="1">
      <alignment readingOrder="0"/>
    </xf>
    <xf borderId="83" fillId="0" fontId="53" numFmtId="0" xfId="0" applyAlignment="1" applyBorder="1" applyFont="1">
      <alignment horizontal="center" readingOrder="0"/>
    </xf>
    <xf borderId="84" fillId="2" fontId="52" numFmtId="0" xfId="0" applyAlignment="1" applyBorder="1" applyFont="1">
      <alignment horizontal="center" shrinkToFit="0" wrapText="1"/>
    </xf>
    <xf borderId="84" fillId="9" fontId="54" numFmtId="0" xfId="0" applyAlignment="1" applyBorder="1" applyFont="1">
      <alignment horizontal="center" readingOrder="0"/>
    </xf>
    <xf borderId="85" fillId="10" fontId="54" numFmtId="0" xfId="0" applyAlignment="1" applyBorder="1" applyFont="1">
      <alignment horizontal="center" readingOrder="0"/>
    </xf>
    <xf borderId="84" fillId="2" fontId="52" numFmtId="0" xfId="0" applyAlignment="1" applyBorder="1" applyFont="1">
      <alignment horizontal="center" shrinkToFit="0" wrapText="1"/>
    </xf>
    <xf borderId="0" fillId="2" fontId="32" numFmtId="0" xfId="0" applyFont="1"/>
    <xf borderId="85" fillId="9" fontId="54" numFmtId="0" xfId="0" applyAlignment="1" applyBorder="1" applyFont="1">
      <alignment horizontal="center" readingOrder="0"/>
    </xf>
    <xf borderId="86" fillId="10" fontId="54" numFmtId="0" xfId="0" applyAlignment="1" applyBorder="1" applyFont="1">
      <alignment horizontal="center" readingOrder="0"/>
    </xf>
    <xf borderId="86" fillId="10" fontId="54" numFmtId="0" xfId="0" applyAlignment="1" applyBorder="1" applyFont="1">
      <alignment horizontal="center" readingOrder="0"/>
    </xf>
    <xf borderId="0" fillId="10" fontId="54" numFmtId="0" xfId="0" applyAlignment="1" applyFont="1">
      <alignment horizontal="center" readingOrder="0"/>
    </xf>
    <xf borderId="26" fillId="10" fontId="54" numFmtId="0" xfId="0" applyAlignment="1" applyBorder="1" applyFont="1">
      <alignment horizontal="center" readingOrder="0"/>
    </xf>
    <xf borderId="0" fillId="0" fontId="55" numFmtId="0" xfId="0" applyFont="1"/>
    <xf borderId="87" fillId="0" fontId="32" numFmtId="0" xfId="0" applyAlignment="1" applyBorder="1" applyFont="1">
      <alignment horizontal="center"/>
    </xf>
    <xf borderId="88" fillId="2" fontId="52" numFmtId="0" xfId="0" applyAlignment="1" applyBorder="1" applyFont="1">
      <alignment horizontal="center" readingOrder="0" vertical="center"/>
    </xf>
    <xf borderId="89" fillId="0" fontId="3" numFmtId="0" xfId="0" applyBorder="1" applyFont="1"/>
    <xf borderId="90" fillId="0" fontId="3" numFmtId="0" xfId="0" applyBorder="1" applyFont="1"/>
    <xf borderId="91" fillId="0" fontId="3" numFmtId="0" xfId="0" applyBorder="1" applyFont="1"/>
    <xf borderId="77" fillId="0" fontId="3" numFmtId="0" xfId="0" applyBorder="1" applyFont="1"/>
    <xf borderId="92" fillId="0" fontId="3" numFmtId="0" xfId="0" applyBorder="1" applyFont="1"/>
    <xf borderId="1" fillId="0" fontId="53" numFmtId="0" xfId="0" applyAlignment="1" applyBorder="1" applyFont="1">
      <alignment horizontal="center"/>
    </xf>
    <xf borderId="1" fillId="2" fontId="52" numFmtId="0" xfId="0" applyAlignment="1" applyBorder="1" applyFont="1">
      <alignment horizontal="center" shrinkToFit="0" wrapText="1"/>
    </xf>
    <xf borderId="1" fillId="9" fontId="54" numFmtId="0" xfId="0" applyAlignment="1" applyBorder="1" applyFont="1">
      <alignment horizontal="center" readingOrder="0"/>
    </xf>
    <xf borderId="1" fillId="2" fontId="52" numFmtId="0" xfId="0" applyAlignment="1" applyBorder="1" applyFont="1">
      <alignment horizontal="center" readingOrder="0" shrinkToFit="0" wrapText="1"/>
    </xf>
    <xf borderId="1" fillId="10" fontId="54" numFmtId="0" xfId="0" applyAlignment="1" applyBorder="1" applyFont="1">
      <alignment horizontal="center" readingOrder="0"/>
    </xf>
    <xf borderId="26" fillId="10" fontId="54" numFmtId="0" xfId="0" applyAlignment="1" applyBorder="1" applyFont="1">
      <alignment horizontal="center" readingOrder="0"/>
    </xf>
    <xf borderId="0" fillId="9" fontId="54" numFmtId="0" xfId="0" applyAlignment="1" applyFont="1">
      <alignment horizontal="center" readingOrder="0"/>
    </xf>
    <xf borderId="0" fillId="0" fontId="53" numFmtId="0" xfId="0" applyAlignment="1" applyFont="1">
      <alignment horizontal="center" readingOrder="0"/>
    </xf>
    <xf borderId="0" fillId="2" fontId="52" numFmtId="0" xfId="0" applyAlignment="1" applyFont="1">
      <alignment horizontal="center" shrinkToFit="0" wrapText="1"/>
    </xf>
    <xf borderId="0" fillId="10" fontId="54" numFmtId="0" xfId="0" applyAlignment="1" applyFont="1">
      <alignment horizontal="center" readingOrder="0"/>
    </xf>
    <xf borderId="69" fillId="2" fontId="52" numFmtId="0" xfId="0" applyAlignment="1" applyBorder="1" applyFont="1">
      <alignment horizontal="center" readingOrder="0" vertical="center"/>
    </xf>
    <xf borderId="69" fillId="2" fontId="52" numFmtId="0" xfId="0" applyAlignment="1" applyBorder="1" applyFont="1">
      <alignment horizontal="center" vertical="center"/>
    </xf>
    <xf borderId="1" fillId="2" fontId="52" numFmtId="0" xfId="0" applyAlignment="1" applyBorder="1" applyFont="1">
      <alignment horizontal="center" shrinkToFit="0" wrapText="1"/>
    </xf>
    <xf borderId="1" fillId="9" fontId="54" numFmtId="0" xfId="0" applyAlignment="1" applyBorder="1" applyFont="1">
      <alignment horizontal="center" readingOrder="0"/>
    </xf>
    <xf borderId="26" fillId="9" fontId="54" numFmtId="0" xfId="0" applyAlignment="1" applyBorder="1" applyFont="1">
      <alignment horizontal="center" readingOrder="0"/>
    </xf>
    <xf borderId="1" fillId="2" fontId="52" numFmtId="4" xfId="0" applyAlignment="1" applyBorder="1" applyFont="1" applyNumberFormat="1">
      <alignment horizontal="center" shrinkToFit="0" wrapText="1"/>
    </xf>
    <xf borderId="26" fillId="9" fontId="54" numFmtId="0" xfId="0" applyAlignment="1" applyBorder="1" applyFont="1">
      <alignment horizontal="center" readingOrder="0"/>
    </xf>
    <xf borderId="93" fillId="0" fontId="56" numFmtId="0" xfId="0" applyAlignment="1" applyBorder="1" applyFont="1">
      <alignment horizontal="center" readingOrder="0" vertical="center"/>
    </xf>
    <xf borderId="94" fillId="0" fontId="3" numFmtId="0" xfId="0" applyBorder="1" applyFont="1"/>
    <xf borderId="95" fillId="0" fontId="3" numFmtId="0" xfId="0" applyBorder="1" applyFont="1"/>
    <xf borderId="0" fillId="0" fontId="22" numFmtId="0" xfId="0" applyAlignment="1" applyFont="1">
      <alignment vertical="bottom"/>
    </xf>
    <xf borderId="18" fillId="0" fontId="57" numFmtId="169" xfId="0" applyAlignment="1" applyBorder="1" applyFont="1" applyNumberFormat="1">
      <alignment horizontal="center" vertical="bottom"/>
    </xf>
    <xf borderId="1" fillId="0" fontId="20" numFmtId="0" xfId="0" applyAlignment="1" applyBorder="1" applyFont="1">
      <alignment horizontal="center" vertical="bottom"/>
    </xf>
    <xf borderId="1" fillId="2" fontId="20" numFmtId="0" xfId="0" applyAlignment="1" applyBorder="1" applyFont="1">
      <alignment horizontal="center" vertical="bottom"/>
    </xf>
    <xf borderId="0" fillId="0" fontId="22" numFmtId="0" xfId="0" applyAlignment="1" applyFont="1">
      <alignment vertical="bottom"/>
    </xf>
    <xf borderId="0" fillId="9" fontId="22" numFmtId="0" xfId="0" applyAlignment="1" applyFont="1">
      <alignment vertical="bottom"/>
    </xf>
    <xf borderId="0" fillId="2" fontId="28" numFmtId="0" xfId="0" applyAlignment="1" applyFont="1">
      <alignment shrinkToFit="0" vertical="bottom" wrapText="1"/>
    </xf>
    <xf borderId="0" fillId="0" fontId="32" numFmtId="0" xfId="0" applyFont="1"/>
    <xf borderId="18" fillId="0" fontId="57" numFmtId="169" xfId="0" applyAlignment="1" applyBorder="1" applyFont="1" applyNumberFormat="1">
      <alignment horizontal="center" readingOrder="0" vertical="bottom"/>
    </xf>
    <xf borderId="1" fillId="0" fontId="20" numFmtId="0" xfId="0" applyAlignment="1" applyBorder="1" applyFont="1">
      <alignment horizontal="center" readingOrder="0" vertical="bottom"/>
    </xf>
    <xf borderId="1" fillId="2" fontId="20" numFmtId="0" xfId="0" applyAlignment="1" applyBorder="1" applyFont="1">
      <alignment horizontal="center" readingOrder="0" vertical="bottom"/>
    </xf>
    <xf borderId="0" fillId="2" fontId="52" numFmtId="0" xfId="0" applyAlignment="1" applyFont="1">
      <alignment horizontal="center" readingOrder="0" vertical="center"/>
    </xf>
    <xf borderId="1" fillId="2" fontId="52" numFmtId="0" xfId="0" applyAlignment="1" applyBorder="1" applyFont="1">
      <alignment horizontal="center" readingOrder="0" vertical="center"/>
    </xf>
    <xf borderId="1" fillId="2" fontId="52" numFmtId="0" xfId="0" applyAlignment="1" applyBorder="1" applyFont="1">
      <alignment horizontal="center" vertical="center"/>
    </xf>
    <xf borderId="84" fillId="9" fontId="54" numFmtId="0" xfId="0" applyAlignment="1" applyBorder="1" applyFont="1">
      <alignment horizontal="center" readingOrder="0"/>
    </xf>
    <xf borderId="26" fillId="2" fontId="52" numFmtId="0" xfId="0" applyAlignment="1" applyBorder="1" applyFont="1">
      <alignment horizontal="center" readingOrder="0" vertical="center"/>
    </xf>
    <xf borderId="26" fillId="2" fontId="52" numFmtId="0" xfId="0" applyAlignment="1" applyBorder="1" applyFont="1">
      <alignment horizontal="center" vertical="center"/>
    </xf>
    <xf borderId="83" fillId="2" fontId="53" numFmtId="0" xfId="0" applyAlignment="1" applyBorder="1" applyFont="1">
      <alignment horizontal="center" readingOrder="0"/>
    </xf>
    <xf borderId="84" fillId="2" fontId="54" numFmtId="0" xfId="0" applyAlignment="1" applyBorder="1" applyFont="1">
      <alignment horizontal="center" readingOrder="0"/>
    </xf>
    <xf borderId="84" fillId="2" fontId="54" numFmtId="0" xfId="0" applyAlignment="1" applyBorder="1" applyFont="1">
      <alignment horizontal="center" readingOrder="0"/>
    </xf>
    <xf borderId="0" fillId="0" fontId="32" numFmtId="0" xfId="0" applyAlignment="1" applyFont="1">
      <alignment horizontal="center" readingOrder="0" vertical="center"/>
    </xf>
    <xf borderId="0" fillId="2" fontId="58" numFmtId="0" xfId="0" applyFont="1"/>
    <xf borderId="0" fillId="0" fontId="32" numFmtId="4" xfId="0" applyFont="1" applyNumberFormat="1"/>
    <xf borderId="0" fillId="28" fontId="59" numFmtId="0" xfId="0" applyAlignment="1" applyFill="1" applyFont="1">
      <alignment vertical="bottom"/>
    </xf>
    <xf borderId="0" fillId="28" fontId="28" numFmtId="0" xfId="0" applyAlignment="1" applyFont="1">
      <alignment readingOrder="0" vertical="bottom"/>
    </xf>
    <xf borderId="0" fillId="28" fontId="28" numFmtId="0" xfId="0" applyAlignment="1" applyFont="1">
      <alignment vertical="bottom"/>
    </xf>
    <xf borderId="0" fillId="2" fontId="60" numFmtId="0" xfId="0" applyFont="1"/>
    <xf borderId="0" fillId="0" fontId="46" numFmtId="0" xfId="0" applyAlignment="1" applyFont="1">
      <alignment horizontal="center" vertical="center"/>
    </xf>
    <xf borderId="0" fillId="0" fontId="46" numFmtId="0" xfId="0" applyFont="1"/>
    <xf borderId="0" fillId="2" fontId="59" numFmtId="0" xfId="0" applyAlignment="1" applyFont="1">
      <alignment horizontal="center" vertical="bottom"/>
    </xf>
    <xf borderId="0" fillId="2" fontId="28" numFmtId="0" xfId="0" applyAlignment="1" applyFont="1">
      <alignment horizontal="center" readingOrder="0" vertical="bottom"/>
    </xf>
    <xf borderId="0" fillId="2" fontId="46" numFmtId="0" xfId="0" applyAlignment="1" applyFont="1">
      <alignment horizontal="center" vertical="center"/>
    </xf>
    <xf borderId="0" fillId="2" fontId="46" numFmtId="0" xfId="0" applyFont="1"/>
    <xf borderId="0" fillId="28" fontId="59" numFmtId="0" xfId="0" applyAlignment="1" applyFont="1">
      <alignment horizontal="center" vertical="bottom"/>
    </xf>
    <xf borderId="0" fillId="28" fontId="28" numFmtId="0" xfId="0" applyAlignment="1" applyFont="1">
      <alignment horizontal="center" readingOrder="0" vertical="bottom"/>
    </xf>
    <xf borderId="0" fillId="19" fontId="22" numFmtId="0" xfId="0" applyAlignment="1" applyFont="1">
      <alignment horizontal="center" vertical="bottom"/>
    </xf>
    <xf borderId="0" fillId="19" fontId="22" numFmtId="0" xfId="0" applyAlignment="1" applyFont="1">
      <alignment horizontal="center" readingOrder="0" vertical="bottom"/>
    </xf>
    <xf borderId="0" fillId="19" fontId="28" numFmtId="0" xfId="0" applyAlignment="1" applyFont="1">
      <alignment horizontal="center" vertical="bottom"/>
    </xf>
    <xf borderId="0" fillId="29" fontId="28" numFmtId="0" xfId="0" applyAlignment="1" applyFill="1" applyFont="1">
      <alignment vertical="bottom"/>
    </xf>
    <xf borderId="0" fillId="29" fontId="28" numFmtId="0" xfId="0" applyAlignment="1" applyFont="1">
      <alignment readingOrder="0" vertical="bottom"/>
    </xf>
    <xf borderId="0" fillId="2" fontId="58" numFmtId="0" xfId="0" applyFont="1"/>
    <xf borderId="0" fillId="0" fontId="32" numFmtId="0" xfId="0" applyAlignment="1" applyFont="1">
      <alignment readingOrder="0"/>
    </xf>
    <xf borderId="0" fillId="0" fontId="32" numFmtId="0" xfId="0" applyFont="1"/>
    <xf borderId="0" fillId="30" fontId="28" numFmtId="4" xfId="0" applyAlignment="1" applyFill="1" applyFont="1" applyNumberFormat="1">
      <alignment vertical="bottom"/>
    </xf>
    <xf borderId="0" fillId="0" fontId="28" numFmtId="0" xfId="0" applyAlignment="1" applyFont="1">
      <alignment readingOrder="0"/>
    </xf>
    <xf borderId="0" fillId="0" fontId="32" numFmtId="4" xfId="0" applyFont="1" applyNumberFormat="1"/>
    <xf borderId="0" fillId="0" fontId="32" numFmtId="3" xfId="0" applyFont="1" applyNumberFormat="1"/>
    <xf borderId="0" fillId="0" fontId="32" numFmtId="10" xfId="0" applyFont="1" applyNumberFormat="1"/>
    <xf borderId="0" fillId="0" fontId="32" numFmtId="1" xfId="0" applyFont="1" applyNumberFormat="1"/>
    <xf borderId="0" fillId="0" fontId="32" numFmtId="2" xfId="0" applyFont="1" applyNumberFormat="1"/>
    <xf borderId="0" fillId="2" fontId="61" numFmtId="4" xfId="0" applyAlignment="1" applyFont="1" applyNumberFormat="1">
      <alignment horizontal="center" vertical="bottom"/>
    </xf>
    <xf borderId="0" fillId="0" fontId="32" numFmtId="2" xfId="0" applyFont="1" applyNumberFormat="1"/>
    <xf borderId="0" fillId="0" fontId="22" numFmtId="4" xfId="0" applyAlignment="1" applyFont="1" applyNumberFormat="1">
      <alignment vertical="bottom"/>
    </xf>
    <xf borderId="0" fillId="31" fontId="28" numFmtId="0" xfId="0" applyAlignment="1" applyFill="1" applyFont="1">
      <alignment vertical="bottom"/>
    </xf>
    <xf borderId="0" fillId="31" fontId="28" numFmtId="0" xfId="0" applyAlignment="1" applyFont="1">
      <alignment readingOrder="0" vertical="bottom"/>
    </xf>
    <xf borderId="0" fillId="2" fontId="28" numFmtId="4" xfId="0" applyAlignment="1" applyFont="1" applyNumberFormat="1">
      <alignment horizontal="center" readingOrder="0" vertical="bottom"/>
    </xf>
    <xf borderId="0" fillId="2" fontId="46" numFmtId="4" xfId="0" applyAlignment="1" applyFont="1" applyNumberFormat="1">
      <alignment horizontal="center" vertical="center"/>
    </xf>
    <xf borderId="0" fillId="2" fontId="32" numFmtId="4" xfId="0" applyFont="1" applyNumberFormat="1"/>
    <xf borderId="2" fillId="3" fontId="62" numFmtId="164" xfId="0" applyAlignment="1" applyBorder="1" applyFont="1" applyNumberFormat="1">
      <alignment horizontal="center" readingOrder="0"/>
    </xf>
    <xf borderId="2" fillId="3" fontId="62" numFmtId="0" xfId="0" applyAlignment="1" applyBorder="1" applyFont="1">
      <alignment horizontal="center" readingOrder="0"/>
    </xf>
    <xf borderId="0" fillId="3" fontId="62" numFmtId="0" xfId="0" applyAlignment="1" applyFont="1">
      <alignment horizontal="center" readingOrder="0"/>
    </xf>
    <xf borderId="0" fillId="2" fontId="62" numFmtId="0" xfId="0" applyAlignment="1" applyFont="1">
      <alignment horizontal="center" readingOrder="0"/>
    </xf>
    <xf borderId="3" fillId="4" fontId="63" numFmtId="49" xfId="0" applyAlignment="1" applyBorder="1" applyFont="1" applyNumberFormat="1">
      <alignment horizontal="center" readingOrder="0" vertical="center"/>
    </xf>
    <xf borderId="3" fillId="5" fontId="1" numFmtId="49" xfId="0" applyAlignment="1" applyBorder="1" applyFont="1" applyNumberFormat="1">
      <alignment horizontal="center" readingOrder="0" vertical="center"/>
    </xf>
    <xf borderId="5" fillId="3" fontId="63" numFmtId="49" xfId="0" applyAlignment="1" applyBorder="1" applyFont="1" applyNumberFormat="1">
      <alignment horizontal="center" readingOrder="0" vertical="center"/>
    </xf>
    <xf borderId="6" fillId="5" fontId="64" numFmtId="165" xfId="0" applyAlignment="1" applyBorder="1" applyFont="1" applyNumberFormat="1">
      <alignment horizontal="center"/>
    </xf>
    <xf borderId="3" fillId="3" fontId="5" numFmtId="49" xfId="0" applyAlignment="1" applyBorder="1" applyFont="1" applyNumberFormat="1">
      <alignment horizontal="center" readingOrder="0" vertical="bottom"/>
    </xf>
    <xf borderId="0" fillId="2" fontId="5" numFmtId="49" xfId="0" applyAlignment="1" applyFont="1" applyNumberFormat="1">
      <alignment horizontal="center" readingOrder="0" vertical="bottom"/>
    </xf>
    <xf borderId="10" fillId="5" fontId="34" numFmtId="49" xfId="0" applyAlignment="1" applyBorder="1" applyFont="1" applyNumberFormat="1">
      <alignment horizontal="center" vertical="center"/>
    </xf>
    <xf borderId="16" fillId="3" fontId="7" numFmtId="49" xfId="0" applyAlignment="1" applyBorder="1" applyFont="1" applyNumberFormat="1">
      <alignment horizontal="center" readingOrder="0" vertical="center"/>
    </xf>
    <xf borderId="7" fillId="5" fontId="35" numFmtId="165" xfId="0" applyAlignment="1" applyBorder="1" applyFont="1" applyNumberFormat="1">
      <alignment horizontal="center" vertical="center"/>
    </xf>
    <xf borderId="14" fillId="4" fontId="7" numFmtId="49" xfId="0" applyAlignment="1" applyBorder="1" applyFont="1" applyNumberFormat="1">
      <alignment horizontal="center" readingOrder="0" vertical="center"/>
    </xf>
    <xf borderId="16" fillId="4" fontId="7" numFmtId="49" xfId="0" applyAlignment="1" applyBorder="1" applyFont="1" applyNumberFormat="1">
      <alignment horizontal="center" readingOrder="0" vertical="center"/>
    </xf>
    <xf borderId="17" fillId="3" fontId="7" numFmtId="49" xfId="0" applyAlignment="1" applyBorder="1" applyFont="1" applyNumberFormat="1">
      <alignment horizontal="center" readingOrder="0" vertical="center"/>
    </xf>
    <xf borderId="0" fillId="2" fontId="7" numFmtId="49" xfId="0" applyAlignment="1" applyFont="1" applyNumberFormat="1">
      <alignment horizontal="center" readingOrder="0" vertical="center"/>
    </xf>
    <xf borderId="18" fillId="2" fontId="1" numFmtId="0" xfId="0" applyAlignment="1" applyBorder="1" applyFont="1">
      <alignment horizontal="center" readingOrder="0" vertical="center"/>
    </xf>
    <xf borderId="10" fillId="5" fontId="1" numFmtId="49" xfId="0" applyAlignment="1" applyBorder="1" applyFont="1" applyNumberFormat="1">
      <alignment horizontal="center" vertical="center"/>
    </xf>
    <xf borderId="22" fillId="7" fontId="1" numFmtId="49" xfId="0" applyAlignment="1" applyBorder="1" applyFont="1" applyNumberFormat="1">
      <alignment horizontal="center" readingOrder="0" vertical="center"/>
    </xf>
    <xf borderId="7" fillId="5" fontId="14" numFmtId="165" xfId="0" applyAlignment="1" applyBorder="1" applyFont="1" applyNumberFormat="1">
      <alignment horizontal="center"/>
    </xf>
    <xf borderId="1" fillId="6" fontId="1" numFmtId="49" xfId="0" applyAlignment="1" applyBorder="1" applyFont="1" applyNumberFormat="1">
      <alignment horizontal="center" readingOrder="0"/>
    </xf>
    <xf borderId="7" fillId="5" fontId="14" numFmtId="0" xfId="0" applyAlignment="1" applyBorder="1" applyFont="1">
      <alignment horizontal="center"/>
    </xf>
    <xf borderId="12" fillId="8" fontId="1" numFmtId="49" xfId="0" applyAlignment="1" applyBorder="1" applyFont="1" applyNumberFormat="1">
      <alignment horizontal="center" readingOrder="0" vertical="bottom"/>
    </xf>
    <xf borderId="24" fillId="8" fontId="1" numFmtId="0" xfId="0" applyAlignment="1" applyBorder="1" applyFont="1">
      <alignment horizontal="center" readingOrder="0" vertical="bottom"/>
    </xf>
    <xf borderId="1" fillId="8" fontId="1" numFmtId="0" xfId="0" applyAlignment="1" applyBorder="1" applyFont="1">
      <alignment horizontal="center" readingOrder="0" vertical="top"/>
    </xf>
    <xf borderId="6" fillId="7" fontId="1" numFmtId="49" xfId="0" applyAlignment="1" applyBorder="1" applyFont="1" applyNumberFormat="1">
      <alignment horizontal="center" readingOrder="0" vertical="center"/>
    </xf>
    <xf borderId="3" fillId="7" fontId="1" numFmtId="49" xfId="0" applyAlignment="1" applyBorder="1" applyFont="1" applyNumberFormat="1">
      <alignment horizontal="center" readingOrder="0" vertical="center"/>
    </xf>
    <xf borderId="24" fillId="2" fontId="1" numFmtId="0" xfId="0" applyAlignment="1" applyBorder="1" applyFont="1">
      <alignment horizontal="center" readingOrder="0" vertical="center"/>
    </xf>
    <xf borderId="25" fillId="7" fontId="1" numFmtId="49" xfId="0" applyAlignment="1" applyBorder="1" applyFont="1" applyNumberFormat="1">
      <alignment horizontal="center" readingOrder="0" vertical="center"/>
    </xf>
    <xf borderId="1" fillId="2" fontId="14" numFmtId="49" xfId="0" applyAlignment="1" applyBorder="1" applyFont="1" applyNumberFormat="1">
      <alignment horizontal="center" readingOrder="0"/>
    </xf>
    <xf borderId="13" fillId="7" fontId="1" numFmtId="49" xfId="0" applyAlignment="1" applyBorder="1" applyFont="1" applyNumberFormat="1">
      <alignment horizontal="center" readingOrder="0"/>
    </xf>
    <xf borderId="12" fillId="8" fontId="1" numFmtId="49" xfId="0" applyAlignment="1" applyBorder="1" applyFont="1" applyNumberFormat="1">
      <alignment horizontal="center" readingOrder="0"/>
    </xf>
    <xf borderId="23" fillId="8" fontId="1" numFmtId="0" xfId="0" applyAlignment="1" applyBorder="1" applyFont="1">
      <alignment horizontal="center" vertical="bottom"/>
    </xf>
    <xf borderId="1" fillId="8" fontId="1" numFmtId="49" xfId="0" applyAlignment="1" applyBorder="1" applyFont="1" applyNumberFormat="1">
      <alignment horizontal="center" readingOrder="0" vertical="top"/>
    </xf>
    <xf borderId="7" fillId="7" fontId="1" numFmtId="49" xfId="0" applyAlignment="1" applyBorder="1" applyFont="1" applyNumberFormat="1">
      <alignment horizontal="center" vertical="center"/>
    </xf>
    <xf borderId="10" fillId="7" fontId="1" numFmtId="49" xfId="0" applyAlignment="1" applyBorder="1" applyFont="1" applyNumberFormat="1">
      <alignment horizontal="center" vertical="center"/>
    </xf>
    <xf borderId="1" fillId="7" fontId="1" numFmtId="49" xfId="0" applyAlignment="1" applyBorder="1" applyFont="1" applyNumberFormat="1">
      <alignment horizontal="center" vertical="center"/>
    </xf>
    <xf borderId="25" fillId="7" fontId="1" numFmtId="49" xfId="0" applyAlignment="1" applyBorder="1" applyFont="1" applyNumberFormat="1">
      <alignment horizontal="center" vertical="center"/>
    </xf>
    <xf borderId="0" fillId="2" fontId="1" numFmtId="0" xfId="0" applyAlignment="1" applyFont="1">
      <alignment horizontal="center" readingOrder="0" vertical="center"/>
    </xf>
    <xf borderId="10" fillId="7" fontId="1" numFmtId="49" xfId="0" applyAlignment="1" applyBorder="1" applyFont="1" applyNumberFormat="1">
      <alignment horizontal="center" readingOrder="0" vertical="center"/>
    </xf>
    <xf borderId="25" fillId="5" fontId="1" numFmtId="49" xfId="0" applyAlignment="1" applyBorder="1" applyFont="1" applyNumberFormat="1">
      <alignment horizontal="center" readingOrder="0"/>
    </xf>
    <xf borderId="1" fillId="8" fontId="34" numFmtId="0" xfId="0" applyAlignment="1" applyBorder="1" applyFont="1">
      <alignment horizontal="center" readingOrder="0" shrinkToFit="0" vertical="bottom" wrapText="0"/>
    </xf>
    <xf borderId="23" fillId="8" fontId="35" numFmtId="4" xfId="0" applyAlignment="1" applyBorder="1" applyFont="1" applyNumberFormat="1">
      <alignment horizontal="center" vertical="bottom"/>
    </xf>
    <xf borderId="25" fillId="8" fontId="1" numFmtId="49" xfId="0" applyAlignment="1" applyBorder="1" applyFont="1" applyNumberFormat="1">
      <alignment horizontal="center" readingOrder="0"/>
    </xf>
    <xf borderId="27" fillId="2" fontId="1" numFmtId="49" xfId="0" applyAlignment="1" applyBorder="1" applyFont="1" applyNumberFormat="1">
      <alignment horizontal="center" readingOrder="0" vertical="bottom"/>
    </xf>
    <xf borderId="18" fillId="8" fontId="14" numFmtId="49" xfId="0" applyAlignment="1" applyBorder="1" applyFont="1" applyNumberFormat="1">
      <alignment horizontal="center" readingOrder="0" vertical="bottom"/>
    </xf>
    <xf borderId="18" fillId="8" fontId="14" numFmtId="49" xfId="0" applyAlignment="1" applyBorder="1" applyFont="1" applyNumberFormat="1">
      <alignment horizontal="center" readingOrder="0" vertical="center"/>
    </xf>
    <xf borderId="21" fillId="2" fontId="1" numFmtId="49" xfId="0" applyAlignment="1" applyBorder="1" applyFont="1" applyNumberFormat="1">
      <alignment horizontal="center" readingOrder="0"/>
    </xf>
    <xf borderId="1" fillId="4" fontId="1" numFmtId="49" xfId="0" applyAlignment="1" applyBorder="1" applyFont="1" applyNumberFormat="1">
      <alignment horizontal="center" readingOrder="0" vertical="bottom"/>
    </xf>
    <xf borderId="13" fillId="2" fontId="1" numFmtId="0" xfId="0" applyAlignment="1" applyBorder="1" applyFont="1">
      <alignment horizontal="center" readingOrder="0" vertical="center"/>
    </xf>
    <xf borderId="25" fillId="2" fontId="14" numFmtId="49" xfId="0" applyAlignment="1" applyBorder="1" applyFont="1" applyNumberFormat="1">
      <alignment horizontal="center" readingOrder="0"/>
    </xf>
    <xf borderId="12" fillId="3" fontId="1" numFmtId="49" xfId="0" applyAlignment="1" applyBorder="1" applyFont="1" applyNumberFormat="1">
      <alignment horizontal="center" readingOrder="0"/>
    </xf>
    <xf borderId="25" fillId="2" fontId="14" numFmtId="49" xfId="0" applyAlignment="1" applyBorder="1" applyFont="1" applyNumberFormat="1">
      <alignment horizontal="center" readingOrder="0" vertical="center"/>
    </xf>
    <xf borderId="10" fillId="5" fontId="1" numFmtId="49" xfId="0" applyAlignment="1" applyBorder="1" applyFont="1" applyNumberFormat="1">
      <alignment horizontal="center" readingOrder="0" vertical="center"/>
    </xf>
    <xf borderId="7" fillId="5" fontId="14" numFmtId="165" xfId="0" applyAlignment="1" applyBorder="1" applyFont="1" applyNumberFormat="1">
      <alignment horizontal="center" vertical="center"/>
    </xf>
    <xf borderId="1" fillId="4" fontId="1" numFmtId="49" xfId="0" applyAlignment="1" applyBorder="1" applyFont="1" applyNumberFormat="1">
      <alignment horizontal="center" readingOrder="0" vertical="center"/>
    </xf>
    <xf borderId="12" fillId="3" fontId="1" numFmtId="49" xfId="0" applyAlignment="1" applyBorder="1" applyFont="1" applyNumberFormat="1">
      <alignment horizontal="center" readingOrder="0" vertical="center"/>
    </xf>
    <xf borderId="7" fillId="5" fontId="14" numFmtId="0" xfId="0" applyAlignment="1" applyBorder="1" applyFont="1">
      <alignment horizontal="center" readingOrder="0"/>
    </xf>
    <xf borderId="0" fillId="5" fontId="1" numFmtId="49" xfId="0" applyAlignment="1" applyFont="1" applyNumberFormat="1">
      <alignment readingOrder="0"/>
    </xf>
    <xf borderId="1" fillId="3" fontId="14" numFmtId="49" xfId="0" applyAlignment="1" applyBorder="1" applyFont="1" applyNumberFormat="1">
      <alignment horizontal="center" readingOrder="0" vertical="center"/>
    </xf>
    <xf borderId="1" fillId="2" fontId="1" numFmtId="49" xfId="0" applyAlignment="1" applyBorder="1" applyFont="1" applyNumberFormat="1">
      <alignment horizontal="center" readingOrder="0" vertical="top"/>
    </xf>
    <xf borderId="1" fillId="0" fontId="1" numFmtId="49" xfId="0" applyAlignment="1" applyBorder="1" applyFont="1" applyNumberFormat="1">
      <alignment horizontal="center" readingOrder="0" vertical="center"/>
    </xf>
    <xf borderId="21" fillId="2" fontId="14" numFmtId="49" xfId="0" applyAlignment="1" applyBorder="1" applyFont="1" applyNumberFormat="1">
      <alignment horizontal="center" readingOrder="0"/>
    </xf>
    <xf borderId="7" fillId="2" fontId="14" numFmtId="49" xfId="0" applyAlignment="1" applyBorder="1" applyFont="1" applyNumberFormat="1">
      <alignment horizontal="center" readingOrder="0"/>
    </xf>
    <xf borderId="12" fillId="3" fontId="1" numFmtId="0" xfId="0" applyAlignment="1" applyBorder="1" applyFont="1">
      <alignment horizontal="center" readingOrder="0" vertical="center"/>
    </xf>
    <xf borderId="25" fillId="2" fontId="1" numFmtId="0" xfId="0" applyAlignment="1" applyBorder="1" applyFont="1">
      <alignment horizontal="center" readingOrder="0" shrinkToFit="0" vertical="bottom" wrapText="1"/>
    </xf>
    <xf borderId="10" fillId="5" fontId="14" numFmtId="165" xfId="0" applyAlignment="1" applyBorder="1" applyFont="1" applyNumberFormat="1">
      <alignment horizontal="center" vertical="center"/>
    </xf>
    <xf borderId="25" fillId="7" fontId="14" numFmtId="0" xfId="0" applyAlignment="1" applyBorder="1" applyFont="1">
      <alignment horizontal="center" readingOrder="0" vertical="center"/>
    </xf>
    <xf borderId="7" fillId="7" fontId="14" numFmtId="0" xfId="0" applyAlignment="1" applyBorder="1" applyFont="1">
      <alignment horizontal="center" readingOrder="0" vertical="center"/>
    </xf>
    <xf borderId="1" fillId="9" fontId="14" numFmtId="49" xfId="0" applyAlignment="1" applyBorder="1" applyFont="1" applyNumberFormat="1">
      <alignment horizontal="center" readingOrder="0" vertical="center"/>
    </xf>
    <xf borderId="25" fillId="9" fontId="14" numFmtId="49" xfId="0" applyAlignment="1" applyBorder="1" applyFont="1" applyNumberFormat="1">
      <alignment horizontal="center" readingOrder="0" vertical="center"/>
    </xf>
    <xf borderId="7" fillId="7" fontId="14" numFmtId="165" xfId="0" applyAlignment="1" applyBorder="1" applyFont="1" applyNumberFormat="1">
      <alignment horizontal="center" vertical="center"/>
    </xf>
    <xf borderId="10" fillId="7" fontId="14" numFmtId="165" xfId="0" applyAlignment="1" applyBorder="1" applyFont="1" applyNumberFormat="1">
      <alignment horizontal="center" vertical="center"/>
    </xf>
    <xf borderId="1" fillId="7" fontId="14" numFmtId="165" xfId="0" applyAlignment="1" applyBorder="1" applyFont="1" applyNumberFormat="1">
      <alignment horizontal="center" vertical="center"/>
    </xf>
    <xf borderId="25" fillId="7" fontId="14" numFmtId="165" xfId="0" applyAlignment="1" applyBorder="1" applyFont="1" applyNumberFormat="1">
      <alignment horizontal="center" vertical="center"/>
    </xf>
    <xf borderId="0" fillId="2" fontId="14" numFmtId="165" xfId="0" applyAlignment="1" applyFont="1" applyNumberFormat="1">
      <alignment horizontal="center" vertical="center"/>
    </xf>
    <xf borderId="23" fillId="9" fontId="1" numFmtId="49" xfId="0" applyAlignment="1" applyBorder="1" applyFont="1" applyNumberFormat="1">
      <alignment horizontal="center" readingOrder="0" vertical="bottom"/>
    </xf>
    <xf borderId="1" fillId="9" fontId="1" numFmtId="0" xfId="0" applyAlignment="1" applyBorder="1" applyFont="1">
      <alignment horizontal="center" vertical="bottom"/>
    </xf>
    <xf borderId="12" fillId="9" fontId="1" numFmtId="49" xfId="0" applyAlignment="1" applyBorder="1" applyFont="1" applyNumberFormat="1">
      <alignment horizontal="center"/>
    </xf>
    <xf borderId="27" fillId="9" fontId="1" numFmtId="49" xfId="0" applyAlignment="1" applyBorder="1" applyFont="1" applyNumberFormat="1">
      <alignment horizontal="center" readingOrder="0" vertical="bottom"/>
    </xf>
    <xf borderId="1" fillId="10" fontId="1" numFmtId="49" xfId="0" applyAlignment="1" applyBorder="1" applyFont="1" applyNumberFormat="1">
      <alignment horizontal="center" readingOrder="0" vertical="center"/>
    </xf>
    <xf borderId="1" fillId="4" fontId="14" numFmtId="49" xfId="0" applyAlignment="1" applyBorder="1" applyFont="1" applyNumberFormat="1">
      <alignment horizontal="center" readingOrder="0" vertical="center"/>
    </xf>
    <xf borderId="1" fillId="0" fontId="65" numFmtId="0" xfId="0" applyAlignment="1" applyBorder="1" applyFont="1">
      <alignment horizontal="center" readingOrder="0"/>
    </xf>
    <xf borderId="10" fillId="7" fontId="14" numFmtId="0" xfId="0" applyAlignment="1" applyBorder="1" applyFont="1">
      <alignment horizontal="center" readingOrder="0" vertical="center"/>
    </xf>
    <xf borderId="7" fillId="5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shrinkToFit="0" vertical="bottom" wrapText="1"/>
    </xf>
    <xf borderId="1" fillId="2" fontId="65" numFmtId="49" xfId="0" applyAlignment="1" applyBorder="1" applyFont="1" applyNumberFormat="1">
      <alignment horizontal="center" readingOrder="0"/>
    </xf>
    <xf borderId="0" fillId="2" fontId="66" numFmtId="0" xfId="0" applyAlignment="1" applyFont="1">
      <alignment horizontal="center" readingOrder="0"/>
    </xf>
    <xf borderId="25" fillId="2" fontId="14" numFmtId="49" xfId="0" applyAlignment="1" applyBorder="1" applyFont="1" applyNumberFormat="1">
      <alignment horizontal="center" readingOrder="0" vertical="bottom"/>
    </xf>
    <xf borderId="1" fillId="2" fontId="14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67" numFmtId="49" xfId="0" applyAlignment="1" applyBorder="1" applyFont="1" applyNumberFormat="1">
      <alignment horizontal="center" readingOrder="0"/>
    </xf>
    <xf borderId="12" fillId="4" fontId="1" numFmtId="49" xfId="0" applyAlignment="1" applyBorder="1" applyFont="1" applyNumberFormat="1">
      <alignment horizontal="center" readingOrder="0" vertical="bottom"/>
    </xf>
    <xf borderId="25" fillId="2" fontId="65" numFmtId="49" xfId="0" applyAlignment="1" applyBorder="1" applyFont="1" applyNumberFormat="1">
      <alignment horizontal="center" readingOrder="0"/>
    </xf>
    <xf borderId="28" fillId="3" fontId="1" numFmtId="49" xfId="0" applyAlignment="1" applyBorder="1" applyFont="1" applyNumberFormat="1">
      <alignment horizontal="center" readingOrder="0" vertical="center"/>
    </xf>
    <xf borderId="23" fillId="4" fontId="1" numFmtId="49" xfId="0" applyAlignment="1" applyBorder="1" applyFont="1" applyNumberFormat="1">
      <alignment horizontal="center" readingOrder="0" vertical="bottom"/>
    </xf>
    <xf borderId="29" fillId="4" fontId="1" numFmtId="49" xfId="0" applyAlignment="1" applyBorder="1" applyFont="1" applyNumberFormat="1">
      <alignment horizontal="center" readingOrder="0" vertical="center"/>
    </xf>
    <xf borderId="23" fillId="2" fontId="1" numFmtId="0" xfId="0" applyAlignment="1" applyBorder="1" applyFont="1">
      <alignment horizontal="center" readingOrder="0" shrinkToFit="0" vertical="bottom" wrapText="1"/>
    </xf>
    <xf borderId="8" fillId="5" fontId="1" numFmtId="49" xfId="0" applyAlignment="1" applyBorder="1" applyFont="1" applyNumberFormat="1">
      <alignment horizontal="center" vertical="center"/>
    </xf>
    <xf borderId="21" fillId="5" fontId="68" numFmtId="49" xfId="0" applyAlignment="1" applyBorder="1" applyFont="1" applyNumberFormat="1">
      <alignment horizontal="center"/>
    </xf>
    <xf borderId="41" fillId="2" fontId="1" numFmtId="49" xfId="0" applyAlignment="1" applyBorder="1" applyFont="1" applyNumberFormat="1">
      <alignment horizontal="center" readingOrder="0" vertical="center"/>
    </xf>
    <xf borderId="29" fillId="5" fontId="14" numFmtId="0" xfId="0" applyAlignment="1" applyBorder="1" applyFont="1">
      <alignment horizontal="center" readingOrder="0"/>
    </xf>
    <xf borderId="8" fillId="5" fontId="1" numFmtId="49" xfId="0" applyAlignment="1" applyBorder="1" applyFont="1" applyNumberFormat="1">
      <alignment horizontal="center" readingOrder="0" vertical="center"/>
    </xf>
    <xf borderId="23" fillId="2" fontId="1" numFmtId="0" xfId="0" applyAlignment="1" applyBorder="1" applyFont="1">
      <alignment horizontal="center" shrinkToFit="0" vertical="bottom" wrapText="1"/>
    </xf>
    <xf borderId="25" fillId="11" fontId="1" numFmtId="49" xfId="0" applyAlignment="1" applyBorder="1" applyFont="1" applyNumberFormat="1">
      <alignment horizontal="center" readingOrder="0" vertical="bottom"/>
    </xf>
    <xf borderId="29" fillId="5" fontId="14" numFmtId="165" xfId="0" applyAlignment="1" applyBorder="1" applyFont="1" applyNumberFormat="1">
      <alignment horizontal="center"/>
    </xf>
    <xf borderId="1" fillId="12" fontId="1" numFmtId="0" xfId="0" applyAlignment="1" applyBorder="1" applyFont="1">
      <alignment horizontal="center" readingOrder="0" shrinkToFit="0" vertical="center" wrapText="1"/>
    </xf>
    <xf borderId="25" fillId="12" fontId="1" numFmtId="49" xfId="0" applyAlignment="1" applyBorder="1" applyFont="1" applyNumberFormat="1">
      <alignment horizontal="center" readingOrder="0" vertical="center"/>
    </xf>
    <xf borderId="14" fillId="12" fontId="14" numFmtId="49" xfId="0" applyAlignment="1" applyBorder="1" applyFont="1" applyNumberFormat="1">
      <alignment horizontal="center" readingOrder="0" vertical="center"/>
    </xf>
    <xf borderId="1" fillId="12" fontId="14" numFmtId="49" xfId="0" applyAlignment="1" applyBorder="1" applyFont="1" applyNumberFormat="1">
      <alignment horizontal="center" readingOrder="0" shrinkToFit="0" vertical="center" wrapText="1"/>
    </xf>
    <xf borderId="18" fillId="12" fontId="14" numFmtId="49" xfId="0" applyAlignment="1" applyBorder="1" applyFont="1" applyNumberFormat="1">
      <alignment horizontal="center" readingOrder="0" vertical="center"/>
    </xf>
    <xf borderId="29" fillId="5" fontId="14" numFmtId="165" xfId="0" applyAlignment="1" applyBorder="1" applyFont="1" applyNumberFormat="1">
      <alignment horizontal="center" vertical="center"/>
    </xf>
    <xf borderId="18" fillId="12" fontId="1" numFmtId="49" xfId="0" applyAlignment="1" applyBorder="1" applyFont="1" applyNumberFormat="1">
      <alignment horizontal="center" readingOrder="0" vertical="center"/>
    </xf>
    <xf borderId="31" fillId="12" fontId="14" numFmtId="49" xfId="0" applyAlignment="1" applyBorder="1" applyFont="1" applyNumberFormat="1">
      <alignment horizontal="center" readingOrder="0" vertical="bottom"/>
    </xf>
    <xf borderId="31" fillId="12" fontId="1" numFmtId="49" xfId="0" applyAlignment="1" applyBorder="1" applyFont="1" applyNumberFormat="1">
      <alignment horizontal="center" readingOrder="0" shrinkToFit="0" wrapText="1"/>
    </xf>
    <xf borderId="36" fillId="12" fontId="1" numFmtId="49" xfId="0" applyAlignment="1" applyBorder="1" applyFont="1" applyNumberFormat="1">
      <alignment horizontal="center" readingOrder="0" vertical="center"/>
    </xf>
    <xf borderId="96" fillId="12" fontId="1" numFmtId="49" xfId="0" applyAlignment="1" applyBorder="1" applyFont="1" applyNumberFormat="1">
      <alignment horizontal="center" readingOrder="0"/>
    </xf>
    <xf borderId="15" fillId="5" fontId="1" numFmtId="49" xfId="0" applyAlignment="1" applyBorder="1" applyFont="1" applyNumberFormat="1">
      <alignment horizontal="center" vertical="center"/>
    </xf>
    <xf borderId="30" fillId="5" fontId="14" numFmtId="165" xfId="0" applyAlignment="1" applyBorder="1" applyFont="1" applyNumberFormat="1">
      <alignment horizontal="center"/>
    </xf>
    <xf borderId="32" fillId="12" fontId="1" numFmtId="49" xfId="0" applyAlignment="1" applyBorder="1" applyFont="1" applyNumberFormat="1">
      <alignment horizontal="center" readingOrder="0"/>
    </xf>
    <xf borderId="36" fillId="12" fontId="1" numFmtId="49" xfId="0" applyAlignment="1" applyBorder="1" applyFont="1" applyNumberFormat="1">
      <alignment horizontal="center" readingOrder="0" vertical="bottom"/>
    </xf>
    <xf borderId="32" fillId="12" fontId="1" numFmtId="0" xfId="0" applyAlignment="1" applyBorder="1" applyFont="1">
      <alignment horizontal="center" vertical="bottom"/>
    </xf>
    <xf borderId="31" fillId="12" fontId="1" numFmtId="49" xfId="0" applyAlignment="1" applyBorder="1" applyFont="1" applyNumberFormat="1">
      <alignment horizontal="center" readingOrder="0" vertical="center"/>
    </xf>
    <xf borderId="38" fillId="12" fontId="1" numFmtId="49" xfId="0" applyAlignment="1" applyBorder="1" applyFont="1" applyNumberFormat="1">
      <alignment horizontal="center" readingOrder="0" vertical="bottom"/>
    </xf>
    <xf borderId="30" fillId="7" fontId="1" numFmtId="49" xfId="0" applyAlignment="1" applyBorder="1" applyFont="1" applyNumberFormat="1">
      <alignment horizontal="center" readingOrder="0" vertical="center"/>
    </xf>
    <xf borderId="15" fillId="7" fontId="1" numFmtId="49" xfId="0" applyAlignment="1" applyBorder="1" applyFont="1" applyNumberFormat="1">
      <alignment horizontal="center" readingOrder="0" vertical="center"/>
    </xf>
    <xf borderId="9" fillId="7" fontId="1" numFmtId="49" xfId="0" applyAlignment="1" applyBorder="1" applyFont="1" applyNumberFormat="1">
      <alignment horizontal="center" readingOrder="0" vertical="center"/>
    </xf>
    <xf borderId="31" fillId="3" fontId="1" numFmtId="49" xfId="0" applyAlignment="1" applyBorder="1" applyFont="1" applyNumberFormat="1">
      <alignment horizontal="center" readingOrder="0"/>
    </xf>
    <xf borderId="36" fillId="2" fontId="1" numFmtId="0" xfId="0" applyAlignment="1" applyBorder="1" applyFont="1">
      <alignment horizontal="center" readingOrder="0"/>
    </xf>
    <xf borderId="36" fillId="2" fontId="1" numFmtId="49" xfId="0" applyAlignment="1" applyBorder="1" applyFont="1" applyNumberFormat="1">
      <alignment horizontal="center" readingOrder="0" vertical="bottom"/>
    </xf>
    <xf borderId="36" fillId="2" fontId="1" numFmtId="49" xfId="0" applyAlignment="1" applyBorder="1" applyFont="1" applyNumberFormat="1">
      <alignment horizontal="center" readingOrder="0"/>
    </xf>
    <xf borderId="38" fillId="2" fontId="1" numFmtId="49" xfId="0" applyAlignment="1" applyBorder="1" applyFont="1" applyNumberFormat="1">
      <alignment horizontal="center" readingOrder="0" vertical="bottom"/>
    </xf>
    <xf borderId="30" fillId="7" fontId="1" numFmtId="49" xfId="0" applyAlignment="1" applyBorder="1" applyFont="1" applyNumberFormat="1">
      <alignment horizontal="center" vertical="center"/>
    </xf>
    <xf borderId="15" fillId="7" fontId="1" numFmtId="49" xfId="0" applyAlignment="1" applyBorder="1" applyFont="1" applyNumberFormat="1">
      <alignment horizontal="center" vertical="center"/>
    </xf>
    <xf borderId="31" fillId="7" fontId="1" numFmtId="49" xfId="0" applyAlignment="1" applyBorder="1" applyFont="1" applyNumberFormat="1">
      <alignment horizontal="center" vertical="center"/>
    </xf>
    <xf borderId="9" fillId="7" fontId="1" numFmtId="49" xfId="0" applyAlignment="1" applyBorder="1" applyFont="1" applyNumberFormat="1">
      <alignment horizontal="center" vertical="center"/>
    </xf>
    <xf borderId="0" fillId="0" fontId="1" numFmtId="49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 readingOrder="0" vertical="bottom"/>
    </xf>
    <xf borderId="39" fillId="2" fontId="5" numFmtId="49" xfId="0" applyAlignment="1" applyBorder="1" applyFont="1" applyNumberFormat="1">
      <alignment horizontal="center" readingOrder="0" shrinkToFit="0" vertical="center" wrapText="1"/>
    </xf>
    <xf borderId="0" fillId="2" fontId="1" numFmtId="165" xfId="0" applyAlignment="1" applyFont="1" applyNumberFormat="1">
      <alignment horizontal="center" vertical="bottom"/>
    </xf>
    <xf borderId="0" fillId="5" fontId="1" numFmtId="165" xfId="0" applyAlignment="1" applyFont="1" applyNumberFormat="1">
      <alignment horizontal="center" vertical="bottom"/>
    </xf>
    <xf borderId="0" fillId="5" fontId="1" numFmtId="49" xfId="0" applyAlignment="1" applyFont="1" applyNumberFormat="1">
      <alignment horizontal="center" vertical="bottom"/>
    </xf>
    <xf borderId="0" fillId="5" fontId="1" numFmtId="0" xfId="0" applyAlignment="1" applyFont="1">
      <alignment horizontal="center" vertical="bottom"/>
    </xf>
    <xf borderId="41" fillId="5" fontId="1" numFmtId="0" xfId="0" applyAlignment="1" applyBorder="1" applyFont="1">
      <alignment horizontal="center" readingOrder="0" vertical="bottom"/>
    </xf>
    <xf borderId="0" fillId="5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2" fontId="42" numFmtId="0" xfId="0" applyAlignment="1" applyFont="1">
      <alignment horizontal="center" readingOrder="0" vertical="center"/>
    </xf>
    <xf borderId="0" fillId="0" fontId="42" numFmtId="0" xfId="0" applyAlignment="1" applyFont="1">
      <alignment readingOrder="0"/>
    </xf>
    <xf borderId="42" fillId="2" fontId="69" numFmtId="166" xfId="0" applyAlignment="1" applyBorder="1" applyFont="1" applyNumberFormat="1">
      <alignment horizontal="center" readingOrder="0" shrinkToFit="0" vertical="center" wrapText="1"/>
    </xf>
    <xf borderId="0" fillId="2" fontId="14" numFmtId="0" xfId="0" applyAlignment="1" applyFont="1">
      <alignment horizontal="center" readingOrder="0" shrinkToFit="0" vertical="center" wrapText="1"/>
    </xf>
    <xf borderId="0" fillId="5" fontId="14" numFmtId="0" xfId="0" applyAlignment="1" applyFont="1">
      <alignment horizontal="center" readingOrder="0" shrinkToFit="0" vertical="center" wrapText="1"/>
    </xf>
    <xf borderId="2" fillId="4" fontId="12" numFmtId="49" xfId="0" applyAlignment="1" applyBorder="1" applyFont="1" applyNumberFormat="1">
      <alignment horizontal="center" readingOrder="0" vertical="center"/>
    </xf>
    <xf borderId="0" fillId="2" fontId="12" numFmtId="49" xfId="0" applyAlignment="1" applyFont="1" applyNumberFormat="1">
      <alignment horizontal="center" readingOrder="0" vertical="center"/>
    </xf>
    <xf borderId="43" fillId="2" fontId="14" numFmtId="0" xfId="0" applyAlignment="1" applyBorder="1" applyFont="1">
      <alignment horizontal="center" readingOrder="0" vertical="center"/>
    </xf>
    <xf borderId="97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47" fillId="3" fontId="1" numFmtId="0" xfId="0" applyAlignment="1" applyBorder="1" applyFont="1">
      <alignment horizontal="center" readingOrder="0" shrinkToFit="0" vertical="center" wrapText="1"/>
    </xf>
    <xf borderId="5" fillId="6" fontId="66" numFmtId="0" xfId="0" applyAlignment="1" applyBorder="1" applyFont="1">
      <alignment horizontal="center" vertical="center"/>
    </xf>
    <xf borderId="20" fillId="6" fontId="1" numFmtId="0" xfId="0" applyAlignment="1" applyBorder="1" applyFont="1">
      <alignment horizontal="center" readingOrder="0" vertical="center"/>
    </xf>
    <xf borderId="22" fillId="6" fontId="1" numFmtId="0" xfId="0" applyAlignment="1" applyBorder="1" applyFont="1">
      <alignment horizontal="center" readingOrder="0" vertical="center"/>
    </xf>
    <xf borderId="46" fillId="2" fontId="1" numFmtId="0" xfId="0" applyAlignment="1" applyBorder="1" applyFont="1">
      <alignment horizontal="center" readingOrder="0" shrinkToFit="0" vertical="center" wrapText="1"/>
    </xf>
    <xf borderId="49" fillId="3" fontId="1" numFmtId="0" xfId="0" applyAlignment="1" applyBorder="1" applyFont="1">
      <alignment horizontal="center" readingOrder="0" shrinkToFit="0" vertical="center" wrapText="1"/>
    </xf>
    <xf borderId="0" fillId="2" fontId="14" numFmtId="0" xfId="0" applyAlignment="1" applyFont="1">
      <alignment horizontal="center" readingOrder="0" vertical="center"/>
    </xf>
    <xf borderId="5" fillId="12" fontId="1" numFmtId="0" xfId="0" applyAlignment="1" applyBorder="1" applyFont="1">
      <alignment horizontal="center" readingOrder="0" vertical="center"/>
    </xf>
    <xf borderId="20" fillId="12" fontId="1" numFmtId="0" xfId="0" applyAlignment="1" applyBorder="1" applyFont="1">
      <alignment horizontal="center" readingOrder="0" vertical="center"/>
    </xf>
    <xf borderId="4" fillId="12" fontId="42" numFmtId="0" xfId="0" applyAlignment="1" applyBorder="1" applyFont="1">
      <alignment readingOrder="0"/>
    </xf>
    <xf borderId="0" fillId="2" fontId="1" numFmtId="0" xfId="0" applyAlignment="1" applyFont="1">
      <alignment horizontal="center" readingOrder="0" shrinkToFit="0" vertical="center" wrapText="1"/>
    </xf>
    <xf borderId="27" fillId="0" fontId="3" numFmtId="0" xfId="0" applyBorder="1" applyFont="1"/>
    <xf borderId="1" fillId="2" fontId="70" numFmtId="0" xfId="0" applyAlignment="1" applyBorder="1" applyFont="1">
      <alignment vertical="bottom"/>
    </xf>
    <xf borderId="23" fillId="10" fontId="1" numFmtId="0" xfId="0" applyAlignment="1" applyBorder="1" applyFont="1">
      <alignment horizontal="center" readingOrder="0" shrinkToFit="0" vertical="bottom" wrapText="1"/>
    </xf>
    <xf borderId="12" fillId="7" fontId="1" numFmtId="0" xfId="0" applyAlignment="1" applyBorder="1" applyFont="1">
      <alignment horizontal="center" readingOrder="0" vertical="center"/>
    </xf>
    <xf borderId="13" fillId="7" fontId="1" numFmtId="0" xfId="0" applyAlignment="1" applyBorder="1" applyFont="1">
      <alignment horizontal="center" readingOrder="0" vertical="center"/>
    </xf>
    <xf borderId="25" fillId="2" fontId="1" numFmtId="0" xfId="0" applyAlignment="1" applyBorder="1" applyFont="1">
      <alignment horizontal="center" readingOrder="0"/>
    </xf>
    <xf borderId="0" fillId="2" fontId="1" numFmtId="0" xfId="0" applyAlignment="1" applyFont="1">
      <alignment horizontal="center" shrinkToFit="0" vertical="center" wrapText="1"/>
    </xf>
    <xf borderId="50" fillId="10" fontId="1" numFmtId="0" xfId="0" applyAlignment="1" applyBorder="1" applyFont="1">
      <alignment horizontal="center" readingOrder="0" vertical="bottom"/>
    </xf>
    <xf borderId="24" fillId="10" fontId="1" numFmtId="0" xfId="0" applyAlignment="1" applyBorder="1" applyFont="1">
      <alignment horizontal="center" readingOrder="0" vertical="bottom"/>
    </xf>
    <xf borderId="0" fillId="13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center"/>
    </xf>
    <xf borderId="0" fillId="5" fontId="1" numFmtId="0" xfId="0" applyAlignment="1" applyFont="1">
      <alignment horizontal="center"/>
    </xf>
    <xf borderId="7" fillId="4" fontId="7" numFmtId="49" xfId="0" applyAlignment="1" applyBorder="1" applyFont="1" applyNumberFormat="1">
      <alignment horizontal="center" readingOrder="0" vertical="center"/>
    </xf>
    <xf borderId="10" fillId="4" fontId="7" numFmtId="49" xfId="0" applyAlignment="1" applyBorder="1" applyFont="1" applyNumberFormat="1">
      <alignment horizontal="center" readingOrder="0" vertical="center"/>
    </xf>
    <xf borderId="18" fillId="4" fontId="7" numFmtId="49" xfId="0" applyAlignment="1" applyBorder="1" applyFont="1" applyNumberFormat="1">
      <alignment horizontal="center" readingOrder="0" vertical="center"/>
    </xf>
    <xf borderId="17" fillId="4" fontId="7" numFmtId="49" xfId="0" applyAlignment="1" applyBorder="1" applyFont="1" applyNumberFormat="1">
      <alignment horizontal="center" readingOrder="0" vertical="center"/>
    </xf>
    <xf borderId="10" fillId="10" fontId="1" numFmtId="0" xfId="0" applyAlignment="1" applyBorder="1" applyFont="1">
      <alignment horizontal="center" readingOrder="0" vertical="bottom"/>
    </xf>
    <xf borderId="1" fillId="10" fontId="1" numFmtId="0" xfId="0" applyAlignment="1" applyBorder="1" applyFont="1">
      <alignment horizontal="center" readingOrder="0" shrinkToFit="0" vertical="bottom" wrapText="1"/>
    </xf>
    <xf borderId="53" fillId="10" fontId="1" numFmtId="0" xfId="0" applyAlignment="1" applyBorder="1" applyFont="1">
      <alignment horizontal="center" readingOrder="0" vertical="bottom"/>
    </xf>
    <xf borderId="24" fillId="10" fontId="1" numFmtId="0" xfId="0" applyAlignment="1" applyBorder="1" applyFont="1">
      <alignment horizontal="center" readingOrder="0" vertical="center"/>
    </xf>
    <xf borderId="0" fillId="2" fontId="1" numFmtId="49" xfId="0" applyAlignment="1" applyFont="1" applyNumberFormat="1">
      <alignment horizontal="center" vertical="bottom"/>
    </xf>
    <xf borderId="12" fillId="12" fontId="1" numFmtId="0" xfId="0" applyAlignment="1" applyBorder="1" applyFont="1">
      <alignment horizontal="center" readingOrder="0" vertical="bottom"/>
    </xf>
    <xf borderId="51" fillId="12" fontId="14" numFmtId="49" xfId="0" applyAlignment="1" applyBorder="1" applyFont="1" applyNumberFormat="1">
      <alignment horizontal="center" readingOrder="0" vertical="center"/>
    </xf>
    <xf borderId="12" fillId="7" fontId="1" numFmtId="49" xfId="0" applyAlignment="1" applyBorder="1" applyFont="1" applyNumberFormat="1">
      <alignment horizontal="center" readingOrder="0" vertical="center"/>
    </xf>
    <xf borderId="13" fillId="7" fontId="1" numFmtId="49" xfId="0" applyAlignment="1" applyBorder="1" applyFont="1" applyNumberFormat="1">
      <alignment horizontal="center" readingOrder="0" vertical="center"/>
    </xf>
    <xf borderId="23" fillId="7" fontId="1" numFmtId="49" xfId="0" applyAlignment="1" applyBorder="1" applyFont="1" applyNumberFormat="1">
      <alignment horizontal="center" readingOrder="0" vertical="center"/>
    </xf>
    <xf borderId="51" fillId="7" fontId="1" numFmtId="49" xfId="0" applyAlignment="1" applyBorder="1" applyFont="1" applyNumberFormat="1">
      <alignment horizontal="center" readingOrder="0" vertical="center"/>
    </xf>
    <xf borderId="7" fillId="7" fontId="1" numFmtId="0" xfId="0" applyAlignment="1" applyBorder="1" applyFont="1">
      <alignment horizontal="center" readingOrder="0" vertical="center"/>
    </xf>
    <xf borderId="10" fillId="7" fontId="1" numFmtId="0" xfId="0" applyAlignment="1" applyBorder="1" applyFont="1">
      <alignment horizontal="center" readingOrder="0" vertical="center"/>
    </xf>
    <xf borderId="25" fillId="6" fontId="1" numFmtId="0" xfId="0" applyAlignment="1" applyBorder="1" applyFont="1">
      <alignment horizontal="center" readingOrder="0" vertical="bottom"/>
    </xf>
    <xf borderId="53" fillId="4" fontId="1" numFmtId="0" xfId="0" applyAlignment="1" applyBorder="1" applyFont="1">
      <alignment horizontal="center" readingOrder="0" vertical="bottom"/>
    </xf>
    <xf borderId="0" fillId="13" fontId="14" numFmtId="0" xfId="0" applyAlignment="1" applyFont="1">
      <alignment horizontal="center" readingOrder="0" vertical="center"/>
    </xf>
    <xf borderId="28" fillId="6" fontId="1" numFmtId="49" xfId="0" applyAlignment="1" applyBorder="1" applyFont="1" applyNumberFormat="1">
      <alignment horizontal="center" readingOrder="0" vertical="bottom"/>
    </xf>
    <xf borderId="25" fillId="6" fontId="1" numFmtId="49" xfId="0" applyAlignment="1" applyBorder="1" applyFont="1" applyNumberFormat="1">
      <alignment horizontal="center" readingOrder="0"/>
    </xf>
    <xf borderId="1" fillId="4" fontId="1" numFmtId="0" xfId="0" applyAlignment="1" applyBorder="1" applyFont="1">
      <alignment horizontal="center" readingOrder="0" vertical="bottom"/>
    </xf>
    <xf borderId="0" fillId="2" fontId="1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28" fillId="6" fontId="1" numFmtId="49" xfId="0" applyAlignment="1" applyBorder="1" applyFont="1" applyNumberFormat="1">
      <alignment horizontal="center" readingOrder="0"/>
    </xf>
    <xf borderId="23" fillId="6" fontId="1" numFmtId="49" xfId="0" applyAlignment="1" applyBorder="1" applyFont="1" applyNumberFormat="1">
      <alignment horizontal="center" readingOrder="0"/>
    </xf>
    <xf borderId="1" fillId="6" fontId="1" numFmtId="0" xfId="0" applyAlignment="1" applyBorder="1" applyFont="1">
      <alignment horizontal="center" readingOrder="0" vertical="bottom"/>
    </xf>
    <xf borderId="10" fillId="6" fontId="1" numFmtId="49" xfId="0" applyAlignment="1" applyBorder="1" applyFont="1" applyNumberFormat="1">
      <alignment horizontal="center" readingOrder="0" vertical="center"/>
    </xf>
    <xf borderId="0" fillId="2" fontId="1" numFmtId="0" xfId="0" applyAlignment="1" applyFont="1">
      <alignment horizontal="center"/>
    </xf>
    <xf borderId="53" fillId="9" fontId="1" numFmtId="0" xfId="0" applyAlignment="1" applyBorder="1" applyFont="1">
      <alignment horizontal="center" readingOrder="0" vertical="bottom"/>
    </xf>
    <xf borderId="1" fillId="9" fontId="14" numFmtId="0" xfId="0" applyAlignment="1" applyBorder="1" applyFont="1">
      <alignment horizontal="center" readingOrder="0" vertical="bottom"/>
    </xf>
    <xf borderId="10" fillId="4" fontId="1" numFmtId="0" xfId="0" applyAlignment="1" applyBorder="1" applyFont="1">
      <alignment horizontal="center" readingOrder="0" vertical="bottom"/>
    </xf>
    <xf borderId="1" fillId="4" fontId="1" numFmtId="0" xfId="0" applyAlignment="1" applyBorder="1" applyFont="1">
      <alignment horizontal="center" readingOrder="0" shrinkToFit="0" vertical="bottom" wrapText="1"/>
    </xf>
    <xf borderId="0" fillId="5" fontId="1" numFmtId="0" xfId="0" applyAlignment="1" applyFont="1">
      <alignment horizontal="center" vertical="center"/>
    </xf>
    <xf borderId="54" fillId="7" fontId="1" numFmtId="0" xfId="0" applyAlignment="1" applyBorder="1" applyFont="1">
      <alignment horizontal="center"/>
    </xf>
    <xf borderId="31" fillId="7" fontId="14" numFmtId="0" xfId="0" applyAlignment="1" applyBorder="1" applyFont="1">
      <alignment horizontal="center"/>
    </xf>
    <xf borderId="9" fillId="7" fontId="1" numFmtId="0" xfId="0" applyAlignment="1" applyBorder="1" applyFont="1">
      <alignment horizontal="center" readingOrder="0"/>
    </xf>
    <xf borderId="12" fillId="4" fontId="1" numFmtId="49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/>
    </xf>
    <xf borderId="28" fillId="4" fontId="1" numFmtId="49" xfId="0" applyAlignment="1" applyBorder="1" applyFont="1" applyNumberFormat="1">
      <alignment horizontal="center" readingOrder="0"/>
    </xf>
    <xf borderId="1" fillId="2" fontId="70" numFmtId="0" xfId="0" applyAlignment="1" applyBorder="1" applyFont="1">
      <alignment vertical="bottom"/>
    </xf>
    <xf borderId="53" fillId="2" fontId="66" numFmtId="0" xfId="0" applyAlignment="1" applyBorder="1" applyFont="1">
      <alignment horizontal="center" readingOrder="0" vertical="bottom"/>
    </xf>
    <xf borderId="1" fillId="2" fontId="71" numFmtId="0" xfId="0" applyAlignment="1" applyBorder="1" applyFont="1">
      <alignment horizontal="center" readingOrder="0" vertical="bottom"/>
    </xf>
    <xf borderId="51" fillId="2" fontId="1" numFmtId="0" xfId="0" applyAlignment="1" applyBorder="1" applyFont="1">
      <alignment horizontal="center" vertical="bottom"/>
    </xf>
    <xf borderId="25" fillId="2" fontId="14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readingOrder="0" vertical="center"/>
    </xf>
    <xf borderId="37" fillId="2" fontId="1" numFmtId="0" xfId="0" applyAlignment="1" applyBorder="1" applyFont="1">
      <alignment horizontal="center" readingOrder="0" vertical="center"/>
    </xf>
    <xf borderId="53" fillId="2" fontId="1" numFmtId="0" xfId="0" applyAlignment="1" applyBorder="1" applyFont="1">
      <alignment horizontal="center" vertical="bottom"/>
    </xf>
    <xf borderId="55" fillId="8" fontId="1" numFmtId="0" xfId="0" applyAlignment="1" applyBorder="1" applyFont="1">
      <alignment horizontal="center" readingOrder="0" vertical="center"/>
    </xf>
    <xf borderId="48" fillId="3" fontId="1" numFmtId="0" xfId="0" applyAlignment="1" applyBorder="1" applyFont="1">
      <alignment horizontal="center" readingOrder="0" shrinkToFit="0" vertical="center" wrapText="1"/>
    </xf>
    <xf borderId="0" fillId="2" fontId="9" numFmtId="0" xfId="0" applyAlignment="1" applyFont="1">
      <alignment horizontal="center" readingOrder="0" vertical="center"/>
    </xf>
    <xf borderId="11" fillId="4" fontId="1" numFmtId="49" xfId="0" applyAlignment="1" applyBorder="1" applyFont="1" applyNumberFormat="1">
      <alignment horizontal="center" readingOrder="0"/>
    </xf>
    <xf borderId="37" fillId="7" fontId="32" numFmtId="0" xfId="0" applyBorder="1" applyFont="1"/>
    <xf borderId="98" fillId="8" fontId="1" numFmtId="0" xfId="0" applyAlignment="1" applyBorder="1" applyFont="1">
      <alignment horizontal="center" readingOrder="0" vertical="bottom"/>
    </xf>
    <xf borderId="99" fillId="0" fontId="3" numFmtId="0" xfId="0" applyBorder="1" applyFont="1"/>
    <xf borderId="100" fillId="8" fontId="35" numFmtId="4" xfId="0" applyAlignment="1" applyBorder="1" applyFont="1" applyNumberFormat="1">
      <alignment horizontal="center" vertical="bottom"/>
    </xf>
    <xf borderId="0" fillId="8" fontId="1" numFmtId="0" xfId="0" applyAlignment="1" applyFont="1">
      <alignment horizontal="center" readingOrder="0" vertical="center"/>
    </xf>
    <xf borderId="11" fillId="4" fontId="1" numFmtId="49" xfId="0" applyAlignment="1" applyBorder="1" applyFont="1" applyNumberFormat="1">
      <alignment horizontal="center" readingOrder="0" vertical="center"/>
    </xf>
    <xf borderId="11" fillId="7" fontId="1" numFmtId="0" xfId="0" applyAlignment="1" applyBorder="1" applyFont="1">
      <alignment horizontal="center" readingOrder="0" vertical="center"/>
    </xf>
    <xf borderId="0" fillId="2" fontId="66" numFmtId="0" xfId="0" applyAlignment="1" applyFont="1">
      <alignment horizontal="center" vertical="bottom"/>
    </xf>
    <xf borderId="0" fillId="2" fontId="1" numFmtId="0" xfId="0" applyAlignment="1" applyFont="1">
      <alignment horizontal="center" vertical="bottom"/>
    </xf>
    <xf borderId="0" fillId="0" fontId="9" numFmtId="0" xfId="0" applyAlignment="1" applyFont="1">
      <alignment horizontal="center" vertical="center"/>
    </xf>
    <xf borderId="53" fillId="8" fontId="1" numFmtId="0" xfId="0" applyAlignment="1" applyBorder="1" applyFont="1">
      <alignment horizontal="center" readingOrder="0" vertical="bottom"/>
    </xf>
    <xf borderId="25" fillId="8" fontId="1" numFmtId="0" xfId="0" applyAlignment="1" applyBorder="1" applyFont="1">
      <alignment horizontal="center" readingOrder="0" vertical="bottom"/>
    </xf>
    <xf borderId="0" fillId="8" fontId="14" numFmtId="0" xfId="0" applyAlignment="1" applyFont="1">
      <alignment horizontal="center" readingOrder="0" vertical="center"/>
    </xf>
    <xf borderId="0" fillId="2" fontId="66" numFmtId="0" xfId="0" applyAlignment="1" applyFont="1">
      <alignment horizontal="center"/>
    </xf>
    <xf borderId="1" fillId="2" fontId="72" numFmtId="0" xfId="0" applyAlignment="1" applyBorder="1" applyFont="1">
      <alignment vertical="bottom"/>
    </xf>
    <xf borderId="0" fillId="0" fontId="9" numFmtId="0" xfId="0" applyAlignment="1" applyFont="1">
      <alignment horizontal="center" readingOrder="0" vertical="center"/>
    </xf>
    <xf borderId="18" fillId="8" fontId="34" numFmtId="0" xfId="0" applyAlignment="1" applyBorder="1" applyFont="1">
      <alignment horizontal="center" readingOrder="0"/>
    </xf>
    <xf borderId="0" fillId="8" fontId="1" numFmtId="0" xfId="0" applyAlignment="1" applyFont="1">
      <alignment horizontal="center" readingOrder="0"/>
    </xf>
    <xf borderId="7" fillId="4" fontId="1" numFmtId="49" xfId="0" applyAlignment="1" applyBorder="1" applyFont="1" applyNumberFormat="1">
      <alignment horizontal="center" readingOrder="0" vertical="bottom"/>
    </xf>
    <xf borderId="25" fillId="2" fontId="1" numFmtId="0" xfId="0" applyAlignment="1" applyBorder="1" applyFont="1">
      <alignment horizontal="center" shrinkToFit="0" vertical="bottom" wrapText="1"/>
    </xf>
    <xf borderId="0" fillId="2" fontId="71" numFmtId="0" xfId="0" applyAlignment="1" applyFont="1">
      <alignment horizontal="center"/>
    </xf>
    <xf borderId="53" fillId="8" fontId="1" numFmtId="0" xfId="0" applyAlignment="1" applyBorder="1" applyFont="1">
      <alignment horizontal="center" readingOrder="0"/>
    </xf>
    <xf borderId="57" fillId="4" fontId="1" numFmtId="49" xfId="0" applyAlignment="1" applyBorder="1" applyFont="1" applyNumberFormat="1">
      <alignment horizontal="center" readingOrder="0"/>
    </xf>
    <xf borderId="58" fillId="4" fontId="1" numFmtId="49" xfId="0" applyAlignment="1" applyBorder="1" applyFont="1" applyNumberFormat="1">
      <alignment horizontal="center" readingOrder="0"/>
    </xf>
    <xf borderId="59" fillId="2" fontId="1" numFmtId="0" xfId="0" applyAlignment="1" applyBorder="1" applyFont="1">
      <alignment horizontal="center" shrinkToFit="0" vertical="bottom" wrapText="1"/>
    </xf>
    <xf borderId="60" fillId="2" fontId="1" numFmtId="0" xfId="0" applyAlignment="1" applyBorder="1" applyFont="1">
      <alignment horizontal="center" shrinkToFit="0" vertical="bottom" wrapText="1"/>
    </xf>
    <xf borderId="61" fillId="7" fontId="1" numFmtId="49" xfId="0" applyAlignment="1" applyBorder="1" applyFont="1" applyNumberFormat="1">
      <alignment horizontal="center" readingOrder="0" vertical="center"/>
    </xf>
    <xf borderId="62" fillId="7" fontId="1" numFmtId="49" xfId="0" applyAlignment="1" applyBorder="1" applyFont="1" applyNumberFormat="1">
      <alignment horizontal="center" readingOrder="0" vertical="center"/>
    </xf>
    <xf borderId="59" fillId="7" fontId="1" numFmtId="49" xfId="0" applyAlignment="1" applyBorder="1" applyFont="1" applyNumberFormat="1">
      <alignment horizontal="center" readingOrder="0" vertical="center"/>
    </xf>
    <xf borderId="60" fillId="7" fontId="1" numFmtId="49" xfId="0" applyAlignment="1" applyBorder="1" applyFont="1" applyNumberFormat="1">
      <alignment horizontal="center" readingOrder="0" vertical="center"/>
    </xf>
    <xf borderId="63" fillId="3" fontId="16" numFmtId="0" xfId="0" applyAlignment="1" applyBorder="1" applyFont="1">
      <alignment horizontal="center" readingOrder="0" shrinkToFit="0" vertical="center" wrapText="1"/>
    </xf>
    <xf borderId="64" fillId="3" fontId="16" numFmtId="0" xfId="0" applyAlignment="1" applyBorder="1" applyFont="1">
      <alignment horizontal="center" readingOrder="0" vertical="center"/>
    </xf>
    <xf borderId="25" fillId="8" fontId="1" numFmtId="0" xfId="0" applyAlignment="1" applyBorder="1" applyFont="1">
      <alignment horizontal="center" readingOrder="0"/>
    </xf>
    <xf borderId="7" fillId="7" fontId="1" numFmtId="0" xfId="0" applyAlignment="1" applyBorder="1" applyFont="1">
      <alignment horizontal="center" readingOrder="0" shrinkToFit="0" vertical="center" wrapText="1"/>
    </xf>
    <xf borderId="10" fillId="7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20" numFmtId="0" xfId="0" applyFont="1"/>
    <xf borderId="0" fillId="2" fontId="9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vertical="center"/>
    </xf>
    <xf borderId="10" fillId="9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vertical="center"/>
    </xf>
    <xf borderId="1" fillId="2" fontId="73" numFmtId="0" xfId="0" applyAlignment="1" applyBorder="1" applyFont="1">
      <alignment vertical="bottom"/>
    </xf>
    <xf borderId="0" fillId="2" fontId="42" numFmtId="0" xfId="0" applyFont="1"/>
    <xf borderId="25" fillId="2" fontId="1" numFmtId="0" xfId="0" applyAlignment="1" applyBorder="1" applyFont="1">
      <alignment horizontal="center" readingOrder="0" vertical="center"/>
    </xf>
    <xf borderId="66" fillId="2" fontId="1" numFmtId="0" xfId="0" applyAlignment="1" applyBorder="1" applyFont="1">
      <alignment horizontal="center" readingOrder="0"/>
    </xf>
    <xf borderId="66" fillId="2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left" shrinkToFit="0" vertical="center" wrapText="0"/>
    </xf>
    <xf borderId="66" fillId="2" fontId="1" numFmtId="0" xfId="0" applyAlignment="1" applyBorder="1" applyFont="1">
      <alignment horizontal="center"/>
    </xf>
    <xf borderId="67" fillId="2" fontId="1" numFmtId="0" xfId="0" applyAlignment="1" applyBorder="1" applyFont="1">
      <alignment horizontal="center"/>
    </xf>
    <xf borderId="25" fillId="2" fontId="68" numFmtId="0" xfId="0" applyAlignment="1" applyBorder="1" applyFont="1">
      <alignment horizontal="center" readingOrder="0"/>
    </xf>
    <xf borderId="0" fillId="0" fontId="42" numFmtId="0" xfId="0" applyAlignment="1" applyFont="1">
      <alignment horizontal="center"/>
    </xf>
    <xf borderId="7" fillId="2" fontId="1" numFmtId="0" xfId="0" applyAlignment="1" applyBorder="1" applyFont="1">
      <alignment horizontal="center" vertical="bottom"/>
    </xf>
    <xf borderId="26" fillId="2" fontId="1" numFmtId="0" xfId="0" applyAlignment="1" applyBorder="1" applyFont="1">
      <alignment horizontal="center" shrinkToFit="0" vertical="bottom" wrapText="1"/>
    </xf>
    <xf borderId="15" fillId="7" fontId="49" numFmtId="0" xfId="0" applyAlignment="1" applyBorder="1" applyFont="1">
      <alignment horizontal="center"/>
    </xf>
    <xf borderId="31" fillId="7" fontId="50" numFmtId="0" xfId="0" applyAlignment="1" applyBorder="1" applyFont="1">
      <alignment horizontal="center"/>
    </xf>
    <xf borderId="9" fillId="7" fontId="14" numFmtId="0" xfId="0" applyAlignment="1" applyBorder="1" applyFont="1">
      <alignment horizontal="center"/>
    </xf>
    <xf borderId="37" fillId="7" fontId="38" numFmtId="0" xfId="0" applyAlignment="1" applyBorder="1" applyFont="1">
      <alignment horizontal="center" vertical="center"/>
    </xf>
    <xf borderId="38" fillId="7" fontId="34" numFmtId="0" xfId="0" applyAlignment="1" applyBorder="1" applyFont="1">
      <alignment horizontal="center" readingOrder="0" vertical="center"/>
    </xf>
    <xf borderId="0" fillId="7" fontId="74" numFmtId="0" xfId="0" applyAlignment="1" applyFont="1">
      <alignment horizontal="left" vertical="center"/>
    </xf>
    <xf borderId="0" fillId="7" fontId="75" numFmtId="0" xfId="0" applyAlignment="1" applyFont="1">
      <alignment horizontal="left" vertical="center"/>
    </xf>
    <xf borderId="0" fillId="7" fontId="38" numFmtId="0" xfId="0" applyAlignment="1" applyFont="1">
      <alignment horizontal="center" readingOrder="0" vertical="center"/>
    </xf>
    <xf borderId="0" fillId="7" fontId="74" numFmtId="0" xfId="0" applyAlignment="1" applyFont="1">
      <alignment horizontal="center" vertical="center"/>
    </xf>
    <xf borderId="0" fillId="2" fontId="49" numFmtId="0" xfId="0" applyAlignment="1" applyFont="1">
      <alignment horizontal="center"/>
    </xf>
    <xf borderId="0" fillId="2" fontId="50" numFmtId="0" xfId="0" applyAlignment="1" applyFont="1">
      <alignment horizontal="center"/>
    </xf>
    <xf borderId="0" fillId="2" fontId="14" numFmtId="0" xfId="0" applyAlignment="1" applyFont="1">
      <alignment horizontal="center"/>
    </xf>
    <xf borderId="0" fillId="2" fontId="38" numFmtId="0" xfId="0" applyAlignment="1" applyFont="1">
      <alignment horizontal="center" vertical="center"/>
    </xf>
    <xf borderId="0" fillId="2" fontId="38" numFmtId="0" xfId="0" applyAlignment="1" applyFont="1">
      <alignment horizontal="left" vertical="center"/>
    </xf>
    <xf borderId="0" fillId="2" fontId="74" numFmtId="0" xfId="0" applyAlignment="1" applyFont="1">
      <alignment horizontal="left" vertical="center"/>
    </xf>
    <xf borderId="0" fillId="2" fontId="75" numFmtId="0" xfId="0" applyAlignment="1" applyFont="1">
      <alignment horizontal="left" vertical="center"/>
    </xf>
    <xf borderId="0" fillId="2" fontId="38" numFmtId="0" xfId="0" applyAlignment="1" applyFont="1">
      <alignment horizontal="center" readingOrder="0" vertical="center"/>
    </xf>
    <xf borderId="0" fillId="2" fontId="74" numFmtId="0" xfId="0" applyAlignment="1" applyFont="1">
      <alignment horizontal="center" vertical="center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1">
    <tableStyle count="3" pivot="0" name="Calcul_mensuel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ordy EYENGA ADJAKO" id="{db35b890-a004-45dd-85e1-bce4681be43f}" providerId="google-sheets"/>
  <x18tc:person displayName="Trigger Transport" id="{6a7cfcef-de15-47e2-87c4-6229d9ccbfe6}" providerId="google-sheets"/>
  <x18tc:person displayName="Fc Transport" id="{448b1a52-f8c6-4b27-a5ba-f7fda116430a}" providerId="google-sheets"/>
  <x18tc:person displayName="PF-Alfortville Boulanger" id="{98c5dc25-a7a1-464b-a392-b2d6c95e88e4}" providerId="google-sheets"/>
  <x18tc:person displayName="tms dem" id="{837fcbd7-8256-415c-916e-ce88a98334d5}" providerId="google-sheets"/>
  <x18tc:person displayName="Karim Ben Dhaou" id="{7df5cf70-19b8-46b3-9dd2-f2918462bf96}" providerId="google-sheets"/>
  <x18tc:person displayName="Nelson PEREIRA" id="{0fba4235-e691-4f30-8755-b3655bae1301}" providerId="google-sheets"/>
  <x18tc:person displayName="massi mouhoubi" id="{22cbf006-7c18-4921-91c4-bb572d514823}" providerId="google-sheets"/>
  <x18tc:person displayName="Moovam Transport et logisqtique" id="{e9e12c46-d493-4720-b827-ea0e5f7c70b9}" providerId="google-sheets"/>
  <x18tc:person displayName="Mounir SAYAH" id="{4342b657-4a34-410d-aa1d-cb3dc65f3419}" providerId="google-sheets"/>
  <x18tc:person displayName="Charles AUFRAY" id="{db39b2aa-80b1-498c-b01f-203042c6fd5c}" providerId="google-sheets"/>
  <x18tc:person displayName="AK Transports" id="{fb14a4e4-b485-4b70-bedb-27b73cb7c16e}" providerId="google-sheets"/>
  <x18tc:person displayName="relationclient.pflidf Boulanger" id="{f734c01e-4768-41ef-8b8a-943ce519dd34}" providerId="google-sheets"/>
  <x18tc:person displayName="H K Logistiques" id="{d52fb991-e232-43f1-b1b6-e90c35b6ffb0}" providerId="google-sheets"/>
  <x18tc:person displayName="Utilisateur supprimé" id="{b4727c40-8b51-4234-80d0-9a2b8b7d4200}" providerId="google-sheets"/>
  <x18tc:person displayName="Mathis LIMA DE SOUSA" id="{4f51c716-9a84-4438-8d26-fbdacb02664a}" providerId="google-sheets"/>
  <x18tc:person displayName="TPE EXPRESS" id="{5904737f-03ba-4535-b246-ec5dec0f1cf9}" providerId="google-sheets"/>
  <x18tc:person displayName="Sarl Ent" id="{540fade0-c916-4927-a0c3-5df94f0222b5}" providerId="google-sheets"/>
</x18tc:personList>
</file>

<file path=xl/tables/table1.xml><?xml version="1.0" encoding="utf-8"?>
<table xmlns="http://schemas.openxmlformats.org/spreadsheetml/2006/main" headerRowCount="0" ref="A1:Y44" displayName="Table_1" name="Table_1" id="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Calcul_mensue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2-02T14:06:10.00" personId="{4342b657-4a34-410d-aa1d-cb3dc65f3419}" id="{2d9185b0-68fd-4c82-9291-57b4b47c10e9}" done="0">
    <x18tc:text xml:space="preserve">3</x18tc:text>
  </x18tc:threadedComment>
  <x18tc:threadedComment ref="A1" dT="2023-11-24T16:14:35.00" personId="{db39b2aa-80b1-498c-b01f-203042c6fd5c}" id="{839ad17e-9795-47bb-a5bb-3a91cc3b5eac}" done="1">
    <x18tc:text xml:space="preserve">possibilité de mettre 1GV en normale si pas besoin de 2</x18tc:text>
  </x18tc:threadedComment>
  <x18tc:threadedComment ref="D33" dT="2026-04-16T13:19:37.00" personId="{db35b890-a004-45dd-85e1-bce4681be43f}" id="{263da8ff-4b09-4560-966f-4bc80ae0d7b3}" done="1">
    <x18tc:text xml:space="preserve">1 camion en moins suite mauvais rangement carton  le 16/04/26</x18tc:text>
  </x18tc:threadedComment>
  <x18tc:threadedComment ref="E52" dT="2025-10-08T14:33:27.00" personId="{0fba4235-e691-4f30-8755-b3655bae1301}" id="{188b7065-8b85-463f-99f8-5bacbba621b5}" done="1">
    <x18tc:text xml:space="preserve">1 camion en moins le 09/10</x18tc:text>
  </x18tc:threadedComment>
  <x18tc:threadedComment ref="A1" dT="2024-10-07T14:21:31.00" personId="{448b1a52-f8c6-4b27-a5ba-f7fda116430a}" id="{677be52d-192d-472b-98f6-5f745a9d4140}" done="1">
    <x18tc:text xml:space="preserve">2</x18tc:text>
  </x18tc:threadedComment>
  <x18tc:threadedComment ref="A1" dT="2024-07-09T06:39:53.00" personId="{98c5dc25-a7a1-464b-a392-b2d6c95e88e4}" id="{9c513958-f3f9-4bad-938f-6aa9de6142e8}" done="1">
    <x18tc:text xml:space="preserve">Départ 08h35 suite erreur de chargement autre tournée ref SMEG</x18tc:text>
  </x18tc:threadedComment>
  <x18tc:threadedComment ref="A1" dT="2022-07-11T07:43:54.00" personId="{98c5dc25-a7a1-464b-a392-b2d6c95e88e4}" id="{065e1575-24a3-43c9-a587-14c0313ede95}" done="1">
    <x18tc:text xml:space="preserve">9h00</x18tc:text>
  </x18tc:threadedComment>
  <x18tc:threadedComment ref="K5" dT="2026-03-05T06:27:18.00" personId="{4f51c716-9a84-4438-8d26-fbdacb02664a}" id="{cb603616-6217-4264-bac0-25f103a00f90}" done="1">
    <x18tc:text xml:space="preserve">9</x18tc:text>
  </x18tc:threadedComment>
  <x18tc:threadedComment ref="A1" dT="2022-07-11T07:59:27.00" personId="{98c5dc25-a7a1-464b-a392-b2d6c95e88e4}" id="{79801e79-5fa4-4a4c-919f-eefaeca472dd}" done="1">
    <x18tc:text xml:space="preserve">Amar s'est planté - pensais 11h30 - arrivée équipe 10:30</x18tc:text>
  </x18tc:threadedComment>
  <x18tc:threadedComment ref="A1" dT="2022-07-11T11:44:58.00" personId="{98c5dc25-a7a1-464b-a392-b2d6c95e88e4}" id="{67c21251-293c-4e01-9e6e-a0345793a4d0}" parentId="{79801e79-5fa4-4a4c-919f-eefaeca472dd}">
    <x18tc:text xml:space="preserve">Marquée comme fermée</x18tc:text>
  </x18tc:threadedComment>
  <x18tc:threadedComment ref="A1" dT="2023-04-19T12:38:20.00" personId="{22cbf006-7c18-4921-91c4-bb572d514823}" id="{c5eaa7bd-635d-4504-ae41-b9046602cae8}" parentId="{79801e79-5fa4-4a4c-919f-eefaeca472dd}">
    <x18tc:text xml:space="preserve">Rouverte</x18tc:text>
  </x18tc:threadedComment>
  <x18tc:threadedComment ref="E47" dT="2025-10-11T14:58:28.00" personId="{98c5dc25-a7a1-464b-a392-b2d6c95e88e4}" id="{9242dffc-6589-407e-a274-9c131090f631}" done="1">
    <x18tc:text xml:space="preserve">tournée suspendu jusqu'à mercredi</x18tc:text>
  </x18tc:threadedComment>
  <x18tc:threadedComment ref="E44" dT="2025-10-11T14:58:10.00" personId="{98c5dc25-a7a1-464b-a392-b2d6c95e88e4}" id="{6c366574-eb7a-4c2a-9a8a-c3e80d7f5d52}" done="1">
    <x18tc:text xml:space="preserve">tournée suspendu jusqu'à mercredi</x18tc:text>
  </x18tc:threadedComment>
  <x18tc:threadedComment ref="E45" dT="2025-10-11T14:57:35.00" personId="{98c5dc25-a7a1-464b-a392-b2d6c95e88e4}" id="{debdd5dc-739c-4696-bc1e-66bccfb565e2}" done="1">
    <x18tc:text xml:space="preserve">tournée suspendu jusqu'à mercredi</x18tc:text>
  </x18tc:threadedComment>
  <x18tc:threadedComment ref="A1" dT="2024-07-10T16:27:33.00" personId="{4342b657-4a34-410d-aa1d-cb3dc65f3419}" id="{e68c3b25-eaf7-46da-accc-91f49edabd50}" done="1">
    <x18tc:text xml:space="preserve">. In good en.......d cf fed ex cffrff de tr fwd tr fwd 'tn' de soucis je</x18tc:text>
  </x18tc:threadedComment>
  <x18tc:threadedComment ref="D40" dT="2026-04-16T13:23:10.00" personId="{db35b890-a004-45dd-85e1-bce4681be43f}" id="{8d5bb054-453f-4989-9c56-4d5b2feefc54}" done="1">
    <x18tc:text xml:space="preserve">1 camion en moins suite mauvais rangement des cartons</x18tc:text>
  </x18tc:threadedComment>
  <x18tc:threadedComment ref="H23" dT="2025-07-25T05:14:17.00" personId="{b4727c40-8b51-4234-80d0-9a2b8b7d4200}" id="{66eeb652-4d70-450f-8b94-11a836bd02be}" done="1">
    <x18tc:text xml:space="preserve">14</x18tc:text>
  </x18tc:threadedComment>
  <x18tc:threadedComment ref="D35" dT="2026-04-16T13:21:55.00" personId="{db35b890-a004-45dd-85e1-bce4681be43f}" id="{9864362e-d976-46d8-be6b-4eb3c1435aca}" done="1">
    <x18tc:text xml:space="preserve">1 camion en moins suite mauvais rangement des cartons</x18tc:text>
  </x18tc:threadedComment>
  <x18tc:threadedComment ref="E43" dT="2025-10-17T12:08:18.00" personId="{0fba4235-e691-4f30-8755-b3655bae1301}" id="{ba95c544-15d4-430e-aa37-084bb28e363f}" done="1">
    <x18tc:text xml:space="preserve">suspension de tournée vu Nelson</x18tc:text>
  </x18tc:threadedComment>
  <x18tc:threadedComment ref="D14" dT="2026-04-07T06:23:15.00" personId="{db35b890-a004-45dd-85e1-bce4681be43f}" id="{775e4979-781b-4f0f-9a0c-a35e35b39ae7}" done="1">
    <x18tc:text xml:space="preserve">Tournée manquante erreur F166</x18tc:text>
  </x18tc:threadedComment>
  <x18tc:threadedComment ref="A1" dT="2024-11-27T10:42:55.00" personId="{e9e12c46-d493-4720-b827-ea0e5f7c70b9}" id="{7c09689d-87d6-4e49-b345-2bfa856e03bd}" done="1">
    <x18tc:text xml:space="preserve">1</x18tc:text>
  </x18tc:threadedComment>
  <x18tc:threadedComment ref="A1" dT="2025-02-10T14:26:06.00" personId="{0fba4235-e691-4f30-8755-b3655bae1301}" id="{919f997c-7af9-4007-8062-ddc563b4682f}" done="0">
    <x18tc:text xml:space="preserve">-1 camion sur les 4 jours car RH le mercredi</x18tc:text>
  </x18tc:threadedComment>
  <x18tc:threadedComment ref="A1" dT="2024-06-07T13:49:06.00" personId="{fb14a4e4-b485-4b70-bedb-27b73cb7c16e}" id="{0ae4c508-73c4-4136-bbf9-94e3647dd16d}" done="1">
    <x18tc:text xml:space="preserve">2</x18tc:text>
  </x18tc:threadedComment>
  <x18tc:threadedComment ref="E54" dT="2025-10-08T14:13:46.00" personId="{0fba4235-e691-4f30-8755-b3655bae1301}" id="{ed5bbe76-2865-4eef-83e3-013c5ade3a46}" done="1">
    <x18tc:text xml:space="preserve">1 camion en moins le 09/10</x18tc:text>
  </x18tc:threadedComment>
  <x18tc:threadedComment ref="A1" dT="2024-12-10T15:30:52.00" personId="{6a7cfcef-de15-47e2-87c4-6229d9ccbfe6}" id="{5e454311-28a6-47bf-ae45-0fd27a596ca1}" done="1">
    <x18tc:text xml:space="preserve">2</x18tc:text>
  </x18tc:threadedComment>
  <x18tc:threadedComment ref="A1" dT="2025-02-05T18:22:57.00" personId="{4342b657-4a34-410d-aa1d-cb3dc65f3419}" id="{ca7947e3-33c5-4401-aa39-47932b4d7371}" done="1">
    <x18tc:text xml:space="preserve">Ff774rx</x18tc:text>
  </x18tc:threadedComment>
  <x18tc:threadedComment ref="A1" dT="2024-03-04T18:43:12.00" personId="{db39b2aa-80b1-498c-b01f-203042c6fd5c}" id="{869fe87e-0660-4692-b22f-a04b669eed38}" done="1">
    <x18tc:text xml:space="preserve">TDS devient B9 Transport à partir du 01 mars 2024</x18tc:text>
  </x18tc:threadedComment>
  <x18tc:threadedComment ref="E40" dT="2025-10-08T07:05:53.00" personId="{98c5dc25-a7a1-464b-a392-b2d6c95e88e4}" id="{2593375f-2d67-4a56-b695-77ab001f0e7c}" done="1">
    <x18tc:text xml:space="preserve">1 seul camion vu Nelson</x18tc:text>
  </x18tc:threadedComment>
  <x18tc:threadedComment ref="A1" dT="2024-09-25T16:22:39.00" personId="{837fcbd7-8256-415c-916e-ce88a98334d5}" id="{0a73b78b-c8c6-465a-adfc-d8659e2ae0b4}" done="1">
    <x18tc:text xml:space="preserve">3</x18tc:text>
  </x18tc:threadedComment>
  <x18tc:threadedComment ref="A1" dT="2024-09-26T13:43:17.00" personId="{0fba4235-e691-4f30-8755-b3655bae1301}" id="{5320bf93-860e-4b57-858a-8b59e01c0f10}" parentId="{0a73b78b-c8c6-465a-adfc-d8659e2ae0b4}">
    <x18tc:text xml:space="preserve">Marquée comme fermée</x18tc:text>
  </x18tc:threadedComment>
  <x18tc:threadedComment ref="A1" dT="2024-12-26T16:07:35.00" personId="{837fcbd7-8256-415c-916e-ce88a98334d5}" id="{adefbb76-54e3-42a9-ab7a-b8f015b85bc0}" parentId="{0a73b78b-c8c6-465a-adfc-d8659e2ae0b4}">
    <x18tc:text xml:space="preserve">Rouverte</x18tc:text>
  </x18tc:threadedComment>
  <x18tc:threadedComment ref="H6" dT="2025-04-05T05:32:27.00" personId="{98c5dc25-a7a1-464b-a392-b2d6c95e88e4}" id="{6ad8f490-d744-46da-8d59-83723a22d374}" done="1">
    <x18tc:text xml:space="preserve">3</x18tc:text>
  </x18tc:threadedComment>
  <x18tc:threadedComment ref="A1" dT="2024-04-30T17:44:03.00" personId="{d52fb991-e232-43f1-b1b6-e90c35b6ffb0}" id="{9b226643-a841-4d92-84c3-34738db43299}" done="0">
    <x18tc:text xml:space="preserve">ABDEL</x18tc:text>
  </x18tc:threadedComment>
  <x18tc:threadedComment ref="A1" dT="2023-08-03T06:26:37.00" personId="{98c5dc25-a7a1-464b-a392-b2d6c95e88e4}" id="{04381b0f-90e9-4a94-a976-508c5262a611}" done="1">
    <x18tc:text xml:space="preserve">si retard validé par Charles cause F159 2015418</x18tc:text>
  </x18tc:threadedComment>
  <x18tc:threadedComment ref="A1" dT="2023-08-03T16:58:58.00" personId="{448b1a52-f8c6-4b27-a5ba-f7fda116430a}" id="{b1a66ca4-277a-40cd-8893-0457ce8c891d}" parentId="{04381b0f-90e9-4a94-a976-508c5262a611}">
    <x18tc:text xml:space="preserve">Marquée comme fermée</x18tc:text>
  </x18tc:threadedComment>
  <x18tc:threadedComment ref="A1" dT="2023-08-03T18:10:30.00" personId="{540fade0-c916-4927-a0c3-5df94f0222b5}" id="{d06b3d30-a766-4cc7-80db-fffea46e8aa2}" parentId="{04381b0f-90e9-4a94-a976-508c5262a611}">
    <x18tc:text xml:space="preserve">Rouverte</x18tc:text>
  </x18tc:threadedComment>
  <x18tc:threadedComment ref="A1" dT="2023-08-03T18:49:30.00" personId="{98c5dc25-a7a1-464b-a392-b2d6c95e88e4}" id="{6d821a7a-46c9-4487-8b3b-bd4414f6be64}" parentId="{04381b0f-90e9-4a94-a976-508c5262a611}">
    <x18tc:text xml:space="preserve">Marquée comme fermée</x18tc:text>
  </x18tc:threadedComment>
  <x18tc:threadedComment ref="A1" dT="2023-09-28T20:08:39.00" personId="{22cbf006-7c18-4921-91c4-bb572d514823}" id="{4baf9fdb-96bc-4c04-bd9c-f897af498062}" parentId="{04381b0f-90e9-4a94-a976-508c5262a611}">
    <x18tc:text xml:space="preserve">Rouverte</x18tc:text>
  </x18tc:threadedComment>
  <x18tc:threadedComment ref="A1" dT="2024-11-28T11:59:05.00" personId="{e9e12c46-d493-4720-b827-ea0e5f7c70b9}" id="{c0155ca3-d397-44ec-abd3-0285f2bb1797}" done="1">
    <x18tc:text xml:space="preserve">1</x18tc:text>
  </x18tc:threadedComment>
  <x18tc:threadedComment ref="A1" dT="2025-02-11T08:52:52.00" personId="{0fba4235-e691-4f30-8755-b3655bae1301}" id="{21e5473c-1cbd-4f68-af85-a7d913c7c541}" done="0">
    <x18tc:text xml:space="preserve">-1 tournée pour non respect des règles au retour le 10/02/2025</x18tc:text>
  </x18tc:threadedComment>
  <x18tc:threadedComment ref="A1" dT="2024-09-04T05:17:19.00" personId="{98c5dc25-a7a1-464b-a392-b2d6c95e88e4}" id="{42b6ad93-7e9e-4f8a-98f8-27a9af5a3f22}" done="1">
    <x18tc:text xml:space="preserve">Tenue</x18tc:text>
  </x18tc:threadedComment>
  <x18tc:threadedComment ref="O14" dT="2025-09-02T06:45:23.00" personId="{0fba4235-e691-4f30-8755-b3655bae1301}" id="{7b866ad0-60f4-4d95-a461-4951cd954d51}" done="1">
    <x18tc:text xml:space="preserve">retard</x18tc:text>
  </x18tc:threadedComment>
  <x18tc:threadedComment ref="U9" dT="2025-09-02T05:25:15.00" personId="{0fba4235-e691-4f30-8755-b3655bae1301}" id="{58399931-62ea-4502-89ea-dfd1149d2f2e}" done="1">
    <x18tc:text xml:space="preserve">casquette</x18tc:text>
  </x18tc:threadedComment>
  <x18tc:threadedComment ref="E57" dT="2025-10-22T12:35:53.00" personId="{98c5dc25-a7a1-464b-a392-b2d6c95e88e4}" id="{4ba17efd-fdba-44de-a4d2-5bdb7940d904}" done="1">
    <x18tc:text xml:space="preserve">Suspendu jusqu'au Lundi 27/10 vol trottinette</x18tc:text>
  </x18tc:threadedComment>
  <x18tc:threadedComment ref="A1" dT="2024-06-28T15:21:16.00" personId="{5904737f-03ba-4535-b246-ec5dec0f1cf9}" id="{f7f4ac39-cd53-43b4-82d7-ee2227e12774}" done="1">
    <x18tc:text xml:space="preserve">2</x18tc:text>
  </x18tc:threadedComment>
  <x18tc:threadedComment ref="A1" dT="2024-06-28T15:34:48.00" personId="{0fba4235-e691-4f30-8755-b3655bae1301}" id="{ac1536fd-0094-44fd-b0a8-275fa6c9014b}" parentId="{f7f4ac39-cd53-43b4-82d7-ee2227e12774}">
    <x18tc:text xml:space="preserve">Marquée comme fermée</x18tc:text>
  </x18tc:threadedComment>
  <x18tc:threadedComment ref="A1" dT="2024-07-28T09:08:01.00" personId="{7df5cf70-19b8-46b3-9dd2-f2918462bf96}" id="{b114f8a6-7d1e-42e8-a174-ef3d35ec3f8a}" parentId="{f7f4ac39-cd53-43b4-82d7-ee2227e12774}">
    <x18tc:text xml:space="preserve">Rouverte</x18tc:text>
  </x18tc:threadedComment>
  <x18tc:threadedComment ref="H8" dT="2025-09-18T05:14:00.00" personId="{98c5dc25-a7a1-464b-a392-b2d6c95e88e4}" id="{42653091-f61f-4d82-9de7-675921be6dec}" done="1">
    <x18tc:text xml:space="preserve">A</x18tc:text>
  </x18tc:threadedComment>
  <x18tc:threadedComment ref="K5" dT="2026-03-25T06:18:59.00" personId="{4f51c716-9a84-4438-8d26-fbdacb02664a}" id="{6f99b033-1176-4542-8595-b39c0fcd7ef6}" done="1">
    <x18tc:text xml:space="preserve">7</x18tc:text>
  </x18tc:threadedComment>
  <x18tc:threadedComment ref="H7" dT="2025-03-26T08:23:52.00" personId="{98c5dc25-a7a1-464b-a392-b2d6c95e88e4}" id="{b5eb9c8f-7bd8-4cfb-ba21-132d640ba64e}" done="1">
    <x18tc:text xml:space="preserve">NC car problème pas de sms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95" dT="2025-06-06T17:00:27.00" personId="{0fba4235-e691-4f30-8755-b3655bae1301}" id="{ffedc65b-942c-4adf-aac2-10ea5a9670c1}" done="0">
    <x18tc:text xml:space="preserve">suspension Kim SAMY DEEE non jeter dans la benne</x18tc:text>
  </x18tc:threadedComment>
  <x18tc:threadedComment ref="AD13" dT="2025-01-28T14:42:30.00" personId="{0fba4235-e691-4f30-8755-b3655bae1301}" id="{8578968e-6653-430a-9210-70d4c1bb03cc}" done="0">
    <x18tc:text xml:space="preserve">1 tournée // suspension non port des chaussures DREAMTEAM</x18tc:text>
  </x18tc:threadedComment>
  <x18tc:threadedComment ref="W4" dT="2025-01-21T10:47:03.00" personId="{0fba4235-e691-4f30-8755-b3655bae1301}" id="{15e2dad3-e4d0-450a-9f2e-90bacc21c753}" done="0">
    <x18tc:text xml:space="preserve">DOUBS (2 équipes) Tournées 806 et 807 du 17/01/2025 -&gt; Pas de tournée le Mercredi 22/01/2025</x18tc:text>
  </x18tc:threadedComment>
  <x18tc:threadedComment ref="X21" dT="2025-01-21T10:49:30.00" personId="{0fba4235-e691-4f30-8755-b3655bae1301}" id="{dee5276c-f17f-4ae5-b557-3b641868dcd2}" done="0">
    <x18tc:text xml:space="preserve">HK Tournée 827 du 17/01/2025 -&gt; Une équipe ne tournera pas le JEUDI 23/01/2025</x18tc:text>
  </x18tc:threadedComment>
  <x18tc:threadedComment ref="W28" dT="2025-01-21T10:48:57.00" personId="{0fba4235-e691-4f30-8755-b3655bae1301}" id="{eced0e92-6397-4153-9767-efd5b081e994}" done="0">
    <x18tc:text xml:space="preserve">FC Tournées 835 du 17/01/2025 -&gt; Une équipe ne tournera pas le MERCREDI 22/01/2025</x18tc:text>
  </x18tc:threadedComment>
  <x18tc:threadedComment ref="Y8" dT="2025-01-21T10:50:24.00" personId="{0fba4235-e691-4f30-8755-b3655bae1301}" id="{60525b1a-cce1-4e81-b92d-ace714a7a1fe}" done="0">
    <x18tc:text xml:space="preserve">AGS Tournée du 14/01/2025 -&gt; Une équipe ne tournera pas le VENDREDI 24/01/2025</x18tc:text>
  </x18tc:threadedComment>
  <x18tc:threadedComment ref="G94" dT="2025-03-04T10:42:30.00" personId="{0fba4235-e691-4f30-8755-b3655bae1301}" id="{af3d66bd-1e7d-4b74-8291-386515378e69}" done="0">
    <x18tc:text xml:space="preserve">Tournée 502 / CLS -&gt; pas de chaussures ni au départ de tournée, ni au retour de tournée et pas de gants au retour.
1 tournée de moins le Jeudi 06/03/2025</x18tc:text>
  </x18tc:threadedComment>
  <x18tc:threadedComment ref="M79" dT="2025-03-09T09:10:52.00" personId="{f734c01e-4768-41ef-8b8a-943ce519dd34}" id="{4302c095-3e21-4c28-a945-9b7ed84dd703}" done="0">
    <x18tc:text xml:space="preserve">Une tournée en moins le 12/03/2025 Dépôt sauvage des emballages</x18tc:text>
  </x18tc:threadedComment>
  <x18tc:threadedComment ref="AD28" dT="2025-01-28T13:44:24.00" personId="{0fba4235-e691-4f30-8755-b3655bae1301}" id="{3e3450e8-7166-4699-a71b-c89c87db3b8b}" done="0">
    <x18tc:text xml:space="preserve">Suspension camion suite tournées non rendues 201 du 25/01 et 205 du 27/01</x18tc:text>
  </x18tc:threadedComment>
  <x18tc:threadedComment ref="AC110" dT="2025-04-26T15:21:03.00" personId="{db35b890-a004-45dd-85e1-bce4681be43f}" id="{c7705a30-463c-4aaf-983f-69506bcceb86}" done="0">
    <x18tc:text xml:space="preserve">1 camion en moins suspension tournée 840 du 26/04/2025 Omar</x18tc:text>
  </x18tc:threadedComment>
  <x18tc:threadedComment ref="G101" dT="2025-03-04T11:24:52.00" personId="{0fba4235-e691-4f30-8755-b3655bae1301}" id="{870df0bf-f9ec-44ff-8d80-e031d591effc}" done="0">
    <x18tc:text xml:space="preserve">Tournée 843 / MNS -&gt; dépôts sauvage DEEE
1 tournée de moins le Jeudi 06/03/2025</x18tc:text>
  </x18tc:threadedComment>
  <x18tc:threadedComment ref="G75" dT="2025-03-05T08:45:03.00" personId="{0fba4235-e691-4f30-8755-b3655bae1301}" id="{61a2d7a1-2f43-4c7c-b217-34bc0c2a0f19}" done="0">
    <x18tc:text xml:space="preserve">Tournée 823 / TRIGGER -&gt; dépôts sauvage DEEE
1 tournée de moins le Jeudi 06/03/2025</x18tc:text>
  </x18tc:threadedComment>
  <x18tc:threadedComment ref="B42" dT="2025-01-23T14:08:02.00" personId="{0fba4235-e691-4f30-8755-b3655bae1301}" id="{ad02a7ff-e99e-4053-8b78-be467e17e1af}" done="0">
    <x18tc:text xml:space="preserve">Suspension d'un camion jusqu'au 2/02/2025 inclus</x18tc:text>
  </x18tc:threadedComment>
  <x18tc:threadedComment ref="Y7" dT="2025-01-23T14:07:52.00" personId="{0fba4235-e691-4f30-8755-b3655bae1301}" id="{eeac1c53-50cf-4b3c-b6a6-c8d702e7938c}" done="0">
    <x18tc:text xml:space="preserve">Suspension d'un camion jusqu'au 2/02/2025 inclus</x18tc:text>
  </x18tc:threadedComment>
  <x18tc:threadedComment ref="E51" dT="2025-02-01T18:37:20.00" personId="{0fba4235-e691-4f30-8755-b3655bae1301}" id="{b632c478-1f4a-4ce2-b39b-189d2b239257}" done="0">
    <x18tc:text xml:space="preserve">suspension tournée mono</x18tc:text>
  </x18tc:threadedComment>
  <x18tc:threadedComment ref="F93" dT="2025-03-04T11:34:00.00" personId="{0fba4235-e691-4f30-8755-b3655bae1301}" id="{7c28af7d-b125-4d5c-9ebf-fd04ca684a33}" done="0">
    <x18tc:text xml:space="preserve">Tournée 818 / ELIT -&gt; dépôts sauvage DEEE
1 tournée de moins le MERCREDI 05/03/2025</x18tc:text>
  </x18tc:threadedComment>
  <x18tc:threadedComment ref="F92" dT="2025-03-04T11:34:22.00" personId="{0fba4235-e691-4f30-8755-b3655bae1301}" id="{a8230d55-ca4d-4b14-928d-2cc5694d9b50}" done="0">
    <x18tc:text xml:space="preserve">Express Polytrans du 03/03/2025 -&gt; dépôts sauvage DEEE
1 tournée de moins le MERCREDI 05/03/2025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spreadsheets/d/1sOleoniQtbCRk6aTKy2unvIGIoowmY0WP4GKYis5LK0/edit?gid=0" TargetMode="External"/><Relationship Id="rId5" Type="http://schemas.openxmlformats.org/officeDocument/2006/relationships/hyperlink" Target="https://docs.google.com/spreadsheets/d/1sOleoniQtbCRk6aTKy2unvIGIoowmY0WP4GKYis5LK0/edit?gid=0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5cUOihx_QrcWcKmD0zLhcYsIz-CfZxEfpYV5I3XYTs4/edit?gid=0" TargetMode="External"/><Relationship Id="rId2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86"/>
    <col customWidth="1" min="2" max="3" width="5.86"/>
    <col customWidth="1" min="4" max="4" width="25.57"/>
    <col customWidth="1" min="5" max="5" width="13.71"/>
    <col customWidth="1" min="6" max="6" width="16.57"/>
    <col customWidth="1" min="7" max="7" width="14.43"/>
    <col customWidth="1" min="8" max="11" width="4.43"/>
    <col customWidth="1" min="12" max="12" width="2.29"/>
    <col customWidth="1" min="13" max="14" width="5.86"/>
    <col customWidth="1" min="15" max="15" width="25.43"/>
    <col customWidth="1" min="16" max="16" width="17.0"/>
    <col customWidth="1" min="17" max="17" width="17.29"/>
    <col customWidth="1" min="18" max="18" width="14.43"/>
    <col customWidth="1" min="19" max="22" width="4.43"/>
    <col customWidth="1" min="23" max="23" width="2.29"/>
    <col customWidth="1" min="24" max="25" width="5.86"/>
    <col customWidth="1" min="26" max="26" width="24.43"/>
    <col customWidth="1" min="27" max="27" width="14.43"/>
    <col customWidth="1" min="28" max="28" width="16.57"/>
    <col customWidth="1" min="29" max="29" width="14.43"/>
    <col customWidth="1" min="30" max="30" width="5.14"/>
    <col customWidth="1" min="31" max="33" width="4.43"/>
    <col customWidth="1" min="34" max="34" width="2.29"/>
    <col customWidth="1" min="35" max="36" width="5.86"/>
    <col customWidth="1" min="37" max="37" width="26.43"/>
    <col customWidth="1" min="38" max="38" width="14.43"/>
    <col customWidth="1" min="39" max="39" width="20.14"/>
    <col customWidth="1" min="40" max="40" width="14.43"/>
    <col customWidth="1" min="41" max="44" width="4.43"/>
    <col customWidth="1" hidden="1" min="45" max="45" width="4.43"/>
  </cols>
  <sheetData>
    <row r="1">
      <c r="A1" s="1"/>
      <c r="B1" s="2">
        <v>46174.0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  <c r="Y1" s="4"/>
      <c r="Z1" s="4"/>
      <c r="AA1" s="4"/>
      <c r="AB1" s="4"/>
      <c r="AC1" s="4"/>
      <c r="AD1" s="5"/>
      <c r="AE1" s="4"/>
      <c r="AF1" s="4"/>
      <c r="AG1" s="4"/>
      <c r="AH1" s="4"/>
      <c r="AI1" s="4"/>
      <c r="AJ1" s="6"/>
      <c r="AK1" s="4"/>
      <c r="AL1" s="4"/>
      <c r="AM1" s="4"/>
      <c r="AN1" s="4"/>
      <c r="AO1" s="4"/>
      <c r="AP1" s="4"/>
      <c r="AQ1" s="4"/>
      <c r="AR1" s="7"/>
      <c r="AS1" s="7"/>
    </row>
    <row r="2">
      <c r="A2" s="1"/>
      <c r="B2" s="8" t="s">
        <v>0</v>
      </c>
      <c r="C2" s="9"/>
      <c r="D2" s="9"/>
      <c r="E2" s="9"/>
      <c r="F2" s="9"/>
      <c r="G2" s="9"/>
      <c r="H2" s="9"/>
      <c r="I2" s="9"/>
      <c r="J2" s="9"/>
      <c r="K2" s="10"/>
      <c r="L2" s="11"/>
      <c r="M2" s="12" t="s">
        <v>1</v>
      </c>
      <c r="N2" s="9"/>
      <c r="O2" s="9"/>
      <c r="P2" s="9"/>
      <c r="Q2" s="9"/>
      <c r="R2" s="9"/>
      <c r="S2" s="9"/>
      <c r="T2" s="9"/>
      <c r="U2" s="9"/>
      <c r="V2" s="10"/>
      <c r="W2" s="13"/>
      <c r="X2" s="8" t="s">
        <v>2</v>
      </c>
      <c r="Y2" s="9"/>
      <c r="Z2" s="9"/>
      <c r="AA2" s="9"/>
      <c r="AB2" s="9"/>
      <c r="AC2" s="9"/>
      <c r="AD2" s="9"/>
      <c r="AE2" s="9"/>
      <c r="AF2" s="9"/>
      <c r="AG2" s="10"/>
      <c r="AH2" s="13"/>
      <c r="AI2" s="14" t="s">
        <v>3</v>
      </c>
      <c r="AJ2" s="9"/>
      <c r="AK2" s="9"/>
      <c r="AL2" s="9"/>
      <c r="AM2" s="9"/>
      <c r="AN2" s="9"/>
      <c r="AO2" s="9"/>
      <c r="AP2" s="9"/>
      <c r="AQ2" s="9"/>
      <c r="AR2" s="10"/>
      <c r="AS2" s="15"/>
    </row>
    <row r="3" ht="19.5" customHeight="1">
      <c r="A3" s="16"/>
      <c r="B3" s="17" t="s">
        <v>4</v>
      </c>
      <c r="C3" s="18" t="s">
        <v>5</v>
      </c>
      <c r="D3" s="18" t="s">
        <v>6</v>
      </c>
      <c r="E3" s="18" t="s">
        <v>7</v>
      </c>
      <c r="F3" s="18" t="s">
        <v>8</v>
      </c>
      <c r="G3" s="18" t="s">
        <v>9</v>
      </c>
      <c r="H3" s="19" t="s">
        <v>10</v>
      </c>
      <c r="I3" s="19" t="s">
        <v>11</v>
      </c>
      <c r="J3" s="19" t="s">
        <v>12</v>
      </c>
      <c r="K3" s="20" t="s">
        <v>13</v>
      </c>
      <c r="L3" s="21"/>
      <c r="M3" s="22" t="s">
        <v>4</v>
      </c>
      <c r="N3" s="23" t="s">
        <v>5</v>
      </c>
      <c r="O3" s="24" t="s">
        <v>6</v>
      </c>
      <c r="P3" s="24" t="s">
        <v>7</v>
      </c>
      <c r="Q3" s="24" t="s">
        <v>8</v>
      </c>
      <c r="R3" s="25" t="s">
        <v>9</v>
      </c>
      <c r="S3" s="26" t="s">
        <v>10</v>
      </c>
      <c r="T3" s="27" t="s">
        <v>11</v>
      </c>
      <c r="U3" s="28" t="s">
        <v>12</v>
      </c>
      <c r="V3" s="29" t="s">
        <v>13</v>
      </c>
      <c r="W3" s="30"/>
      <c r="X3" s="17" t="s">
        <v>4</v>
      </c>
      <c r="Y3" s="18" t="s">
        <v>5</v>
      </c>
      <c r="Z3" s="18" t="s">
        <v>6</v>
      </c>
      <c r="AA3" s="18" t="s">
        <v>7</v>
      </c>
      <c r="AB3" s="18" t="s">
        <v>8</v>
      </c>
      <c r="AC3" s="18" t="s">
        <v>9</v>
      </c>
      <c r="AD3" s="19" t="s">
        <v>10</v>
      </c>
      <c r="AE3" s="19" t="s">
        <v>11</v>
      </c>
      <c r="AF3" s="19" t="s">
        <v>12</v>
      </c>
      <c r="AG3" s="20" t="s">
        <v>13</v>
      </c>
      <c r="AH3" s="30"/>
      <c r="AI3" s="24" t="s">
        <v>4</v>
      </c>
      <c r="AJ3" s="24" t="s">
        <v>5</v>
      </c>
      <c r="AK3" s="24" t="s">
        <v>6</v>
      </c>
      <c r="AL3" s="24" t="s">
        <v>7</v>
      </c>
      <c r="AM3" s="24" t="s">
        <v>8</v>
      </c>
      <c r="AN3" s="25" t="s">
        <v>14</v>
      </c>
      <c r="AO3" s="31" t="s">
        <v>10</v>
      </c>
      <c r="AP3" s="32" t="s">
        <v>11</v>
      </c>
      <c r="AQ3" s="32" t="s">
        <v>12</v>
      </c>
      <c r="AR3" s="33" t="s">
        <v>13</v>
      </c>
      <c r="AS3" s="34"/>
    </row>
    <row r="4">
      <c r="A4" s="35" t="s">
        <v>15</v>
      </c>
      <c r="B4" s="36" t="s">
        <v>16</v>
      </c>
      <c r="C4" s="37" t="s">
        <v>17</v>
      </c>
      <c r="D4" s="38" t="s">
        <v>18</v>
      </c>
      <c r="E4" s="39" t="s">
        <v>19</v>
      </c>
      <c r="F4" s="40" t="s">
        <v>20</v>
      </c>
      <c r="G4" s="41" t="s">
        <v>21</v>
      </c>
      <c r="H4" s="42" t="s">
        <v>22</v>
      </c>
      <c r="I4" s="43" t="s">
        <v>23</v>
      </c>
      <c r="J4" s="43" t="s">
        <v>24</v>
      </c>
      <c r="K4" s="44" t="s">
        <v>25</v>
      </c>
      <c r="L4" s="21"/>
      <c r="M4" s="45" t="s">
        <v>16</v>
      </c>
      <c r="N4" s="46" t="s">
        <v>26</v>
      </c>
      <c r="O4" s="40" t="s">
        <v>27</v>
      </c>
      <c r="P4" s="47" t="s">
        <v>28</v>
      </c>
      <c r="Q4" s="47" t="s">
        <v>29</v>
      </c>
      <c r="R4" s="48" t="s">
        <v>30</v>
      </c>
      <c r="S4" s="42" t="s">
        <v>31</v>
      </c>
      <c r="T4" s="43" t="s">
        <v>23</v>
      </c>
      <c r="U4" s="43" t="s">
        <v>24</v>
      </c>
      <c r="V4" s="49" t="s">
        <v>22</v>
      </c>
      <c r="W4" s="50"/>
      <c r="X4" s="37" t="s">
        <v>16</v>
      </c>
      <c r="Y4" s="37" t="s">
        <v>32</v>
      </c>
      <c r="Z4" s="51"/>
      <c r="AA4" s="47"/>
      <c r="AB4" s="52"/>
      <c r="AC4" s="53"/>
      <c r="AD4" s="54"/>
      <c r="AE4" s="43"/>
      <c r="AF4" s="43"/>
      <c r="AG4" s="49"/>
      <c r="AH4" s="55"/>
      <c r="AI4" s="56" t="s">
        <v>16</v>
      </c>
      <c r="AJ4" s="57" t="s">
        <v>33</v>
      </c>
      <c r="AK4" s="58"/>
      <c r="AL4" s="59"/>
      <c r="AM4" s="60"/>
      <c r="AN4" s="61"/>
      <c r="AO4" s="62"/>
      <c r="AP4" s="63"/>
      <c r="AQ4" s="64"/>
      <c r="AR4" s="65"/>
      <c r="AS4" s="66"/>
    </row>
    <row r="5">
      <c r="A5" s="47" t="s">
        <v>34</v>
      </c>
      <c r="B5" s="36" t="s">
        <v>35</v>
      </c>
      <c r="C5" s="37" t="s">
        <v>36</v>
      </c>
      <c r="D5" s="38" t="s">
        <v>37</v>
      </c>
      <c r="E5" s="40" t="s">
        <v>38</v>
      </c>
      <c r="F5" s="40" t="s">
        <v>39</v>
      </c>
      <c r="G5" s="41" t="s">
        <v>40</v>
      </c>
      <c r="H5" s="67" t="s">
        <v>22</v>
      </c>
      <c r="I5" s="68" t="s">
        <v>41</v>
      </c>
      <c r="J5" s="68" t="s">
        <v>42</v>
      </c>
      <c r="K5" s="44" t="s">
        <v>43</v>
      </c>
      <c r="L5" s="21"/>
      <c r="M5" s="45" t="s">
        <v>35</v>
      </c>
      <c r="N5" s="46" t="s">
        <v>44</v>
      </c>
      <c r="O5" s="69" t="s">
        <v>45</v>
      </c>
      <c r="P5" s="70" t="s">
        <v>46</v>
      </c>
      <c r="Q5" s="1" t="s">
        <v>47</v>
      </c>
      <c r="R5" s="48" t="s">
        <v>48</v>
      </c>
      <c r="S5" s="67" t="s">
        <v>31</v>
      </c>
      <c r="T5" s="68" t="s">
        <v>23</v>
      </c>
      <c r="U5" s="68" t="s">
        <v>24</v>
      </c>
      <c r="V5" s="71" t="s">
        <v>49</v>
      </c>
      <c r="W5" s="50"/>
      <c r="X5" s="37" t="s">
        <v>35</v>
      </c>
      <c r="Y5" s="37" t="s">
        <v>50</v>
      </c>
      <c r="Z5" s="69"/>
      <c r="AA5" s="72"/>
      <c r="AB5" s="39"/>
      <c r="AC5" s="73"/>
      <c r="AD5" s="74"/>
      <c r="AE5" s="68"/>
      <c r="AF5" s="68"/>
      <c r="AG5" s="71"/>
      <c r="AH5" s="50"/>
      <c r="AI5" s="57" t="s">
        <v>35</v>
      </c>
      <c r="AJ5" s="57" t="s">
        <v>51</v>
      </c>
      <c r="AK5" s="75"/>
      <c r="AL5" s="59"/>
      <c r="AM5" s="60"/>
      <c r="AN5" s="61"/>
      <c r="AO5" s="76"/>
      <c r="AP5" s="77"/>
      <c r="AQ5" s="78"/>
      <c r="AR5" s="79"/>
      <c r="AS5" s="66"/>
    </row>
    <row r="6">
      <c r="A6" s="47" t="s">
        <v>52</v>
      </c>
      <c r="B6" s="36" t="s">
        <v>53</v>
      </c>
      <c r="C6" s="37" t="s">
        <v>54</v>
      </c>
      <c r="D6" s="38" t="s">
        <v>55</v>
      </c>
      <c r="E6" s="39" t="s">
        <v>56</v>
      </c>
      <c r="F6" s="40" t="s">
        <v>57</v>
      </c>
      <c r="G6" s="41" t="s">
        <v>58</v>
      </c>
      <c r="H6" s="67" t="s">
        <v>34</v>
      </c>
      <c r="I6" s="68" t="s">
        <v>59</v>
      </c>
      <c r="J6" s="68" t="s">
        <v>42</v>
      </c>
      <c r="K6" s="71" t="s">
        <v>43</v>
      </c>
      <c r="L6" s="21"/>
      <c r="M6" s="45" t="s">
        <v>53</v>
      </c>
      <c r="N6" s="46" t="s">
        <v>60</v>
      </c>
      <c r="O6" s="69" t="s">
        <v>61</v>
      </c>
      <c r="P6" s="47" t="s">
        <v>62</v>
      </c>
      <c r="Q6" s="47" t="s">
        <v>63</v>
      </c>
      <c r="R6" s="47" t="s">
        <v>64</v>
      </c>
      <c r="S6" s="67" t="s">
        <v>65</v>
      </c>
      <c r="T6" s="68" t="s">
        <v>23</v>
      </c>
      <c r="U6" s="68" t="s">
        <v>24</v>
      </c>
      <c r="V6" s="71" t="s">
        <v>66</v>
      </c>
      <c r="W6" s="50"/>
      <c r="X6" s="80" t="s">
        <v>53</v>
      </c>
      <c r="Y6" s="80" t="s">
        <v>67</v>
      </c>
      <c r="Z6" s="81"/>
      <c r="AA6" s="82"/>
      <c r="AB6" s="39"/>
      <c r="AC6" s="83"/>
      <c r="AD6" s="74"/>
      <c r="AE6" s="68"/>
      <c r="AF6" s="68"/>
      <c r="AG6" s="71"/>
      <c r="AH6" s="84"/>
      <c r="AI6" s="57" t="s">
        <v>53</v>
      </c>
      <c r="AJ6" s="57" t="s">
        <v>68</v>
      </c>
      <c r="AK6" s="85"/>
      <c r="AL6" s="86"/>
      <c r="AM6" s="60"/>
      <c r="AN6" s="61"/>
      <c r="AO6" s="76"/>
      <c r="AP6" s="77"/>
      <c r="AQ6" s="78"/>
      <c r="AR6" s="79"/>
      <c r="AS6" s="66"/>
    </row>
    <row r="7">
      <c r="A7" s="47" t="s">
        <v>65</v>
      </c>
      <c r="B7" s="87" t="s">
        <v>69</v>
      </c>
      <c r="C7" s="56" t="s">
        <v>70</v>
      </c>
      <c r="D7" s="88" t="s">
        <v>71</v>
      </c>
      <c r="E7" s="89" t="s">
        <v>72</v>
      </c>
      <c r="F7" s="90" t="s">
        <v>73</v>
      </c>
      <c r="G7" s="91" t="s">
        <v>74</v>
      </c>
      <c r="H7" s="67" t="s">
        <v>22</v>
      </c>
      <c r="I7" s="68" t="s">
        <v>23</v>
      </c>
      <c r="J7" s="68" t="s">
        <v>24</v>
      </c>
      <c r="K7" s="44" t="s">
        <v>75</v>
      </c>
      <c r="L7" s="21"/>
      <c r="M7" s="92" t="s">
        <v>69</v>
      </c>
      <c r="N7" s="93" t="s">
        <v>76</v>
      </c>
      <c r="O7" s="94" t="s">
        <v>77</v>
      </c>
      <c r="P7" s="95" t="s">
        <v>78</v>
      </c>
      <c r="Q7" s="95" t="s">
        <v>79</v>
      </c>
      <c r="R7" s="96" t="s">
        <v>80</v>
      </c>
      <c r="S7" s="67" t="s">
        <v>15</v>
      </c>
      <c r="T7" s="68" t="s">
        <v>41</v>
      </c>
      <c r="U7" s="68" t="s">
        <v>42</v>
      </c>
      <c r="V7" s="71" t="s">
        <v>81</v>
      </c>
      <c r="W7" s="97"/>
      <c r="X7" s="56" t="s">
        <v>69</v>
      </c>
      <c r="Y7" s="56" t="s">
        <v>82</v>
      </c>
      <c r="Z7" s="90"/>
      <c r="AA7" s="98"/>
      <c r="AB7" s="99"/>
      <c r="AC7" s="100"/>
      <c r="AD7" s="74"/>
      <c r="AE7" s="68"/>
      <c r="AF7" s="68"/>
      <c r="AG7" s="71"/>
      <c r="AH7" s="50"/>
      <c r="AI7" s="101" t="s">
        <v>69</v>
      </c>
      <c r="AJ7" s="101" t="s">
        <v>83</v>
      </c>
      <c r="AK7" s="102"/>
      <c r="AL7" s="103"/>
      <c r="AM7" s="103"/>
      <c r="AN7" s="104"/>
      <c r="AO7" s="105"/>
      <c r="AP7" s="106"/>
      <c r="AQ7" s="107"/>
      <c r="AR7" s="108"/>
      <c r="AS7" s="109"/>
    </row>
    <row r="8">
      <c r="A8" s="47" t="s">
        <v>31</v>
      </c>
      <c r="B8" s="87" t="s">
        <v>84</v>
      </c>
      <c r="C8" s="110" t="s">
        <v>85</v>
      </c>
      <c r="D8" s="94" t="s">
        <v>86</v>
      </c>
      <c r="E8" s="89" t="s">
        <v>87</v>
      </c>
      <c r="F8" s="90" t="s">
        <v>88</v>
      </c>
      <c r="G8" s="91" t="s">
        <v>89</v>
      </c>
      <c r="H8" s="67"/>
      <c r="I8" s="68"/>
      <c r="J8" s="68"/>
      <c r="K8" s="44"/>
      <c r="L8" s="21"/>
      <c r="M8" s="92" t="s">
        <v>84</v>
      </c>
      <c r="N8" s="89" t="s">
        <v>90</v>
      </c>
      <c r="O8" s="90"/>
      <c r="P8" s="111"/>
      <c r="Q8" s="111"/>
      <c r="R8" s="112"/>
      <c r="S8" s="67"/>
      <c r="T8" s="68"/>
      <c r="U8" s="68"/>
      <c r="V8" s="71"/>
      <c r="W8" s="50"/>
      <c r="X8" s="56" t="s">
        <v>84</v>
      </c>
      <c r="Y8" s="56" t="s">
        <v>91</v>
      </c>
      <c r="Z8" s="113"/>
      <c r="AA8" s="60"/>
      <c r="AB8" s="85"/>
      <c r="AC8" s="114"/>
      <c r="AD8" s="74"/>
      <c r="AE8" s="68"/>
      <c r="AF8" s="68"/>
      <c r="AG8" s="71"/>
      <c r="AH8" s="50"/>
      <c r="AI8" s="101" t="s">
        <v>84</v>
      </c>
      <c r="AJ8" s="101" t="s">
        <v>92</v>
      </c>
      <c r="AK8" s="102"/>
      <c r="AL8" s="115"/>
      <c r="AM8" s="115"/>
      <c r="AN8" s="116"/>
      <c r="AO8" s="105"/>
      <c r="AP8" s="106"/>
      <c r="AQ8" s="107"/>
      <c r="AR8" s="108"/>
      <c r="AS8" s="66"/>
    </row>
    <row r="9">
      <c r="A9" s="35" t="s">
        <v>22</v>
      </c>
      <c r="B9" s="17" t="s">
        <v>93</v>
      </c>
      <c r="C9" s="117" t="s">
        <v>94</v>
      </c>
      <c r="D9" s="118"/>
      <c r="E9" s="118"/>
      <c r="F9" s="119"/>
      <c r="G9" s="120"/>
      <c r="H9" s="67"/>
      <c r="I9" s="68"/>
      <c r="J9" s="68"/>
      <c r="K9" s="44"/>
      <c r="L9" s="21"/>
      <c r="M9" s="121" t="s">
        <v>93</v>
      </c>
      <c r="N9" s="122" t="s">
        <v>95</v>
      </c>
      <c r="O9" s="118"/>
      <c r="P9" s="118"/>
      <c r="Q9" s="119"/>
      <c r="R9" s="123"/>
      <c r="S9" s="67"/>
      <c r="T9" s="68"/>
      <c r="U9" s="68"/>
      <c r="V9" s="71"/>
      <c r="W9" s="55"/>
      <c r="X9" s="117" t="s">
        <v>93</v>
      </c>
      <c r="Y9" s="117" t="s">
        <v>96</v>
      </c>
      <c r="Z9" s="118"/>
      <c r="AA9" s="118"/>
      <c r="AB9" s="119"/>
      <c r="AC9" s="124"/>
      <c r="AD9" s="125"/>
      <c r="AE9" s="68"/>
      <c r="AF9" s="68"/>
      <c r="AG9" s="71"/>
      <c r="AH9" s="50"/>
      <c r="AI9" s="101" t="s">
        <v>93</v>
      </c>
      <c r="AJ9" s="101" t="s">
        <v>97</v>
      </c>
      <c r="AK9" s="102"/>
      <c r="AL9" s="126"/>
      <c r="AM9" s="127"/>
      <c r="AN9" s="128"/>
      <c r="AO9" s="105"/>
      <c r="AP9" s="106"/>
      <c r="AQ9" s="107"/>
      <c r="AR9" s="108"/>
      <c r="AS9" s="66"/>
    </row>
    <row r="10">
      <c r="A10" s="35" t="s">
        <v>25</v>
      </c>
      <c r="B10" s="17" t="s">
        <v>98</v>
      </c>
      <c r="C10" s="117" t="s">
        <v>99</v>
      </c>
      <c r="D10" s="40" t="s">
        <v>100</v>
      </c>
      <c r="E10" s="40" t="s">
        <v>101</v>
      </c>
      <c r="F10" s="40" t="s">
        <v>102</v>
      </c>
      <c r="G10" s="129" t="s">
        <v>103</v>
      </c>
      <c r="H10" s="67" t="s">
        <v>104</v>
      </c>
      <c r="I10" s="68" t="s">
        <v>41</v>
      </c>
      <c r="J10" s="68" t="s">
        <v>42</v>
      </c>
      <c r="K10" s="44" t="s">
        <v>105</v>
      </c>
      <c r="L10" s="21"/>
      <c r="M10" s="121" t="s">
        <v>98</v>
      </c>
      <c r="N10" s="122" t="s">
        <v>106</v>
      </c>
      <c r="O10" s="130" t="s">
        <v>107</v>
      </c>
      <c r="P10" s="39" t="s">
        <v>108</v>
      </c>
      <c r="Q10" s="48" t="s">
        <v>109</v>
      </c>
      <c r="R10" s="48" t="s">
        <v>110</v>
      </c>
      <c r="S10" s="67" t="s">
        <v>22</v>
      </c>
      <c r="T10" s="68" t="s">
        <v>41</v>
      </c>
      <c r="U10" s="68" t="s">
        <v>42</v>
      </c>
      <c r="V10" s="71" t="s">
        <v>111</v>
      </c>
      <c r="W10" s="30"/>
      <c r="X10" s="131" t="s">
        <v>98</v>
      </c>
      <c r="Y10" s="131" t="s">
        <v>112</v>
      </c>
      <c r="Z10" s="102" t="s">
        <v>113</v>
      </c>
      <c r="AA10" s="40" t="s">
        <v>114</v>
      </c>
      <c r="AB10" s="70" t="s">
        <v>115</v>
      </c>
      <c r="AC10" s="41" t="s">
        <v>116</v>
      </c>
      <c r="AD10" s="125" t="s">
        <v>66</v>
      </c>
      <c r="AE10" s="68" t="s">
        <v>41</v>
      </c>
      <c r="AF10" s="68" t="s">
        <v>42</v>
      </c>
      <c r="AG10" s="71" t="s">
        <v>49</v>
      </c>
      <c r="AH10" s="30"/>
      <c r="AI10" s="132" t="s">
        <v>98</v>
      </c>
      <c r="AJ10" s="132" t="s">
        <v>117</v>
      </c>
      <c r="AK10" s="102"/>
      <c r="AL10" s="126"/>
      <c r="AM10" s="127"/>
      <c r="AN10" s="128"/>
      <c r="AO10" s="76"/>
      <c r="AP10" s="77"/>
      <c r="AQ10" s="78"/>
      <c r="AR10" s="79"/>
      <c r="AS10" s="66"/>
    </row>
    <row r="11" ht="15.75" customHeight="1">
      <c r="A11" s="35" t="s">
        <v>66</v>
      </c>
      <c r="B11" s="17" t="s">
        <v>118</v>
      </c>
      <c r="C11" s="117" t="s">
        <v>119</v>
      </c>
      <c r="D11" s="130" t="s">
        <v>100</v>
      </c>
      <c r="E11" s="39" t="s">
        <v>120</v>
      </c>
      <c r="F11" s="40" t="s">
        <v>121</v>
      </c>
      <c r="G11" s="133" t="s">
        <v>122</v>
      </c>
      <c r="H11" s="67" t="s">
        <v>111</v>
      </c>
      <c r="I11" s="68" t="s">
        <v>41</v>
      </c>
      <c r="J11" s="68" t="s">
        <v>42</v>
      </c>
      <c r="K11" s="44" t="s">
        <v>123</v>
      </c>
      <c r="L11" s="21"/>
      <c r="M11" s="121" t="s">
        <v>118</v>
      </c>
      <c r="N11" s="134" t="s">
        <v>124</v>
      </c>
      <c r="O11" s="130" t="s">
        <v>107</v>
      </c>
      <c r="P11" s="70" t="s">
        <v>125</v>
      </c>
      <c r="Q11" s="48" t="s">
        <v>126</v>
      </c>
      <c r="R11" s="48" t="s">
        <v>127</v>
      </c>
      <c r="S11" s="67" t="s">
        <v>66</v>
      </c>
      <c r="T11" s="68" t="s">
        <v>41</v>
      </c>
      <c r="U11" s="68" t="s">
        <v>42</v>
      </c>
      <c r="V11" s="71" t="s">
        <v>128</v>
      </c>
      <c r="W11" s="97"/>
      <c r="X11" s="117" t="s">
        <v>118</v>
      </c>
      <c r="Y11" s="117" t="s">
        <v>129</v>
      </c>
      <c r="Z11" s="130" t="s">
        <v>130</v>
      </c>
      <c r="AA11" s="135" t="s">
        <v>131</v>
      </c>
      <c r="AB11" s="135" t="s">
        <v>132</v>
      </c>
      <c r="AC11" s="41" t="s">
        <v>133</v>
      </c>
      <c r="AD11" s="125" t="s">
        <v>104</v>
      </c>
      <c r="AE11" s="68" t="s">
        <v>23</v>
      </c>
      <c r="AF11" s="68" t="s">
        <v>24</v>
      </c>
      <c r="AG11" s="71" t="s">
        <v>134</v>
      </c>
      <c r="AH11" s="136"/>
      <c r="AI11" s="101" t="s">
        <v>118</v>
      </c>
      <c r="AJ11" s="137" t="s">
        <v>135</v>
      </c>
      <c r="AK11" s="102"/>
      <c r="AL11" s="138"/>
      <c r="AM11" s="139"/>
      <c r="AN11" s="140"/>
      <c r="AO11" s="76"/>
      <c r="AP11" s="77"/>
      <c r="AQ11" s="78"/>
      <c r="AR11" s="79"/>
      <c r="AS11" s="66"/>
    </row>
    <row r="12">
      <c r="A12" s="35" t="s">
        <v>104</v>
      </c>
      <c r="B12" s="17" t="s">
        <v>136</v>
      </c>
      <c r="C12" s="117" t="s">
        <v>137</v>
      </c>
      <c r="D12" s="130" t="s">
        <v>138</v>
      </c>
      <c r="E12" s="39" t="s">
        <v>139</v>
      </c>
      <c r="F12" s="39" t="s">
        <v>140</v>
      </c>
      <c r="G12" s="141" t="s">
        <v>141</v>
      </c>
      <c r="H12" s="67" t="s">
        <v>104</v>
      </c>
      <c r="I12" s="68" t="s">
        <v>41</v>
      </c>
      <c r="J12" s="68" t="s">
        <v>42</v>
      </c>
      <c r="K12" s="44" t="s">
        <v>49</v>
      </c>
      <c r="L12" s="21"/>
      <c r="M12" s="121" t="s">
        <v>136</v>
      </c>
      <c r="N12" s="134" t="s">
        <v>142</v>
      </c>
      <c r="O12" s="130" t="s">
        <v>143</v>
      </c>
      <c r="P12" s="40" t="s">
        <v>144</v>
      </c>
      <c r="Q12" s="142" t="s">
        <v>145</v>
      </c>
      <c r="R12" s="41" t="s">
        <v>146</v>
      </c>
      <c r="S12" s="67" t="s">
        <v>22</v>
      </c>
      <c r="T12" s="68" t="s">
        <v>23</v>
      </c>
      <c r="U12" s="68" t="s">
        <v>24</v>
      </c>
      <c r="V12" s="71" t="s">
        <v>111</v>
      </c>
      <c r="W12" s="50"/>
      <c r="X12" s="117" t="s">
        <v>136</v>
      </c>
      <c r="Y12" s="117" t="s">
        <v>147</v>
      </c>
      <c r="Z12" s="130" t="s">
        <v>130</v>
      </c>
      <c r="AA12" s="39" t="s">
        <v>148</v>
      </c>
      <c r="AB12" s="47" t="s">
        <v>149</v>
      </c>
      <c r="AC12" s="41" t="s">
        <v>150</v>
      </c>
      <c r="AD12" s="125" t="s">
        <v>66</v>
      </c>
      <c r="AE12" s="68" t="s">
        <v>41</v>
      </c>
      <c r="AF12" s="68" t="s">
        <v>42</v>
      </c>
      <c r="AG12" s="71" t="s">
        <v>43</v>
      </c>
      <c r="AH12" s="50"/>
      <c r="AI12" s="101" t="s">
        <v>136</v>
      </c>
      <c r="AJ12" s="143" t="s">
        <v>151</v>
      </c>
      <c r="AK12" s="130"/>
      <c r="AL12" s="144"/>
      <c r="AM12" s="145"/>
      <c r="AN12" s="116"/>
      <c r="AO12" s="105"/>
      <c r="AP12" s="106"/>
      <c r="AQ12" s="107"/>
      <c r="AR12" s="108"/>
      <c r="AS12" s="66"/>
    </row>
    <row r="13" ht="15.0" customHeight="1">
      <c r="A13" s="35" t="s">
        <v>152</v>
      </c>
      <c r="B13" s="17" t="s">
        <v>153</v>
      </c>
      <c r="C13" s="117" t="s">
        <v>154</v>
      </c>
      <c r="D13" s="130" t="s">
        <v>138</v>
      </c>
      <c r="E13" s="39" t="s">
        <v>155</v>
      </c>
      <c r="F13" s="40" t="s">
        <v>156</v>
      </c>
      <c r="G13" s="146" t="s">
        <v>157</v>
      </c>
      <c r="H13" s="67" t="s">
        <v>104</v>
      </c>
      <c r="I13" s="68" t="s">
        <v>41</v>
      </c>
      <c r="J13" s="68" t="s">
        <v>42</v>
      </c>
      <c r="K13" s="44" t="s">
        <v>49</v>
      </c>
      <c r="L13" s="21"/>
      <c r="M13" s="121" t="s">
        <v>153</v>
      </c>
      <c r="N13" s="134" t="s">
        <v>158</v>
      </c>
      <c r="O13" s="130" t="s">
        <v>143</v>
      </c>
      <c r="P13" s="135" t="s">
        <v>159</v>
      </c>
      <c r="Q13" s="147" t="s">
        <v>160</v>
      </c>
      <c r="R13" s="48" t="s">
        <v>161</v>
      </c>
      <c r="S13" s="67" t="s">
        <v>31</v>
      </c>
      <c r="T13" s="68" t="s">
        <v>41</v>
      </c>
      <c r="U13" s="68" t="s">
        <v>162</v>
      </c>
      <c r="V13" s="148" t="s">
        <v>134</v>
      </c>
      <c r="W13" s="55"/>
      <c r="X13" s="117" t="s">
        <v>153</v>
      </c>
      <c r="Y13" s="117" t="s">
        <v>163</v>
      </c>
      <c r="Z13" s="102" t="s">
        <v>164</v>
      </c>
      <c r="AA13" s="40" t="s">
        <v>165</v>
      </c>
      <c r="AB13" s="149" t="s">
        <v>166</v>
      </c>
      <c r="AC13" s="41" t="s">
        <v>167</v>
      </c>
      <c r="AD13" s="125"/>
      <c r="AE13" s="68"/>
      <c r="AF13" s="68"/>
      <c r="AG13" s="71"/>
      <c r="AH13" s="50"/>
      <c r="AI13" s="150">
        <v>55.0</v>
      </c>
      <c r="AJ13" s="143" t="s">
        <v>168</v>
      </c>
      <c r="AK13" s="102"/>
      <c r="AL13" s="138"/>
      <c r="AM13" s="151"/>
      <c r="AN13" s="152"/>
      <c r="AO13" s="76"/>
      <c r="AP13" s="77"/>
      <c r="AQ13" s="78"/>
      <c r="AR13" s="79"/>
      <c r="AS13" s="66"/>
    </row>
    <row r="14" ht="15.0" customHeight="1">
      <c r="A14" s="35" t="s">
        <v>111</v>
      </c>
      <c r="B14" s="17" t="s">
        <v>169</v>
      </c>
      <c r="C14" s="153" t="s">
        <v>170</v>
      </c>
      <c r="D14" s="130" t="s">
        <v>171</v>
      </c>
      <c r="E14" s="40" t="s">
        <v>172</v>
      </c>
      <c r="F14" s="39" t="s">
        <v>173</v>
      </c>
      <c r="G14" s="154" t="s">
        <v>174</v>
      </c>
      <c r="H14" s="67" t="s">
        <v>152</v>
      </c>
      <c r="I14" s="68" t="s">
        <v>41</v>
      </c>
      <c r="J14" s="68" t="s">
        <v>42</v>
      </c>
      <c r="K14" s="44" t="s">
        <v>111</v>
      </c>
      <c r="L14" s="21"/>
      <c r="M14" s="121" t="s">
        <v>169</v>
      </c>
      <c r="N14" s="134" t="s">
        <v>175</v>
      </c>
      <c r="O14" s="130" t="s">
        <v>176</v>
      </c>
      <c r="P14" s="39" t="s">
        <v>177</v>
      </c>
      <c r="Q14" s="48" t="s">
        <v>178</v>
      </c>
      <c r="R14" s="41" t="s">
        <v>179</v>
      </c>
      <c r="S14" s="67" t="s">
        <v>66</v>
      </c>
      <c r="T14" s="68" t="s">
        <v>41</v>
      </c>
      <c r="U14" s="68" t="s">
        <v>42</v>
      </c>
      <c r="V14" s="71" t="s">
        <v>134</v>
      </c>
      <c r="W14" s="97"/>
      <c r="X14" s="117" t="s">
        <v>169</v>
      </c>
      <c r="Y14" s="117" t="s">
        <v>180</v>
      </c>
      <c r="Z14" s="102" t="s">
        <v>181</v>
      </c>
      <c r="AA14" s="155" t="s">
        <v>182</v>
      </c>
      <c r="AB14" s="130" t="s">
        <v>183</v>
      </c>
      <c r="AC14" s="41" t="s">
        <v>184</v>
      </c>
      <c r="AD14" s="125" t="s">
        <v>104</v>
      </c>
      <c r="AE14" s="68" t="s">
        <v>41</v>
      </c>
      <c r="AF14" s="68" t="s">
        <v>42</v>
      </c>
      <c r="AG14" s="71" t="s">
        <v>43</v>
      </c>
      <c r="AH14" s="156">
        <v>17.0</v>
      </c>
      <c r="AI14" s="101" t="s">
        <v>169</v>
      </c>
      <c r="AJ14" s="157" t="s">
        <v>185</v>
      </c>
      <c r="AK14" s="102"/>
      <c r="AL14" s="139"/>
      <c r="AM14" s="139"/>
      <c r="AN14" s="158"/>
      <c r="AO14" s="76"/>
      <c r="AP14" s="77"/>
      <c r="AQ14" s="78"/>
      <c r="AR14" s="79"/>
      <c r="AS14" s="66"/>
    </row>
    <row r="15" ht="15.0" customHeight="1">
      <c r="A15" s="35" t="s">
        <v>43</v>
      </c>
      <c r="B15" s="17" t="s">
        <v>186</v>
      </c>
      <c r="C15" s="117" t="s">
        <v>187</v>
      </c>
      <c r="D15" s="130" t="s">
        <v>171</v>
      </c>
      <c r="E15" s="41" t="s">
        <v>188</v>
      </c>
      <c r="F15" s="39" t="s">
        <v>189</v>
      </c>
      <c r="G15" s="39" t="s">
        <v>190</v>
      </c>
      <c r="H15" s="67" t="s">
        <v>111</v>
      </c>
      <c r="I15" s="68" t="s">
        <v>41</v>
      </c>
      <c r="J15" s="68" t="s">
        <v>42</v>
      </c>
      <c r="K15" s="44" t="s">
        <v>81</v>
      </c>
      <c r="L15" s="159"/>
      <c r="M15" s="121" t="s">
        <v>186</v>
      </c>
      <c r="N15" s="134" t="s">
        <v>191</v>
      </c>
      <c r="O15" s="130" t="s">
        <v>27</v>
      </c>
      <c r="P15" s="160" t="s">
        <v>192</v>
      </c>
      <c r="Q15" s="161" t="s">
        <v>193</v>
      </c>
      <c r="R15" s="41" t="s">
        <v>194</v>
      </c>
      <c r="S15" s="67" t="s">
        <v>104</v>
      </c>
      <c r="T15" s="68" t="s">
        <v>41</v>
      </c>
      <c r="U15" s="68" t="s">
        <v>42</v>
      </c>
      <c r="V15" s="71" t="s">
        <v>152</v>
      </c>
      <c r="W15" s="50"/>
      <c r="X15" s="131" t="s">
        <v>186</v>
      </c>
      <c r="Y15" s="117" t="s">
        <v>195</v>
      </c>
      <c r="Z15" s="102" t="s">
        <v>196</v>
      </c>
      <c r="AA15" s="155" t="s">
        <v>197</v>
      </c>
      <c r="AB15" s="130" t="s">
        <v>198</v>
      </c>
      <c r="AC15" s="162" t="s">
        <v>199</v>
      </c>
      <c r="AD15" s="125" t="s">
        <v>31</v>
      </c>
      <c r="AE15" s="68" t="s">
        <v>23</v>
      </c>
      <c r="AF15" s="68" t="s">
        <v>24</v>
      </c>
      <c r="AG15" s="71" t="s">
        <v>152</v>
      </c>
      <c r="AH15" s="50"/>
      <c r="AI15" s="163" t="s">
        <v>186</v>
      </c>
      <c r="AJ15" s="137" t="s">
        <v>200</v>
      </c>
      <c r="AK15" s="102"/>
      <c r="AL15" s="164"/>
      <c r="AM15" s="164"/>
      <c r="AN15" s="140"/>
      <c r="AO15" s="165"/>
      <c r="AP15" s="166"/>
      <c r="AQ15" s="167"/>
      <c r="AR15" s="168"/>
      <c r="AS15" s="169"/>
    </row>
    <row r="16">
      <c r="A16" s="35" t="s">
        <v>49</v>
      </c>
      <c r="B16" s="17" t="s">
        <v>201</v>
      </c>
      <c r="C16" s="117" t="s">
        <v>202</v>
      </c>
      <c r="D16" s="170" t="s">
        <v>203</v>
      </c>
      <c r="E16" s="161" t="s">
        <v>204</v>
      </c>
      <c r="F16" s="39" t="s">
        <v>205</v>
      </c>
      <c r="G16" s="39" t="s">
        <v>206</v>
      </c>
      <c r="H16" s="67" t="s">
        <v>22</v>
      </c>
      <c r="I16" s="68" t="s">
        <v>41</v>
      </c>
      <c r="J16" s="68" t="s">
        <v>42</v>
      </c>
      <c r="K16" s="44" t="s">
        <v>49</v>
      </c>
      <c r="L16" s="171"/>
      <c r="M16" s="121" t="s">
        <v>201</v>
      </c>
      <c r="N16" s="134" t="s">
        <v>207</v>
      </c>
      <c r="O16" s="130" t="s">
        <v>208</v>
      </c>
      <c r="P16" s="47" t="s">
        <v>209</v>
      </c>
      <c r="Q16" s="172" t="s">
        <v>210</v>
      </c>
      <c r="R16" s="41" t="s">
        <v>211</v>
      </c>
      <c r="S16" s="67" t="s">
        <v>111</v>
      </c>
      <c r="T16" s="68" t="s">
        <v>41</v>
      </c>
      <c r="U16" s="68" t="s">
        <v>42</v>
      </c>
      <c r="V16" s="71" t="s">
        <v>81</v>
      </c>
      <c r="W16" s="50"/>
      <c r="X16" s="131" t="s">
        <v>201</v>
      </c>
      <c r="Y16" s="173"/>
      <c r="Z16" s="174"/>
      <c r="AA16" s="175"/>
      <c r="AB16" s="174"/>
      <c r="AC16" s="176"/>
      <c r="AD16" s="74"/>
      <c r="AE16" s="68"/>
      <c r="AF16" s="68"/>
      <c r="AG16" s="71"/>
      <c r="AH16" s="50"/>
      <c r="AI16" s="163" t="s">
        <v>201</v>
      </c>
      <c r="AJ16" s="177"/>
      <c r="AK16" s="178"/>
      <c r="AL16" s="173"/>
      <c r="AM16" s="179"/>
      <c r="AN16" s="180"/>
      <c r="AO16" s="76"/>
      <c r="AP16" s="77"/>
      <c r="AQ16" s="78"/>
      <c r="AR16" s="79"/>
      <c r="AS16" s="66"/>
    </row>
    <row r="17">
      <c r="A17" s="35" t="s">
        <v>134</v>
      </c>
      <c r="B17" s="17" t="s">
        <v>212</v>
      </c>
      <c r="C17" s="181" t="s">
        <v>213</v>
      </c>
      <c r="D17" s="182"/>
      <c r="E17" s="118"/>
      <c r="F17" s="183"/>
      <c r="G17" s="183"/>
      <c r="H17" s="67"/>
      <c r="I17" s="68"/>
      <c r="J17" s="68"/>
      <c r="K17" s="44"/>
      <c r="L17" s="21"/>
      <c r="M17" s="121" t="s">
        <v>212</v>
      </c>
      <c r="N17" s="122" t="s">
        <v>214</v>
      </c>
      <c r="O17" s="130" t="s">
        <v>208</v>
      </c>
      <c r="P17" s="130" t="s">
        <v>215</v>
      </c>
      <c r="Q17" s="184" t="s">
        <v>216</v>
      </c>
      <c r="R17" s="41" t="s">
        <v>217</v>
      </c>
      <c r="S17" s="67" t="s">
        <v>66</v>
      </c>
      <c r="T17" s="68" t="s">
        <v>41</v>
      </c>
      <c r="U17" s="68" t="s">
        <v>42</v>
      </c>
      <c r="V17" s="71" t="s">
        <v>134</v>
      </c>
      <c r="W17" s="50"/>
      <c r="X17" s="131" t="s">
        <v>212</v>
      </c>
      <c r="Y17" s="117" t="s">
        <v>218</v>
      </c>
      <c r="Z17" s="130" t="s">
        <v>219</v>
      </c>
      <c r="AA17" s="185" t="s">
        <v>220</v>
      </c>
      <c r="AB17" s="185" t="s">
        <v>221</v>
      </c>
      <c r="AC17" s="186" t="s">
        <v>222</v>
      </c>
      <c r="AD17" s="74" t="s">
        <v>31</v>
      </c>
      <c r="AE17" s="68" t="s">
        <v>41</v>
      </c>
      <c r="AF17" s="68" t="s">
        <v>42</v>
      </c>
      <c r="AG17" s="71" t="s">
        <v>223</v>
      </c>
      <c r="AH17" s="50"/>
      <c r="AI17" s="163" t="s">
        <v>212</v>
      </c>
      <c r="AJ17" s="187"/>
      <c r="AK17" s="174"/>
      <c r="AL17" s="173"/>
      <c r="AM17" s="173"/>
      <c r="AN17" s="176"/>
      <c r="AO17" s="76"/>
      <c r="AP17" s="77"/>
      <c r="AQ17" s="78"/>
      <c r="AR17" s="79"/>
      <c r="AS17" s="66"/>
    </row>
    <row r="18" ht="15.0" customHeight="1">
      <c r="A18" s="35" t="s">
        <v>128</v>
      </c>
      <c r="B18" s="17" t="s">
        <v>224</v>
      </c>
      <c r="C18" s="117" t="s">
        <v>225</v>
      </c>
      <c r="D18" s="170" t="s">
        <v>203</v>
      </c>
      <c r="E18" s="188" t="s">
        <v>226</v>
      </c>
      <c r="F18" s="39" t="s">
        <v>227</v>
      </c>
      <c r="G18" s="39" t="s">
        <v>228</v>
      </c>
      <c r="H18" s="67"/>
      <c r="I18" s="68"/>
      <c r="J18" s="68"/>
      <c r="K18" s="44"/>
      <c r="L18" s="171"/>
      <c r="M18" s="121" t="s">
        <v>224</v>
      </c>
      <c r="N18" s="122" t="s">
        <v>229</v>
      </c>
      <c r="O18" s="130" t="s">
        <v>230</v>
      </c>
      <c r="P18" s="185" t="s">
        <v>231</v>
      </c>
      <c r="Q18" s="133" t="s">
        <v>232</v>
      </c>
      <c r="R18" s="41" t="s">
        <v>233</v>
      </c>
      <c r="S18" s="67" t="s">
        <v>22</v>
      </c>
      <c r="T18" s="68" t="s">
        <v>23</v>
      </c>
      <c r="U18" s="68" t="s">
        <v>24</v>
      </c>
      <c r="V18" s="71" t="s">
        <v>128</v>
      </c>
      <c r="W18" s="50"/>
      <c r="X18" s="131" t="s">
        <v>224</v>
      </c>
      <c r="Y18" s="181" t="s">
        <v>234</v>
      </c>
      <c r="Z18" s="130" t="s">
        <v>100</v>
      </c>
      <c r="AA18" s="185" t="s">
        <v>235</v>
      </c>
      <c r="AB18" s="185" t="s">
        <v>236</v>
      </c>
      <c r="AC18" s="186" t="s">
        <v>237</v>
      </c>
      <c r="AD18" s="74"/>
      <c r="AE18" s="68"/>
      <c r="AF18" s="68"/>
      <c r="AG18" s="71"/>
      <c r="AH18" s="189"/>
      <c r="AI18" s="163" t="s">
        <v>224</v>
      </c>
      <c r="AJ18" s="137" t="s">
        <v>238</v>
      </c>
      <c r="AK18" s="130"/>
      <c r="AL18" s="144"/>
      <c r="AM18" s="145"/>
      <c r="AN18" s="116"/>
      <c r="AO18" s="165"/>
      <c r="AP18" s="166"/>
      <c r="AQ18" s="167"/>
      <c r="AR18" s="168"/>
      <c r="AS18" s="169"/>
    </row>
    <row r="19" ht="14.25" customHeight="1">
      <c r="A19" s="35" t="s">
        <v>81</v>
      </c>
      <c r="B19" s="17" t="s">
        <v>239</v>
      </c>
      <c r="C19" s="117" t="s">
        <v>240</v>
      </c>
      <c r="D19" s="170" t="s">
        <v>241</v>
      </c>
      <c r="E19" s="39" t="s">
        <v>242</v>
      </c>
      <c r="F19" s="40" t="s">
        <v>243</v>
      </c>
      <c r="G19" s="39" t="s">
        <v>244</v>
      </c>
      <c r="H19" s="67" t="s">
        <v>111</v>
      </c>
      <c r="I19" s="68" t="s">
        <v>41</v>
      </c>
      <c r="J19" s="68" t="s">
        <v>42</v>
      </c>
      <c r="K19" s="44" t="s">
        <v>81</v>
      </c>
      <c r="L19" s="21"/>
      <c r="M19" s="121" t="s">
        <v>239</v>
      </c>
      <c r="N19" s="122" t="s">
        <v>245</v>
      </c>
      <c r="O19" s="130" t="s">
        <v>246</v>
      </c>
      <c r="P19" s="39" t="s">
        <v>247</v>
      </c>
      <c r="Q19" s="39" t="s">
        <v>248</v>
      </c>
      <c r="R19" s="190" t="s">
        <v>249</v>
      </c>
      <c r="S19" s="67" t="s">
        <v>66</v>
      </c>
      <c r="T19" s="68" t="s">
        <v>23</v>
      </c>
      <c r="U19" s="68" t="s">
        <v>24</v>
      </c>
      <c r="V19" s="71" t="s">
        <v>43</v>
      </c>
      <c r="W19" s="50"/>
      <c r="X19" s="131" t="s">
        <v>239</v>
      </c>
      <c r="Y19" s="117" t="s">
        <v>250</v>
      </c>
      <c r="Z19" s="191" t="s">
        <v>203</v>
      </c>
      <c r="AA19" s="69" t="s">
        <v>251</v>
      </c>
      <c r="AB19" s="192" t="s">
        <v>252</v>
      </c>
      <c r="AC19" s="192" t="s">
        <v>253</v>
      </c>
      <c r="AD19" s="74" t="s">
        <v>104</v>
      </c>
      <c r="AE19" s="68" t="s">
        <v>41</v>
      </c>
      <c r="AF19" s="68" t="s">
        <v>42</v>
      </c>
      <c r="AG19" s="71" t="s">
        <v>134</v>
      </c>
      <c r="AH19" s="50"/>
      <c r="AI19" s="163" t="s">
        <v>239</v>
      </c>
      <c r="AJ19" s="137" t="s">
        <v>254</v>
      </c>
      <c r="AK19" s="193"/>
      <c r="AL19" s="139"/>
      <c r="AM19" s="139"/>
      <c r="AN19" s="158"/>
      <c r="AO19" s="76"/>
      <c r="AP19" s="77"/>
      <c r="AQ19" s="78"/>
      <c r="AR19" s="79"/>
      <c r="AS19" s="66"/>
    </row>
    <row r="20" ht="13.5" customHeight="1">
      <c r="A20" s="35" t="s">
        <v>255</v>
      </c>
      <c r="B20" s="17" t="s">
        <v>256</v>
      </c>
      <c r="C20" s="117" t="s">
        <v>257</v>
      </c>
      <c r="D20" s="170" t="s">
        <v>241</v>
      </c>
      <c r="E20" s="39" t="s">
        <v>258</v>
      </c>
      <c r="F20" s="39" t="s">
        <v>259</v>
      </c>
      <c r="G20" s="39" t="s">
        <v>260</v>
      </c>
      <c r="H20" s="67" t="s">
        <v>65</v>
      </c>
      <c r="I20" s="68" t="s">
        <v>23</v>
      </c>
      <c r="J20" s="68" t="s">
        <v>24</v>
      </c>
      <c r="K20" s="44" t="s">
        <v>111</v>
      </c>
      <c r="L20" s="21"/>
      <c r="M20" s="121" t="s">
        <v>256</v>
      </c>
      <c r="N20" s="122" t="s">
        <v>261</v>
      </c>
      <c r="O20" s="130" t="s">
        <v>262</v>
      </c>
      <c r="P20" s="47" t="s">
        <v>263</v>
      </c>
      <c r="Q20" s="48" t="s">
        <v>264</v>
      </c>
      <c r="R20" s="41" t="s">
        <v>265</v>
      </c>
      <c r="S20" s="67" t="s">
        <v>152</v>
      </c>
      <c r="T20" s="68" t="s">
        <v>59</v>
      </c>
      <c r="U20" s="68" t="s">
        <v>42</v>
      </c>
      <c r="V20" s="71" t="s">
        <v>81</v>
      </c>
      <c r="W20" s="50"/>
      <c r="X20" s="117" t="s">
        <v>256</v>
      </c>
      <c r="Y20" s="131" t="s">
        <v>266</v>
      </c>
      <c r="Z20" s="194" t="s">
        <v>246</v>
      </c>
      <c r="AA20" s="195" t="s">
        <v>267</v>
      </c>
      <c r="AB20" s="195" t="s">
        <v>268</v>
      </c>
      <c r="AC20" s="154" t="s">
        <v>269</v>
      </c>
      <c r="AD20" s="74" t="s">
        <v>104</v>
      </c>
      <c r="AE20" s="68" t="s">
        <v>23</v>
      </c>
      <c r="AF20" s="68" t="s">
        <v>24</v>
      </c>
      <c r="AG20" s="71" t="s">
        <v>49</v>
      </c>
      <c r="AH20" s="50"/>
      <c r="AI20" s="163" t="s">
        <v>256</v>
      </c>
      <c r="AJ20" s="137" t="s">
        <v>270</v>
      </c>
      <c r="AK20" s="193"/>
      <c r="AL20" s="164"/>
      <c r="AM20" s="139"/>
      <c r="AN20" s="196"/>
      <c r="AO20" s="76"/>
      <c r="AP20" s="77"/>
      <c r="AQ20" s="78"/>
      <c r="AR20" s="79"/>
      <c r="AS20" s="66"/>
    </row>
    <row r="21" ht="15.0" customHeight="1">
      <c r="A21" s="35" t="s">
        <v>105</v>
      </c>
      <c r="B21" s="197">
        <v>68.0</v>
      </c>
      <c r="C21" s="117" t="s">
        <v>271</v>
      </c>
      <c r="D21" s="170" t="s">
        <v>272</v>
      </c>
      <c r="E21" s="155" t="s">
        <v>273</v>
      </c>
      <c r="F21" s="39" t="s">
        <v>274</v>
      </c>
      <c r="G21" s="154" t="s">
        <v>275</v>
      </c>
      <c r="H21" s="67" t="s">
        <v>152</v>
      </c>
      <c r="I21" s="68" t="s">
        <v>41</v>
      </c>
      <c r="J21" s="68" t="s">
        <v>42</v>
      </c>
      <c r="K21" s="44" t="s">
        <v>81</v>
      </c>
      <c r="L21" s="21"/>
      <c r="M21" s="121" t="s">
        <v>276</v>
      </c>
      <c r="N21" s="122" t="s">
        <v>277</v>
      </c>
      <c r="O21" s="130" t="s">
        <v>278</v>
      </c>
      <c r="P21" s="185" t="s">
        <v>279</v>
      </c>
      <c r="Q21" s="41" t="s">
        <v>280</v>
      </c>
      <c r="R21" s="41" t="s">
        <v>281</v>
      </c>
      <c r="S21" s="67" t="s">
        <v>111</v>
      </c>
      <c r="T21" s="68" t="s">
        <v>23</v>
      </c>
      <c r="U21" s="68" t="s">
        <v>24</v>
      </c>
      <c r="V21" s="71" t="s">
        <v>49</v>
      </c>
      <c r="W21" s="50"/>
      <c r="X21" s="117" t="s">
        <v>276</v>
      </c>
      <c r="Y21" s="198" t="s">
        <v>282</v>
      </c>
      <c r="Z21" s="102"/>
      <c r="AA21" s="199"/>
      <c r="AB21" s="160"/>
      <c r="AC21" s="154"/>
      <c r="AD21" s="74"/>
      <c r="AE21" s="68"/>
      <c r="AF21" s="68"/>
      <c r="AG21" s="71"/>
      <c r="AH21" s="50"/>
      <c r="AI21" s="122" t="s">
        <v>276</v>
      </c>
      <c r="AJ21" s="137" t="s">
        <v>283</v>
      </c>
      <c r="AK21" s="193"/>
      <c r="AL21" s="139"/>
      <c r="AM21" s="164"/>
      <c r="AN21" s="158"/>
      <c r="AO21" s="76"/>
      <c r="AP21" s="77"/>
      <c r="AQ21" s="78"/>
      <c r="AR21" s="79"/>
      <c r="AS21" s="66"/>
    </row>
    <row r="22" ht="15.75" customHeight="1">
      <c r="A22" s="35" t="s">
        <v>123</v>
      </c>
      <c r="B22" s="17" t="s">
        <v>284</v>
      </c>
      <c r="C22" s="117" t="s">
        <v>285</v>
      </c>
      <c r="D22" s="170" t="s">
        <v>272</v>
      </c>
      <c r="E22" s="40" t="s">
        <v>286</v>
      </c>
      <c r="F22" s="39" t="s">
        <v>287</v>
      </c>
      <c r="G22" s="154" t="s">
        <v>288</v>
      </c>
      <c r="H22" s="67" t="s">
        <v>31</v>
      </c>
      <c r="I22" s="68" t="s">
        <v>41</v>
      </c>
      <c r="J22" s="68" t="s">
        <v>42</v>
      </c>
      <c r="K22" s="44" t="s">
        <v>128</v>
      </c>
      <c r="L22" s="21"/>
      <c r="M22" s="200" t="s">
        <v>284</v>
      </c>
      <c r="N22" s="134" t="s">
        <v>289</v>
      </c>
      <c r="O22" s="130" t="s">
        <v>290</v>
      </c>
      <c r="P22" s="130" t="s">
        <v>291</v>
      </c>
      <c r="Q22" s="41" t="s">
        <v>292</v>
      </c>
      <c r="R22" s="41" t="s">
        <v>293</v>
      </c>
      <c r="S22" s="67"/>
      <c r="T22" s="68"/>
      <c r="U22" s="68"/>
      <c r="V22" s="71"/>
      <c r="W22" s="201">
        <v>4.0</v>
      </c>
      <c r="X22" s="202" t="s">
        <v>284</v>
      </c>
      <c r="Y22" s="181" t="s">
        <v>294</v>
      </c>
      <c r="Z22" s="102"/>
      <c r="AA22" s="203"/>
      <c r="AB22" s="130"/>
      <c r="AC22" s="154"/>
      <c r="AD22" s="74"/>
      <c r="AE22" s="68"/>
      <c r="AF22" s="68"/>
      <c r="AG22" s="71"/>
      <c r="AH22" s="50"/>
      <c r="AI22" s="137" t="s">
        <v>284</v>
      </c>
      <c r="AJ22" s="163" t="s">
        <v>295</v>
      </c>
      <c r="AK22" s="193"/>
      <c r="AL22" s="164"/>
      <c r="AM22" s="164"/>
      <c r="AN22" s="158"/>
      <c r="AO22" s="76"/>
      <c r="AP22" s="77"/>
      <c r="AQ22" s="78"/>
      <c r="AR22" s="79"/>
      <c r="AS22" s="66"/>
    </row>
    <row r="23" ht="15.75" customHeight="1">
      <c r="A23" s="35" t="s">
        <v>223</v>
      </c>
      <c r="B23" s="204" t="s">
        <v>296</v>
      </c>
      <c r="C23" s="117" t="s">
        <v>297</v>
      </c>
      <c r="D23" s="170" t="s">
        <v>219</v>
      </c>
      <c r="E23" s="205" t="s">
        <v>298</v>
      </c>
      <c r="F23" s="205" t="s">
        <v>299</v>
      </c>
      <c r="G23" s="146" t="s">
        <v>300</v>
      </c>
      <c r="H23" s="67" t="s">
        <v>104</v>
      </c>
      <c r="I23" s="68" t="s">
        <v>41</v>
      </c>
      <c r="J23" s="68" t="s">
        <v>42</v>
      </c>
      <c r="K23" s="44" t="s">
        <v>123</v>
      </c>
      <c r="L23" s="206"/>
      <c r="M23" s="200" t="s">
        <v>296</v>
      </c>
      <c r="N23" s="134" t="s">
        <v>301</v>
      </c>
      <c r="O23" s="130" t="s">
        <v>290</v>
      </c>
      <c r="P23" s="47" t="s">
        <v>302</v>
      </c>
      <c r="Q23" s="48" t="s">
        <v>303</v>
      </c>
      <c r="R23" s="48" t="s">
        <v>304</v>
      </c>
      <c r="S23" s="67" t="s">
        <v>22</v>
      </c>
      <c r="T23" s="68" t="s">
        <v>23</v>
      </c>
      <c r="U23" s="68" t="s">
        <v>24</v>
      </c>
      <c r="V23" s="71" t="s">
        <v>49</v>
      </c>
      <c r="W23" s="207"/>
      <c r="X23" s="202" t="s">
        <v>296</v>
      </c>
      <c r="Y23" s="198" t="s">
        <v>305</v>
      </c>
      <c r="Z23" s="102"/>
      <c r="AA23" s="185"/>
      <c r="AB23" s="130"/>
      <c r="AC23" s="154"/>
      <c r="AD23" s="74"/>
      <c r="AE23" s="68"/>
      <c r="AF23" s="68"/>
      <c r="AG23" s="71"/>
      <c r="AH23" s="208"/>
      <c r="AI23" s="137" t="s">
        <v>296</v>
      </c>
      <c r="AJ23" s="163" t="s">
        <v>306</v>
      </c>
      <c r="AK23" s="193"/>
      <c r="AL23" s="164"/>
      <c r="AM23" s="139"/>
      <c r="AN23" s="196"/>
      <c r="AO23" s="76"/>
      <c r="AP23" s="77"/>
      <c r="AQ23" s="78"/>
      <c r="AR23" s="79"/>
      <c r="AS23" s="66"/>
    </row>
    <row r="24" ht="15.0" customHeight="1">
      <c r="A24" s="35" t="s">
        <v>307</v>
      </c>
      <c r="B24" s="17" t="s">
        <v>308</v>
      </c>
      <c r="C24" s="117" t="s">
        <v>309</v>
      </c>
      <c r="D24" s="170" t="s">
        <v>219</v>
      </c>
      <c r="E24" s="155" t="s">
        <v>310</v>
      </c>
      <c r="F24" s="205" t="s">
        <v>311</v>
      </c>
      <c r="G24" s="146" t="s">
        <v>312</v>
      </c>
      <c r="H24" s="67" t="s">
        <v>25</v>
      </c>
      <c r="I24" s="68" t="s">
        <v>41</v>
      </c>
      <c r="J24" s="68" t="s">
        <v>42</v>
      </c>
      <c r="K24" s="44" t="s">
        <v>49</v>
      </c>
      <c r="L24" s="206"/>
      <c r="M24" s="200" t="s">
        <v>308</v>
      </c>
      <c r="N24" s="134" t="s">
        <v>313</v>
      </c>
      <c r="O24" s="130" t="s">
        <v>314</v>
      </c>
      <c r="P24" s="149" t="s">
        <v>315</v>
      </c>
      <c r="Q24" s="48" t="s">
        <v>311</v>
      </c>
      <c r="R24" s="48" t="s">
        <v>316</v>
      </c>
      <c r="S24" s="67" t="s">
        <v>66</v>
      </c>
      <c r="T24" s="68" t="s">
        <v>23</v>
      </c>
      <c r="U24" s="68" t="s">
        <v>24</v>
      </c>
      <c r="V24" s="71" t="s">
        <v>134</v>
      </c>
      <c r="W24" s="50"/>
      <c r="X24" s="202" t="s">
        <v>308</v>
      </c>
      <c r="Y24" s="198" t="s">
        <v>317</v>
      </c>
      <c r="Z24" s="102"/>
      <c r="AA24" s="130"/>
      <c r="AB24" s="130"/>
      <c r="AC24" s="154"/>
      <c r="AD24" s="74"/>
      <c r="AE24" s="68"/>
      <c r="AF24" s="68"/>
      <c r="AG24" s="71"/>
      <c r="AH24" s="50"/>
      <c r="AI24" s="137" t="s">
        <v>308</v>
      </c>
      <c r="AJ24" s="163" t="s">
        <v>318</v>
      </c>
      <c r="AK24" s="209"/>
      <c r="AL24" s="164"/>
      <c r="AM24" s="210"/>
      <c r="AN24" s="158"/>
      <c r="AO24" s="76"/>
      <c r="AP24" s="77"/>
      <c r="AQ24" s="78"/>
      <c r="AR24" s="79"/>
      <c r="AS24" s="66"/>
    </row>
    <row r="25">
      <c r="A25" s="35" t="s">
        <v>319</v>
      </c>
      <c r="B25" s="17" t="s">
        <v>320</v>
      </c>
      <c r="C25" s="117" t="s">
        <v>321</v>
      </c>
      <c r="D25" s="130" t="s">
        <v>322</v>
      </c>
      <c r="E25" s="160" t="s">
        <v>323</v>
      </c>
      <c r="F25" s="40" t="s">
        <v>324</v>
      </c>
      <c r="G25" s="154" t="s">
        <v>325</v>
      </c>
      <c r="H25" s="67"/>
      <c r="I25" s="68"/>
      <c r="J25" s="68"/>
      <c r="K25" s="44"/>
      <c r="L25" s="21"/>
      <c r="M25" s="200" t="s">
        <v>320</v>
      </c>
      <c r="N25" s="134" t="s">
        <v>326</v>
      </c>
      <c r="O25" s="182"/>
      <c r="P25" s="211"/>
      <c r="Q25" s="124"/>
      <c r="R25" s="124"/>
      <c r="S25" s="67"/>
      <c r="T25" s="68"/>
      <c r="U25" s="68"/>
      <c r="V25" s="71"/>
      <c r="W25" s="50"/>
      <c r="X25" s="202" t="s">
        <v>320</v>
      </c>
      <c r="Y25" s="198" t="s">
        <v>327</v>
      </c>
      <c r="Z25" s="102"/>
      <c r="AA25" s="185"/>
      <c r="AB25" s="185"/>
      <c r="AC25" s="154"/>
      <c r="AD25" s="74"/>
      <c r="AE25" s="68"/>
      <c r="AF25" s="68"/>
      <c r="AG25" s="71"/>
      <c r="AH25" s="156" t="s">
        <v>328</v>
      </c>
      <c r="AI25" s="137" t="s">
        <v>320</v>
      </c>
      <c r="AJ25" s="163" t="s">
        <v>329</v>
      </c>
      <c r="AK25" s="209"/>
      <c r="AL25" s="164"/>
      <c r="AM25" s="164"/>
      <c r="AN25" s="212"/>
      <c r="AO25" s="76"/>
      <c r="AP25" s="77"/>
      <c r="AQ25" s="78"/>
      <c r="AR25" s="79"/>
      <c r="AS25" s="66"/>
    </row>
    <row r="26" ht="13.5" customHeight="1">
      <c r="A26" s="35" t="s">
        <v>330</v>
      </c>
      <c r="B26" s="204" t="s">
        <v>331</v>
      </c>
      <c r="C26" s="117" t="s">
        <v>332</v>
      </c>
      <c r="D26" s="130" t="s">
        <v>322</v>
      </c>
      <c r="E26" s="160" t="s">
        <v>333</v>
      </c>
      <c r="F26" s="40" t="s">
        <v>334</v>
      </c>
      <c r="G26" s="154" t="s">
        <v>335</v>
      </c>
      <c r="H26" s="67" t="s">
        <v>111</v>
      </c>
      <c r="I26" s="68" t="s">
        <v>23</v>
      </c>
      <c r="J26" s="68" t="s">
        <v>24</v>
      </c>
      <c r="K26" s="44" t="s">
        <v>255</v>
      </c>
      <c r="L26" s="206"/>
      <c r="M26" s="213" t="s">
        <v>331</v>
      </c>
      <c r="N26" s="157" t="s">
        <v>336</v>
      </c>
      <c r="O26" s="214" t="s">
        <v>337</v>
      </c>
      <c r="P26" s="39" t="s">
        <v>338</v>
      </c>
      <c r="Q26" s="48" t="s">
        <v>339</v>
      </c>
      <c r="R26" s="48" t="s">
        <v>340</v>
      </c>
      <c r="S26" s="67" t="s">
        <v>104</v>
      </c>
      <c r="T26" s="68" t="s">
        <v>41</v>
      </c>
      <c r="U26" s="68" t="s">
        <v>42</v>
      </c>
      <c r="V26" s="71" t="s">
        <v>128</v>
      </c>
      <c r="W26" s="215"/>
      <c r="X26" s="202" t="s">
        <v>331</v>
      </c>
      <c r="Y26" s="198" t="s">
        <v>341</v>
      </c>
      <c r="Z26" s="102"/>
      <c r="AA26" s="185"/>
      <c r="AB26" s="185"/>
      <c r="AC26" s="154"/>
      <c r="AD26" s="74"/>
      <c r="AE26" s="68"/>
      <c r="AF26" s="68"/>
      <c r="AG26" s="71"/>
      <c r="AH26" s="215"/>
      <c r="AI26" s="137" t="s">
        <v>331</v>
      </c>
      <c r="AJ26" s="163" t="s">
        <v>342</v>
      </c>
      <c r="AK26" s="216"/>
      <c r="AL26" s="164"/>
      <c r="AM26" s="164"/>
      <c r="AN26" s="158"/>
      <c r="AO26" s="76"/>
      <c r="AP26" s="77"/>
      <c r="AQ26" s="78"/>
      <c r="AR26" s="79"/>
      <c r="AS26" s="66"/>
    </row>
    <row r="27" ht="15.0" customHeight="1">
      <c r="A27" s="35" t="s">
        <v>343</v>
      </c>
      <c r="B27" s="217" t="s">
        <v>344</v>
      </c>
      <c r="C27" s="218" t="s">
        <v>345</v>
      </c>
      <c r="D27" s="219" t="s">
        <v>346</v>
      </c>
      <c r="E27" s="220" t="s">
        <v>347</v>
      </c>
      <c r="F27" s="220" t="s">
        <v>348</v>
      </c>
      <c r="G27" s="221" t="s">
        <v>349</v>
      </c>
      <c r="H27" s="67" t="s">
        <v>22</v>
      </c>
      <c r="I27" s="68" t="s">
        <v>41</v>
      </c>
      <c r="J27" s="68" t="s">
        <v>42</v>
      </c>
      <c r="K27" s="44" t="s">
        <v>66</v>
      </c>
      <c r="L27" s="206"/>
      <c r="M27" s="222" t="s">
        <v>344</v>
      </c>
      <c r="N27" s="223" t="s">
        <v>350</v>
      </c>
      <c r="O27" s="219" t="s">
        <v>351</v>
      </c>
      <c r="P27" s="224" t="s">
        <v>352</v>
      </c>
      <c r="Q27" s="225" t="s">
        <v>353</v>
      </c>
      <c r="R27" s="226" t="s">
        <v>354</v>
      </c>
      <c r="S27" s="67" t="s">
        <v>31</v>
      </c>
      <c r="T27" s="68" t="s">
        <v>23</v>
      </c>
      <c r="U27" s="68" t="s">
        <v>24</v>
      </c>
      <c r="V27" s="71" t="s">
        <v>22</v>
      </c>
      <c r="W27" s="227"/>
      <c r="X27" s="228" t="s">
        <v>344</v>
      </c>
      <c r="Y27" s="229" t="s">
        <v>355</v>
      </c>
      <c r="Z27" s="230" t="s">
        <v>356</v>
      </c>
      <c r="AA27" s="231" t="s">
        <v>357</v>
      </c>
      <c r="AB27" s="232" t="s">
        <v>358</v>
      </c>
      <c r="AC27" s="233" t="s">
        <v>359</v>
      </c>
      <c r="AD27" s="125" t="s">
        <v>65</v>
      </c>
      <c r="AE27" s="68" t="s">
        <v>23</v>
      </c>
      <c r="AF27" s="68" t="s">
        <v>24</v>
      </c>
      <c r="AG27" s="71" t="s">
        <v>65</v>
      </c>
      <c r="AH27" s="227"/>
      <c r="AI27" s="234" t="s">
        <v>344</v>
      </c>
      <c r="AJ27" s="101" t="s">
        <v>360</v>
      </c>
      <c r="AK27" s="216"/>
      <c r="AL27" s="235"/>
      <c r="AM27" s="236"/>
      <c r="AN27" s="140"/>
      <c r="AO27" s="76"/>
      <c r="AP27" s="77"/>
      <c r="AQ27" s="78"/>
      <c r="AR27" s="79"/>
      <c r="AS27" s="66"/>
    </row>
    <row r="28" ht="15.0" customHeight="1">
      <c r="A28" s="35" t="s">
        <v>361</v>
      </c>
      <c r="B28" s="237" t="s">
        <v>362</v>
      </c>
      <c r="C28" s="238" t="s">
        <v>363</v>
      </c>
      <c r="D28" s="239" t="s">
        <v>364</v>
      </c>
      <c r="E28" s="240" t="s">
        <v>365</v>
      </c>
      <c r="F28" s="241" t="s">
        <v>366</v>
      </c>
      <c r="G28" s="242" t="s">
        <v>367</v>
      </c>
      <c r="H28" s="243" t="s">
        <v>52</v>
      </c>
      <c r="I28" s="244" t="s">
        <v>23</v>
      </c>
      <c r="J28" s="244" t="s">
        <v>24</v>
      </c>
      <c r="K28" s="245" t="s">
        <v>22</v>
      </c>
      <c r="L28" s="246"/>
      <c r="M28" s="247" t="s">
        <v>362</v>
      </c>
      <c r="N28" s="248" t="s">
        <v>368</v>
      </c>
      <c r="O28" s="249" t="s">
        <v>369</v>
      </c>
      <c r="P28" s="250" t="s">
        <v>72</v>
      </c>
      <c r="Q28" s="251" t="s">
        <v>370</v>
      </c>
      <c r="R28" s="252" t="s">
        <v>371</v>
      </c>
      <c r="S28" s="243" t="s">
        <v>52</v>
      </c>
      <c r="T28" s="244" t="s">
        <v>23</v>
      </c>
      <c r="U28" s="244" t="s">
        <v>24</v>
      </c>
      <c r="V28" s="253" t="s">
        <v>52</v>
      </c>
      <c r="W28" s="254"/>
      <c r="X28" s="255" t="s">
        <v>362</v>
      </c>
      <c r="Y28" s="256" t="s">
        <v>372</v>
      </c>
      <c r="Z28" s="257"/>
      <c r="AA28" s="250"/>
      <c r="AB28" s="258"/>
      <c r="AC28" s="259"/>
      <c r="AD28" s="260"/>
      <c r="AE28" s="261"/>
      <c r="AF28" s="261"/>
      <c r="AG28" s="262"/>
      <c r="AH28" s="254"/>
      <c r="AI28" s="263" t="s">
        <v>362</v>
      </c>
      <c r="AJ28" s="263" t="s">
        <v>373</v>
      </c>
      <c r="AK28" s="264"/>
      <c r="AL28" s="265"/>
      <c r="AM28" s="265"/>
      <c r="AN28" s="266"/>
      <c r="AO28" s="267"/>
      <c r="AP28" s="268"/>
      <c r="AQ28" s="269"/>
      <c r="AR28" s="270"/>
      <c r="AS28" s="66"/>
    </row>
    <row r="29" ht="15.0" customHeight="1">
      <c r="A29" s="39"/>
      <c r="B29" s="271"/>
      <c r="C29" s="271"/>
      <c r="D29" s="272"/>
      <c r="E29" s="271"/>
      <c r="F29" s="273"/>
      <c r="G29" s="274"/>
      <c r="H29" s="274"/>
      <c r="I29" s="274"/>
      <c r="J29" s="274"/>
      <c r="K29" s="274"/>
      <c r="L29" s="274"/>
      <c r="M29" s="274"/>
      <c r="N29" s="274"/>
      <c r="O29" s="274"/>
      <c r="P29" s="274"/>
      <c r="Q29" s="274"/>
      <c r="R29" s="274"/>
      <c r="S29" s="274"/>
      <c r="T29" s="274"/>
      <c r="U29" s="274"/>
      <c r="V29" s="274"/>
      <c r="W29" s="274"/>
      <c r="X29" s="274"/>
      <c r="Y29" s="274"/>
      <c r="Z29" s="274"/>
      <c r="AA29" s="274"/>
      <c r="AB29" s="275"/>
      <c r="AC29" s="276"/>
      <c r="AD29" s="277"/>
      <c r="AE29" s="278"/>
      <c r="AF29" s="278"/>
      <c r="AG29" s="278"/>
      <c r="AH29" s="279"/>
      <c r="AI29" s="136"/>
      <c r="AJ29" s="280"/>
      <c r="AK29" s="281"/>
      <c r="AL29" s="281"/>
      <c r="AM29" s="281"/>
      <c r="AN29" s="282" t="s">
        <v>374</v>
      </c>
      <c r="AO29" s="281"/>
      <c r="AP29" s="281"/>
      <c r="AQ29" s="281"/>
      <c r="AR29" s="281"/>
      <c r="AS29" s="281"/>
    </row>
    <row r="30" ht="137.25" customHeight="1">
      <c r="A30" s="283"/>
      <c r="B30" s="284"/>
      <c r="C30" s="272"/>
      <c r="D30" s="285"/>
      <c r="E30" s="286"/>
      <c r="F30" s="287" t="s">
        <v>375</v>
      </c>
      <c r="G30" s="274"/>
      <c r="H30" s="274"/>
      <c r="I30" s="274"/>
      <c r="J30" s="274"/>
      <c r="K30" s="274"/>
      <c r="L30" s="274"/>
      <c r="M30" s="274"/>
      <c r="N30" s="274"/>
      <c r="O30" s="274"/>
      <c r="P30" s="274"/>
      <c r="Q30" s="274"/>
      <c r="R30" s="274"/>
      <c r="S30" s="274"/>
      <c r="T30" s="274"/>
      <c r="U30" s="274"/>
      <c r="V30" s="274"/>
      <c r="W30" s="274"/>
      <c r="X30" s="274"/>
      <c r="Y30" s="274"/>
      <c r="Z30" s="274"/>
      <c r="AA30" s="274"/>
      <c r="AB30" s="275"/>
      <c r="AC30" s="288" t="s">
        <v>376</v>
      </c>
      <c r="AD30" s="274"/>
      <c r="AE30" s="274"/>
      <c r="AF30" s="274"/>
      <c r="AG30" s="274"/>
      <c r="AH30" s="274"/>
      <c r="AI30" s="274"/>
      <c r="AJ30" s="274"/>
      <c r="AK30" s="274"/>
      <c r="AL30" s="274"/>
      <c r="AM30" s="274"/>
      <c r="AN30" s="274"/>
      <c r="AO30" s="274"/>
      <c r="AP30" s="274"/>
      <c r="AQ30" s="274"/>
      <c r="AR30" s="274"/>
      <c r="AS30" s="275"/>
    </row>
    <row r="31" ht="42.0" customHeight="1">
      <c r="A31" s="289"/>
      <c r="B31" s="290" t="s">
        <v>377</v>
      </c>
      <c r="C31" s="291"/>
      <c r="D31" s="291"/>
      <c r="E31" s="292"/>
      <c r="F31" s="293" t="s">
        <v>378</v>
      </c>
      <c r="G31" s="294" t="s">
        <v>379</v>
      </c>
      <c r="H31" s="295"/>
      <c r="I31" s="295"/>
      <c r="J31" s="295"/>
      <c r="K31" s="295"/>
      <c r="L31" s="295"/>
      <c r="M31" s="296"/>
      <c r="N31" s="297"/>
      <c r="O31" s="298" t="s">
        <v>380</v>
      </c>
      <c r="P31" s="299"/>
      <c r="Q31" s="293" t="s">
        <v>378</v>
      </c>
      <c r="R31" s="300" t="s">
        <v>379</v>
      </c>
      <c r="S31" s="295"/>
      <c r="T31" s="295"/>
      <c r="U31" s="295"/>
      <c r="V31" s="295"/>
      <c r="W31" s="295"/>
      <c r="X31" s="301"/>
      <c r="Y31" s="297"/>
      <c r="Z31" s="302" t="s">
        <v>380</v>
      </c>
      <c r="AA31" s="303"/>
      <c r="AB31" s="304" t="s">
        <v>378</v>
      </c>
      <c r="AC31" s="305" t="s">
        <v>379</v>
      </c>
      <c r="AD31" s="306"/>
      <c r="AE31" s="295"/>
      <c r="AF31" s="295"/>
      <c r="AG31" s="295"/>
      <c r="AH31" s="307"/>
      <c r="AI31" s="308"/>
      <c r="AJ31" s="308"/>
      <c r="AK31" s="308"/>
      <c r="AL31" s="308"/>
      <c r="AM31" s="308"/>
      <c r="AN31" s="308"/>
      <c r="AO31" s="308"/>
      <c r="AP31" s="308"/>
      <c r="AQ31" s="308"/>
      <c r="AR31" s="309"/>
      <c r="AS31" s="310"/>
    </row>
    <row r="32" ht="15.75" customHeight="1">
      <c r="A32" s="311"/>
      <c r="B32" s="312">
        <v>1.0</v>
      </c>
      <c r="C32" s="313"/>
      <c r="D32" s="314" t="s">
        <v>171</v>
      </c>
      <c r="E32" s="315">
        <v>2.0</v>
      </c>
      <c r="F32" s="316"/>
      <c r="G32" s="317">
        <v>2.0</v>
      </c>
      <c r="H32" s="318"/>
      <c r="I32" s="318"/>
      <c r="J32" s="318"/>
      <c r="K32" s="318"/>
      <c r="L32" s="318"/>
      <c r="M32" s="319">
        <v>1.0</v>
      </c>
      <c r="N32" s="313"/>
      <c r="O32" s="320" t="s">
        <v>18</v>
      </c>
      <c r="P32" s="321">
        <v>1.0</v>
      </c>
      <c r="Q32" s="322"/>
      <c r="R32" s="323">
        <v>1.0</v>
      </c>
      <c r="S32" s="318"/>
      <c r="T32" s="318"/>
      <c r="U32" s="318"/>
      <c r="V32" s="318"/>
      <c r="W32" s="318"/>
      <c r="X32" s="319">
        <v>1.0</v>
      </c>
      <c r="Y32" s="313"/>
      <c r="Z32" s="324" t="s">
        <v>346</v>
      </c>
      <c r="AA32" s="325">
        <v>1.0</v>
      </c>
      <c r="AB32" s="322"/>
      <c r="AC32" s="323">
        <v>1.0</v>
      </c>
      <c r="AD32" s="326"/>
      <c r="AE32" s="327"/>
      <c r="AF32" s="327"/>
      <c r="AG32" s="327"/>
      <c r="AH32" s="281"/>
      <c r="AI32" s="328" t="s">
        <v>4</v>
      </c>
      <c r="AJ32" s="329" t="s">
        <v>5</v>
      </c>
      <c r="AK32" s="329" t="s">
        <v>6</v>
      </c>
      <c r="AL32" s="329" t="s">
        <v>7</v>
      </c>
      <c r="AM32" s="329" t="s">
        <v>8</v>
      </c>
      <c r="AN32" s="329" t="s">
        <v>9</v>
      </c>
      <c r="AO32" s="330" t="s">
        <v>10</v>
      </c>
      <c r="AP32" s="330" t="s">
        <v>11</v>
      </c>
      <c r="AQ32" s="330" t="s">
        <v>12</v>
      </c>
      <c r="AR32" s="20" t="s">
        <v>13</v>
      </c>
      <c r="AS32" s="331"/>
    </row>
    <row r="33" ht="15.75" customHeight="1">
      <c r="A33" s="332"/>
      <c r="B33" s="333">
        <v>2.0</v>
      </c>
      <c r="C33" s="334"/>
      <c r="D33" s="335" t="s">
        <v>203</v>
      </c>
      <c r="E33" s="315">
        <v>3.0</v>
      </c>
      <c r="F33" s="316">
        <v>3.0</v>
      </c>
      <c r="G33" s="317">
        <v>2.0</v>
      </c>
      <c r="H33" s="318"/>
      <c r="I33" s="318"/>
      <c r="J33" s="318"/>
      <c r="K33" s="318"/>
      <c r="L33" s="318"/>
      <c r="M33" s="336">
        <v>2.0</v>
      </c>
      <c r="N33" s="334"/>
      <c r="O33" s="337" t="s">
        <v>37</v>
      </c>
      <c r="P33" s="321">
        <v>1.0</v>
      </c>
      <c r="Q33" s="322"/>
      <c r="R33" s="323">
        <v>1.0</v>
      </c>
      <c r="S33" s="338"/>
      <c r="T33" s="338"/>
      <c r="U33" s="338"/>
      <c r="V33" s="338"/>
      <c r="W33" s="271"/>
      <c r="X33" s="319">
        <v>2.0</v>
      </c>
      <c r="Y33" s="313"/>
      <c r="Z33" s="324" t="s">
        <v>364</v>
      </c>
      <c r="AA33" s="325">
        <v>1.0</v>
      </c>
      <c r="AB33" s="322"/>
      <c r="AC33" s="323">
        <v>1.0</v>
      </c>
      <c r="AD33" s="326"/>
      <c r="AE33" s="327"/>
      <c r="AF33" s="327"/>
      <c r="AG33" s="327"/>
      <c r="AH33" s="281"/>
      <c r="AI33" s="339" t="s">
        <v>362</v>
      </c>
      <c r="AJ33" s="340" t="s">
        <v>372</v>
      </c>
      <c r="AK33" s="130"/>
      <c r="AL33" s="1"/>
      <c r="AM33" s="1"/>
      <c r="AN33" s="83"/>
      <c r="AO33" s="341"/>
      <c r="AP33" s="342"/>
      <c r="AQ33" s="342"/>
      <c r="AR33" s="343"/>
      <c r="AS33" s="309"/>
    </row>
    <row r="34" ht="15.75" customHeight="1">
      <c r="A34" s="311"/>
      <c r="B34" s="333">
        <v>3.0</v>
      </c>
      <c r="C34" s="334"/>
      <c r="D34" s="335" t="s">
        <v>241</v>
      </c>
      <c r="E34" s="315">
        <v>2.0</v>
      </c>
      <c r="F34" s="316"/>
      <c r="G34" s="317">
        <v>2.0</v>
      </c>
      <c r="H34" s="318"/>
      <c r="I34" s="318"/>
      <c r="J34" s="284"/>
      <c r="K34" s="318"/>
      <c r="L34" s="318"/>
      <c r="M34" s="336">
        <v>3.0</v>
      </c>
      <c r="N34" s="334"/>
      <c r="O34" s="337" t="s">
        <v>55</v>
      </c>
      <c r="P34" s="321">
        <v>1.0</v>
      </c>
      <c r="Q34" s="322"/>
      <c r="R34" s="323">
        <v>1.0</v>
      </c>
      <c r="S34" s="338"/>
      <c r="T34" s="338"/>
      <c r="U34" s="338"/>
      <c r="V34" s="338"/>
      <c r="W34" s="271"/>
      <c r="X34" s="344">
        <v>3.0</v>
      </c>
      <c r="Y34" s="334"/>
      <c r="Z34" s="345" t="s">
        <v>351</v>
      </c>
      <c r="AA34" s="325">
        <v>1.0</v>
      </c>
      <c r="AB34" s="322"/>
      <c r="AC34" s="323">
        <v>1.0</v>
      </c>
      <c r="AD34" s="326"/>
      <c r="AE34" s="327"/>
      <c r="AF34" s="327"/>
      <c r="AG34" s="327"/>
      <c r="AH34" s="281"/>
      <c r="AI34" s="346" t="s">
        <v>35</v>
      </c>
      <c r="AJ34" s="347" t="s">
        <v>381</v>
      </c>
      <c r="AK34" s="40" t="s">
        <v>382</v>
      </c>
      <c r="AL34" s="1" t="s">
        <v>383</v>
      </c>
      <c r="AM34" s="1" t="s">
        <v>384</v>
      </c>
      <c r="AN34" s="154" t="s">
        <v>385</v>
      </c>
      <c r="AO34" s="348"/>
      <c r="AP34" s="349"/>
      <c r="AQ34" s="349"/>
      <c r="AR34" s="350"/>
      <c r="AS34" s="351"/>
    </row>
    <row r="35" ht="15.75" customHeight="1">
      <c r="A35" s="332"/>
      <c r="B35" s="352">
        <v>4.0</v>
      </c>
      <c r="C35" s="334"/>
      <c r="D35" s="335" t="s">
        <v>272</v>
      </c>
      <c r="E35" s="353">
        <v>2.0</v>
      </c>
      <c r="F35" s="316">
        <v>2.0</v>
      </c>
      <c r="G35" s="317">
        <v>2.0</v>
      </c>
      <c r="H35" s="318"/>
      <c r="I35" s="318"/>
      <c r="J35" s="318"/>
      <c r="K35" s="318"/>
      <c r="L35" s="318"/>
      <c r="M35" s="344">
        <v>4.0</v>
      </c>
      <c r="N35" s="334"/>
      <c r="O35" s="354" t="s">
        <v>382</v>
      </c>
      <c r="P35" s="321">
        <v>1.0</v>
      </c>
      <c r="Q35" s="322"/>
      <c r="R35" s="323">
        <v>1.0</v>
      </c>
      <c r="S35" s="318"/>
      <c r="T35" s="318"/>
      <c r="U35" s="318"/>
      <c r="V35" s="318"/>
      <c r="W35" s="355"/>
      <c r="X35" s="344">
        <v>4.0</v>
      </c>
      <c r="Y35" s="334"/>
      <c r="Z35" s="345" t="s">
        <v>369</v>
      </c>
      <c r="AA35" s="325">
        <v>1.0</v>
      </c>
      <c r="AB35" s="322">
        <v>3.0</v>
      </c>
      <c r="AC35" s="323">
        <v>1.0</v>
      </c>
      <c r="AD35" s="356"/>
      <c r="AE35" s="327"/>
      <c r="AF35" s="327"/>
      <c r="AG35" s="327"/>
      <c r="AH35" s="281"/>
      <c r="AI35" s="346" t="s">
        <v>53</v>
      </c>
      <c r="AJ35" s="347" t="s">
        <v>386</v>
      </c>
      <c r="AK35" s="130"/>
      <c r="AL35" s="47"/>
      <c r="AM35" s="357"/>
      <c r="AN35" s="154"/>
      <c r="AO35" s="358"/>
      <c r="AP35" s="68"/>
      <c r="AQ35" s="68"/>
      <c r="AR35" s="71"/>
      <c r="AS35" s="359"/>
    </row>
    <row r="36" ht="15.75" customHeight="1">
      <c r="A36" s="311"/>
      <c r="B36" s="333">
        <v>5.0</v>
      </c>
      <c r="C36" s="334"/>
      <c r="D36" s="335" t="s">
        <v>219</v>
      </c>
      <c r="E36" s="353">
        <v>3.0</v>
      </c>
      <c r="F36" s="316" t="s">
        <v>387</v>
      </c>
      <c r="G36" s="317">
        <v>2.0</v>
      </c>
      <c r="H36" s="318"/>
      <c r="I36" s="360"/>
      <c r="J36" s="360"/>
      <c r="K36" s="360"/>
      <c r="L36" s="360"/>
      <c r="M36" s="344">
        <v>5.0</v>
      </c>
      <c r="N36" s="334"/>
      <c r="O36" s="354" t="s">
        <v>388</v>
      </c>
      <c r="P36" s="321">
        <v>1.0</v>
      </c>
      <c r="Q36" s="322"/>
      <c r="R36" s="323">
        <v>1.0</v>
      </c>
      <c r="S36" s="318"/>
      <c r="T36" s="318"/>
      <c r="U36" s="318"/>
      <c r="V36" s="318"/>
      <c r="W36" s="355"/>
      <c r="X36" s="361">
        <v>5.0</v>
      </c>
      <c r="Y36" s="334"/>
      <c r="Z36" s="118" t="s">
        <v>356</v>
      </c>
      <c r="AA36" s="325">
        <v>1.0</v>
      </c>
      <c r="AB36" s="322"/>
      <c r="AC36" s="323">
        <v>1.0</v>
      </c>
      <c r="AD36" s="326"/>
      <c r="AE36" s="327"/>
      <c r="AF36" s="327"/>
      <c r="AG36" s="327"/>
      <c r="AH36" s="281"/>
      <c r="AI36" s="362" t="s">
        <v>69</v>
      </c>
      <c r="AJ36" s="198" t="s">
        <v>389</v>
      </c>
      <c r="AK36" s="102" t="s">
        <v>337</v>
      </c>
      <c r="AL36" s="135" t="s">
        <v>390</v>
      </c>
      <c r="AM36" s="1" t="s">
        <v>391</v>
      </c>
      <c r="AN36" s="154" t="s">
        <v>392</v>
      </c>
      <c r="AO36" s="348"/>
      <c r="AP36" s="349"/>
      <c r="AQ36" s="349"/>
      <c r="AR36" s="350"/>
      <c r="AS36" s="351"/>
    </row>
    <row r="37" ht="15.75" customHeight="1">
      <c r="A37" s="363"/>
      <c r="B37" s="364">
        <v>6.0</v>
      </c>
      <c r="C37" s="334"/>
      <c r="D37" s="365" t="s">
        <v>322</v>
      </c>
      <c r="E37" s="315">
        <v>2.0</v>
      </c>
      <c r="F37" s="316"/>
      <c r="G37" s="317">
        <v>2.0</v>
      </c>
      <c r="H37" s="318"/>
      <c r="I37" s="366"/>
      <c r="J37" s="366"/>
      <c r="K37" s="366"/>
      <c r="L37" s="366"/>
      <c r="M37" s="367">
        <v>6.0</v>
      </c>
      <c r="N37" s="334"/>
      <c r="O37" s="354" t="s">
        <v>45</v>
      </c>
      <c r="P37" s="321">
        <v>1.0</v>
      </c>
      <c r="Q37" s="322"/>
      <c r="R37" s="368">
        <v>1.0</v>
      </c>
      <c r="S37" s="366"/>
      <c r="T37" s="369"/>
      <c r="U37" s="366"/>
      <c r="V37" s="366"/>
      <c r="W37" s="370"/>
      <c r="X37" s="361">
        <v>6.0</v>
      </c>
      <c r="Y37" s="334"/>
      <c r="Z37" s="118"/>
      <c r="AA37" s="325"/>
      <c r="AB37" s="322"/>
      <c r="AC37" s="323">
        <v>1.0</v>
      </c>
      <c r="AD37" s="371"/>
      <c r="AE37" s="366"/>
      <c r="AF37" s="366"/>
      <c r="AG37" s="366"/>
      <c r="AH37" s="372"/>
      <c r="AI37" s="362" t="s">
        <v>84</v>
      </c>
      <c r="AJ37" s="198" t="s">
        <v>393</v>
      </c>
      <c r="AK37" s="102" t="s">
        <v>113</v>
      </c>
      <c r="AL37" s="373" t="s">
        <v>394</v>
      </c>
      <c r="AM37" s="135" t="s">
        <v>395</v>
      </c>
      <c r="AN37" s="374" t="s">
        <v>396</v>
      </c>
      <c r="AO37" s="348"/>
      <c r="AP37" s="349"/>
      <c r="AQ37" s="349"/>
      <c r="AR37" s="350"/>
      <c r="AS37" s="351"/>
    </row>
    <row r="38" ht="15.75" customHeight="1">
      <c r="A38" s="332"/>
      <c r="B38" s="375">
        <v>7.0</v>
      </c>
      <c r="C38" s="334"/>
      <c r="D38" s="365" t="s">
        <v>100</v>
      </c>
      <c r="E38" s="315">
        <v>3.0</v>
      </c>
      <c r="F38" s="316">
        <v>3.0</v>
      </c>
      <c r="G38" s="154" t="s">
        <v>52</v>
      </c>
      <c r="H38" s="318"/>
      <c r="I38" s="366"/>
      <c r="J38" s="366"/>
      <c r="K38" s="366"/>
      <c r="L38" s="366"/>
      <c r="M38" s="376">
        <v>7.0</v>
      </c>
      <c r="N38" s="334"/>
      <c r="O38" s="377" t="s">
        <v>61</v>
      </c>
      <c r="P38" s="321">
        <v>1.0</v>
      </c>
      <c r="Q38" s="322"/>
      <c r="R38" s="368">
        <v>1.0</v>
      </c>
      <c r="S38" s="366"/>
      <c r="T38" s="366"/>
      <c r="U38" s="366"/>
      <c r="V38" s="366"/>
      <c r="W38" s="370"/>
      <c r="X38" s="378" t="s">
        <v>397</v>
      </c>
      <c r="Y38" s="379"/>
      <c r="Z38" s="380"/>
      <c r="AA38" s="381">
        <f>SUM(AA32:AA37)</f>
        <v>5</v>
      </c>
      <c r="AB38" s="369"/>
      <c r="AC38" s="369"/>
      <c r="AD38" s="371"/>
      <c r="AE38" s="366"/>
      <c r="AF38" s="366"/>
      <c r="AG38" s="366"/>
      <c r="AH38" s="372"/>
      <c r="AI38" s="382" t="s">
        <v>93</v>
      </c>
      <c r="AJ38" s="198" t="s">
        <v>398</v>
      </c>
      <c r="AK38" s="102" t="s">
        <v>278</v>
      </c>
      <c r="AL38" s="1" t="s">
        <v>399</v>
      </c>
      <c r="AM38" s="1" t="s">
        <v>400</v>
      </c>
      <c r="AN38" s="83" t="s">
        <v>401</v>
      </c>
      <c r="AO38" s="348"/>
      <c r="AP38" s="349"/>
      <c r="AQ38" s="349"/>
      <c r="AR38" s="350"/>
      <c r="AS38" s="351"/>
    </row>
    <row r="39" ht="15.0" customHeight="1">
      <c r="A39" s="311"/>
      <c r="B39" s="375">
        <v>8.0</v>
      </c>
      <c r="C39" s="334"/>
      <c r="D39" s="365" t="s">
        <v>138</v>
      </c>
      <c r="E39" s="315">
        <v>2.0</v>
      </c>
      <c r="F39" s="316">
        <v>2.0</v>
      </c>
      <c r="G39" s="154" t="s">
        <v>52</v>
      </c>
      <c r="H39" s="318"/>
      <c r="I39" s="366"/>
      <c r="J39" s="366"/>
      <c r="K39" s="366"/>
      <c r="L39" s="366"/>
      <c r="M39" s="376">
        <v>8.0</v>
      </c>
      <c r="N39" s="334"/>
      <c r="O39" s="377" t="s">
        <v>402</v>
      </c>
      <c r="P39" s="321"/>
      <c r="Q39" s="322"/>
      <c r="R39" s="323">
        <v>1.0</v>
      </c>
      <c r="S39" s="338"/>
      <c r="T39" s="338"/>
      <c r="U39" s="338"/>
      <c r="V39" s="338"/>
      <c r="W39" s="271"/>
      <c r="X39" s="383"/>
      <c r="Y39" s="366"/>
      <c r="Z39" s="366"/>
      <c r="AA39" s="369"/>
      <c r="AB39" s="366"/>
      <c r="AC39" s="366"/>
      <c r="AD39" s="384"/>
      <c r="AE39" s="338"/>
      <c r="AF39" s="338"/>
      <c r="AG39" s="338"/>
      <c r="AH39" s="136"/>
      <c r="AI39" s="362" t="s">
        <v>98</v>
      </c>
      <c r="AJ39" s="198" t="s">
        <v>403</v>
      </c>
      <c r="AK39" s="102" t="s">
        <v>246</v>
      </c>
      <c r="AL39" s="1" t="s">
        <v>404</v>
      </c>
      <c r="AM39" s="1" t="s">
        <v>405</v>
      </c>
      <c r="AN39" s="154" t="s">
        <v>406</v>
      </c>
      <c r="AO39" s="358"/>
      <c r="AP39" s="68"/>
      <c r="AQ39" s="68"/>
      <c r="AR39" s="71"/>
      <c r="AS39" s="359"/>
    </row>
    <row r="40" ht="15.75" customHeight="1">
      <c r="A40" s="385"/>
      <c r="B40" s="375">
        <v>9.0</v>
      </c>
      <c r="C40" s="334"/>
      <c r="D40" s="365" t="s">
        <v>407</v>
      </c>
      <c r="E40" s="386"/>
      <c r="F40" s="316"/>
      <c r="G40" s="317">
        <v>2.0</v>
      </c>
      <c r="H40" s="318"/>
      <c r="I40" s="387"/>
      <c r="J40" s="387"/>
      <c r="K40" s="387"/>
      <c r="L40" s="387"/>
      <c r="M40" s="388" t="s">
        <v>104</v>
      </c>
      <c r="N40" s="334"/>
      <c r="O40" s="377" t="s">
        <v>408</v>
      </c>
      <c r="P40" s="389"/>
      <c r="Q40" s="390"/>
      <c r="R40" s="387"/>
      <c r="S40" s="387"/>
      <c r="T40" s="387"/>
      <c r="U40" s="387"/>
      <c r="V40" s="387"/>
      <c r="W40" s="391"/>
      <c r="X40" s="387"/>
      <c r="Y40" s="387"/>
      <c r="Z40" s="387"/>
      <c r="AA40" s="387"/>
      <c r="AB40" s="387"/>
      <c r="AC40" s="387"/>
      <c r="AD40" s="371"/>
      <c r="AE40" s="383"/>
      <c r="AF40" s="383"/>
      <c r="AG40" s="383"/>
      <c r="AH40" s="392"/>
      <c r="AI40" s="382" t="s">
        <v>118</v>
      </c>
      <c r="AJ40" s="131" t="s">
        <v>409</v>
      </c>
      <c r="AK40" s="102" t="s">
        <v>164</v>
      </c>
      <c r="AL40" s="47" t="s">
        <v>410</v>
      </c>
      <c r="AM40" s="357" t="s">
        <v>411</v>
      </c>
      <c r="AN40" s="154" t="s">
        <v>412</v>
      </c>
      <c r="AO40" s="393"/>
      <c r="AP40" s="394"/>
      <c r="AQ40" s="395"/>
      <c r="AR40" s="396"/>
      <c r="AS40" s="397"/>
    </row>
    <row r="41" ht="15.75" customHeight="1">
      <c r="A41" s="398"/>
      <c r="B41" s="375">
        <v>10.0</v>
      </c>
      <c r="C41" s="334"/>
      <c r="D41" s="365" t="s">
        <v>107</v>
      </c>
      <c r="E41" s="315">
        <v>2.0</v>
      </c>
      <c r="F41" s="316">
        <v>2.0</v>
      </c>
      <c r="G41" s="154" t="s">
        <v>34</v>
      </c>
      <c r="H41" s="318"/>
      <c r="I41" s="387"/>
      <c r="J41" s="387"/>
      <c r="K41" s="387"/>
      <c r="L41" s="387"/>
      <c r="M41" s="399"/>
      <c r="N41" s="334"/>
      <c r="O41" s="400"/>
      <c r="P41" s="401"/>
      <c r="Q41" s="387"/>
      <c r="R41" s="391"/>
      <c r="S41" s="338"/>
      <c r="T41" s="338"/>
      <c r="U41" s="338"/>
      <c r="V41" s="338"/>
      <c r="W41" s="391"/>
      <c r="X41" s="402"/>
      <c r="Y41" s="402"/>
      <c r="Z41" s="402"/>
      <c r="AA41" s="402"/>
      <c r="AB41" s="387"/>
      <c r="AC41" s="387"/>
      <c r="AD41" s="356"/>
      <c r="AE41" s="369"/>
      <c r="AF41" s="369"/>
      <c r="AG41" s="369"/>
      <c r="AH41" s="403"/>
      <c r="AI41" s="362" t="s">
        <v>136</v>
      </c>
      <c r="AJ41" s="131" t="s">
        <v>413</v>
      </c>
      <c r="AK41" s="102" t="s">
        <v>181</v>
      </c>
      <c r="AL41" s="39" t="s">
        <v>414</v>
      </c>
      <c r="AM41" s="39" t="s">
        <v>415</v>
      </c>
      <c r="AN41" s="154" t="s">
        <v>416</v>
      </c>
      <c r="AO41" s="393"/>
      <c r="AP41" s="394"/>
      <c r="AQ41" s="395"/>
      <c r="AR41" s="404"/>
      <c r="AS41" s="405"/>
    </row>
    <row r="42" ht="15.75" customHeight="1">
      <c r="A42" s="406"/>
      <c r="B42" s="375">
        <v>11.0</v>
      </c>
      <c r="C42" s="334"/>
      <c r="D42" s="365" t="s">
        <v>143</v>
      </c>
      <c r="E42" s="315">
        <v>2.0</v>
      </c>
      <c r="F42" s="407"/>
      <c r="G42" s="317">
        <v>2.0</v>
      </c>
      <c r="H42" s="318"/>
      <c r="I42" s="318"/>
      <c r="J42" s="318"/>
      <c r="K42" s="318"/>
      <c r="L42" s="318"/>
      <c r="M42" s="408"/>
      <c r="N42" s="334"/>
      <c r="O42" s="409"/>
      <c r="P42" s="410"/>
      <c r="Q42" s="369"/>
      <c r="R42" s="411"/>
      <c r="S42" s="338"/>
      <c r="T42" s="338"/>
      <c r="U42" s="338"/>
      <c r="V42" s="338"/>
      <c r="W42" s="411"/>
      <c r="X42" s="412" t="s">
        <v>417</v>
      </c>
      <c r="AA42" s="413"/>
      <c r="AB42" s="414" t="s">
        <v>378</v>
      </c>
      <c r="AC42" s="415" t="s">
        <v>379</v>
      </c>
      <c r="AD42" s="356"/>
      <c r="AE42" s="369"/>
      <c r="AF42" s="369"/>
      <c r="AG42" s="369"/>
      <c r="AH42" s="403"/>
      <c r="AI42" s="362" t="s">
        <v>153</v>
      </c>
      <c r="AJ42" s="131" t="s">
        <v>418</v>
      </c>
      <c r="AK42" s="102" t="s">
        <v>196</v>
      </c>
      <c r="AL42" s="357" t="s">
        <v>419</v>
      </c>
      <c r="AM42" s="416" t="s">
        <v>420</v>
      </c>
      <c r="AN42" s="154" t="s">
        <v>421</v>
      </c>
      <c r="AO42" s="105"/>
      <c r="AP42" s="106"/>
      <c r="AQ42" s="107"/>
      <c r="AR42" s="108"/>
      <c r="AS42" s="109"/>
    </row>
    <row r="43">
      <c r="A43" s="311"/>
      <c r="B43" s="375">
        <v>12.0</v>
      </c>
      <c r="C43" s="334"/>
      <c r="D43" s="365" t="s">
        <v>176</v>
      </c>
      <c r="E43" s="315">
        <v>1.0</v>
      </c>
      <c r="F43" s="316">
        <v>1.0</v>
      </c>
      <c r="G43" s="317">
        <v>2.0</v>
      </c>
      <c r="H43" s="318"/>
      <c r="I43" s="318"/>
      <c r="J43" s="318"/>
      <c r="K43" s="318"/>
      <c r="L43" s="318"/>
      <c r="M43" s="408"/>
      <c r="N43" s="334"/>
      <c r="O43" s="193"/>
      <c r="P43" s="410"/>
      <c r="Q43" s="369"/>
      <c r="R43" s="369"/>
      <c r="S43" s="318"/>
      <c r="T43" s="318"/>
      <c r="U43" s="318"/>
      <c r="V43" s="318"/>
      <c r="W43" s="355"/>
      <c r="X43" s="417"/>
      <c r="AA43" s="413"/>
      <c r="AC43" s="418"/>
      <c r="AD43" s="419"/>
      <c r="AE43" s="318"/>
      <c r="AF43" s="318"/>
      <c r="AG43" s="318"/>
      <c r="AH43" s="420"/>
      <c r="AI43" s="362" t="s">
        <v>169</v>
      </c>
      <c r="AJ43" s="198" t="s">
        <v>422</v>
      </c>
      <c r="AK43" s="130"/>
      <c r="AL43" s="130"/>
      <c r="AM43" s="130"/>
      <c r="AN43" s="421"/>
      <c r="AO43" s="105"/>
      <c r="AP43" s="106"/>
      <c r="AQ43" s="107"/>
      <c r="AR43" s="108"/>
      <c r="AS43" s="109"/>
    </row>
    <row r="44" ht="15.75" customHeight="1">
      <c r="A44" s="332"/>
      <c r="B44" s="375">
        <v>13.0</v>
      </c>
      <c r="C44" s="334"/>
      <c r="D44" s="365" t="s">
        <v>27</v>
      </c>
      <c r="E44" s="315">
        <v>1.0</v>
      </c>
      <c r="F44" s="316" t="s">
        <v>423</v>
      </c>
      <c r="G44" s="317">
        <v>2.0</v>
      </c>
      <c r="H44" s="318"/>
      <c r="I44" s="318"/>
      <c r="J44" s="318"/>
      <c r="K44" s="318"/>
      <c r="L44" s="318"/>
      <c r="M44" s="408"/>
      <c r="N44" s="334"/>
      <c r="O44" s="193"/>
      <c r="P44" s="410"/>
      <c r="Q44" s="369"/>
      <c r="R44" s="284"/>
      <c r="S44" s="318"/>
      <c r="T44" s="318"/>
      <c r="U44" s="318"/>
      <c r="V44" s="318"/>
      <c r="W44" s="355"/>
      <c r="X44" s="422"/>
      <c r="Y44" s="423"/>
      <c r="Z44" s="423"/>
      <c r="AA44" s="424"/>
      <c r="AB44" s="284"/>
      <c r="AC44" s="369"/>
      <c r="AD44" s="419"/>
      <c r="AE44" s="318"/>
      <c r="AF44" s="323" t="s">
        <v>424</v>
      </c>
      <c r="AG44" s="318"/>
      <c r="AH44" s="420"/>
      <c r="AI44" s="425" t="s">
        <v>186</v>
      </c>
      <c r="AJ44" s="131" t="s">
        <v>425</v>
      </c>
      <c r="AK44" s="130"/>
      <c r="AL44" s="130"/>
      <c r="AM44" s="130"/>
      <c r="AN44" s="426"/>
      <c r="AO44" s="165"/>
      <c r="AP44" s="427"/>
      <c r="AQ44" s="428"/>
      <c r="AR44" s="168"/>
      <c r="AS44" s="169"/>
    </row>
    <row r="45" ht="15.75" customHeight="1">
      <c r="A45" s="332"/>
      <c r="B45" s="375">
        <v>14.0</v>
      </c>
      <c r="C45" s="334"/>
      <c r="D45" s="365" t="s">
        <v>208</v>
      </c>
      <c r="E45" s="315">
        <v>2.0</v>
      </c>
      <c r="F45" s="316"/>
      <c r="G45" s="317">
        <v>2.0</v>
      </c>
      <c r="H45" s="318"/>
      <c r="I45" s="369"/>
      <c r="J45" s="369"/>
      <c r="K45" s="369"/>
      <c r="L45" s="369"/>
      <c r="M45" s="429" t="s">
        <v>397</v>
      </c>
      <c r="N45" s="379"/>
      <c r="O45" s="430"/>
      <c r="P45" s="381">
        <f>SUM(P32:P40)</f>
        <v>7</v>
      </c>
      <c r="Q45" s="369"/>
      <c r="R45" s="355"/>
      <c r="S45" s="318"/>
      <c r="T45" s="318"/>
      <c r="U45" s="318"/>
      <c r="V45" s="318"/>
      <c r="W45" s="355"/>
      <c r="X45" s="431">
        <v>1.0</v>
      </c>
      <c r="Y45" s="313"/>
      <c r="Z45" s="432" t="s">
        <v>426</v>
      </c>
      <c r="AA45" s="433"/>
      <c r="AB45" s="322"/>
      <c r="AC45" s="323">
        <v>1.0</v>
      </c>
      <c r="AD45" s="419"/>
      <c r="AE45" s="318"/>
      <c r="AF45" s="318"/>
      <c r="AG45" s="318"/>
      <c r="AH45" s="420"/>
      <c r="AI45" s="434" t="s">
        <v>212</v>
      </c>
      <c r="AJ45" s="117" t="s">
        <v>427</v>
      </c>
      <c r="AK45" s="193"/>
      <c r="AL45" s="193"/>
      <c r="AM45" s="193"/>
      <c r="AN45" s="435"/>
      <c r="AO45" s="76"/>
      <c r="AP45" s="78"/>
      <c r="AQ45" s="78"/>
      <c r="AR45" s="79"/>
      <c r="AS45" s="66"/>
    </row>
    <row r="46" ht="15.75" customHeight="1">
      <c r="A46" s="406"/>
      <c r="B46" s="364">
        <v>15.0</v>
      </c>
      <c r="C46" s="334"/>
      <c r="D46" s="365" t="s">
        <v>230</v>
      </c>
      <c r="E46" s="315">
        <v>1.0</v>
      </c>
      <c r="F46" s="316"/>
      <c r="G46" s="317">
        <v>2.0</v>
      </c>
      <c r="H46" s="318"/>
      <c r="I46" s="318"/>
      <c r="J46" s="318"/>
      <c r="K46" s="318"/>
      <c r="L46" s="318"/>
      <c r="M46" s="436"/>
      <c r="N46" s="360"/>
      <c r="O46" s="355"/>
      <c r="P46" s="355"/>
      <c r="Q46" s="369"/>
      <c r="R46" s="355"/>
      <c r="S46" s="318"/>
      <c r="T46" s="318"/>
      <c r="U46" s="318"/>
      <c r="V46" s="318"/>
      <c r="W46" s="355"/>
      <c r="X46" s="437">
        <v>2.0</v>
      </c>
      <c r="Y46" s="334"/>
      <c r="Z46" s="94" t="s">
        <v>71</v>
      </c>
      <c r="AA46" s="438">
        <v>1.0</v>
      </c>
      <c r="AB46" s="322"/>
      <c r="AC46" s="323">
        <v>1.0</v>
      </c>
      <c r="AD46" s="419"/>
      <c r="AE46" s="318"/>
      <c r="AF46" s="318"/>
      <c r="AG46" s="318"/>
      <c r="AH46" s="420"/>
      <c r="AI46" s="434" t="s">
        <v>224</v>
      </c>
      <c r="AJ46" s="131" t="s">
        <v>428</v>
      </c>
      <c r="AK46" s="193"/>
      <c r="AL46" s="193"/>
      <c r="AM46" s="193"/>
      <c r="AN46" s="435"/>
      <c r="AO46" s="76"/>
      <c r="AP46" s="77"/>
      <c r="AQ46" s="78"/>
      <c r="AR46" s="79"/>
      <c r="AS46" s="66"/>
    </row>
    <row r="47" ht="15.75" customHeight="1">
      <c r="A47" s="332"/>
      <c r="B47" s="375">
        <v>16.0</v>
      </c>
      <c r="C47" s="334"/>
      <c r="D47" s="365" t="s">
        <v>429</v>
      </c>
      <c r="E47" s="386"/>
      <c r="F47" s="316"/>
      <c r="G47" s="317">
        <v>1.0</v>
      </c>
      <c r="H47" s="318"/>
      <c r="I47" s="318"/>
      <c r="J47" s="318"/>
      <c r="K47" s="318"/>
      <c r="L47" s="318"/>
      <c r="M47" s="360"/>
      <c r="N47" s="360"/>
      <c r="O47" s="355"/>
      <c r="P47" s="284"/>
      <c r="Q47" s="369"/>
      <c r="R47" s="355"/>
      <c r="S47" s="327"/>
      <c r="T47" s="327"/>
      <c r="U47" s="327"/>
      <c r="V47" s="327"/>
      <c r="W47" s="355"/>
      <c r="X47" s="437">
        <v>3.0</v>
      </c>
      <c r="Y47" s="334"/>
      <c r="Z47" s="94" t="s">
        <v>86</v>
      </c>
      <c r="AA47" s="438">
        <v>1.0</v>
      </c>
      <c r="AB47" s="322"/>
      <c r="AC47" s="323">
        <v>1.0</v>
      </c>
      <c r="AD47" s="419"/>
      <c r="AE47" s="318"/>
      <c r="AF47" s="318"/>
      <c r="AG47" s="318"/>
      <c r="AH47" s="420"/>
      <c r="AI47" s="434" t="s">
        <v>239</v>
      </c>
      <c r="AJ47" s="117" t="s">
        <v>430</v>
      </c>
      <c r="AK47" s="439"/>
      <c r="AL47" s="439"/>
      <c r="AM47" s="439"/>
      <c r="AN47" s="435"/>
      <c r="AO47" s="440"/>
      <c r="AP47" s="427"/>
      <c r="AQ47" s="428"/>
      <c r="AR47" s="441"/>
      <c r="AS47" s="442"/>
    </row>
    <row r="48">
      <c r="A48" s="332"/>
      <c r="B48" s="375">
        <v>17.0</v>
      </c>
      <c r="C48" s="334"/>
      <c r="D48" s="365" t="s">
        <v>262</v>
      </c>
      <c r="E48" s="443">
        <v>1.0</v>
      </c>
      <c r="F48" s="444">
        <v>1.0</v>
      </c>
      <c r="G48" s="317">
        <v>2.0</v>
      </c>
      <c r="H48" s="318"/>
      <c r="I48" s="318"/>
      <c r="J48" s="318"/>
      <c r="K48" s="318"/>
      <c r="L48" s="318"/>
      <c r="M48" s="436"/>
      <c r="N48" s="360"/>
      <c r="O48" s="445" t="s">
        <v>431</v>
      </c>
      <c r="P48" s="369"/>
      <c r="Q48" s="369"/>
      <c r="R48" s="284"/>
      <c r="S48" s="318"/>
      <c r="T48" s="318"/>
      <c r="U48" s="318"/>
      <c r="V48" s="318"/>
      <c r="W48" s="355"/>
      <c r="X48" s="437">
        <v>4.0</v>
      </c>
      <c r="Y48" s="334"/>
      <c r="Z48" s="446" t="s">
        <v>77</v>
      </c>
      <c r="AA48" s="438">
        <v>1.0</v>
      </c>
      <c r="AB48" s="322"/>
      <c r="AC48" s="323">
        <v>1.0</v>
      </c>
      <c r="AD48" s="419"/>
      <c r="AE48" s="318"/>
      <c r="AF48" s="318"/>
      <c r="AG48" s="318"/>
      <c r="AH48" s="420"/>
      <c r="AI48" s="425" t="s">
        <v>256</v>
      </c>
      <c r="AJ48" s="447" t="s">
        <v>432</v>
      </c>
      <c r="AK48" s="284"/>
      <c r="AL48" s="439"/>
      <c r="AM48" s="439"/>
      <c r="AN48" s="448"/>
      <c r="AO48" s="76"/>
      <c r="AP48" s="77"/>
      <c r="AQ48" s="78"/>
      <c r="AR48" s="79"/>
      <c r="AS48" s="66"/>
    </row>
    <row r="49" ht="15.75" customHeight="1">
      <c r="A49" s="332"/>
      <c r="B49" s="375">
        <v>18.0</v>
      </c>
      <c r="C49" s="334"/>
      <c r="D49" s="365" t="s">
        <v>290</v>
      </c>
      <c r="E49" s="443">
        <v>2.0</v>
      </c>
      <c r="F49" s="444">
        <v>2.0</v>
      </c>
      <c r="G49" s="317">
        <v>2.0</v>
      </c>
      <c r="H49" s="318"/>
      <c r="I49" s="318"/>
      <c r="J49" s="369"/>
      <c r="K49" s="369"/>
      <c r="L49" s="318"/>
      <c r="M49" s="436"/>
      <c r="N49" s="360"/>
      <c r="O49" s="355"/>
      <c r="P49" s="284"/>
      <c r="Q49" s="369"/>
      <c r="R49" s="355"/>
      <c r="S49" s="318"/>
      <c r="T49" s="318"/>
      <c r="U49" s="318"/>
      <c r="V49" s="318"/>
      <c r="W49" s="355"/>
      <c r="X49" s="437">
        <v>5.0</v>
      </c>
      <c r="Y49" s="334"/>
      <c r="Z49" s="90" t="s">
        <v>433</v>
      </c>
      <c r="AA49" s="449"/>
      <c r="AB49" s="322"/>
      <c r="AC49" s="323">
        <v>1.0</v>
      </c>
      <c r="AD49" s="419"/>
      <c r="AE49" s="318"/>
      <c r="AF49" s="318"/>
      <c r="AG49" s="318"/>
      <c r="AH49" s="420"/>
      <c r="AI49" s="362" t="s">
        <v>276</v>
      </c>
      <c r="AJ49" s="198" t="s">
        <v>434</v>
      </c>
      <c r="AK49" s="439"/>
      <c r="AL49" s="439"/>
      <c r="AM49" s="439"/>
      <c r="AN49" s="448"/>
      <c r="AO49" s="76"/>
      <c r="AP49" s="77"/>
      <c r="AQ49" s="78"/>
      <c r="AR49" s="79"/>
      <c r="AS49" s="66"/>
    </row>
    <row r="50" ht="15.75" customHeight="1">
      <c r="A50" s="332"/>
      <c r="B50" s="375">
        <v>19.0</v>
      </c>
      <c r="C50" s="334"/>
      <c r="D50" s="365" t="s">
        <v>435</v>
      </c>
      <c r="E50" s="443">
        <v>1.0</v>
      </c>
      <c r="F50" s="444"/>
      <c r="G50" s="317">
        <v>1.0</v>
      </c>
      <c r="H50" s="318"/>
      <c r="I50" s="318"/>
      <c r="J50" s="318"/>
      <c r="K50" s="318"/>
      <c r="L50" s="318"/>
      <c r="M50" s="436"/>
      <c r="N50" s="360"/>
      <c r="O50" s="360"/>
      <c r="P50" s="284"/>
      <c r="Q50" s="284"/>
      <c r="R50" s="355"/>
      <c r="S50" s="318"/>
      <c r="T50" s="318"/>
      <c r="U50" s="318"/>
      <c r="V50" s="318"/>
      <c r="W50" s="355"/>
      <c r="X50" s="437">
        <v>6.0</v>
      </c>
      <c r="Y50" s="334"/>
      <c r="Z50" s="446" t="s">
        <v>436</v>
      </c>
      <c r="AA50" s="449"/>
      <c r="AB50" s="322"/>
      <c r="AC50" s="323">
        <v>1.0</v>
      </c>
      <c r="AD50" s="419"/>
      <c r="AE50" s="318"/>
      <c r="AF50" s="318"/>
      <c r="AG50" s="318"/>
      <c r="AH50" s="420"/>
      <c r="AI50" s="450" t="s">
        <v>284</v>
      </c>
      <c r="AJ50" s="451" t="s">
        <v>437</v>
      </c>
      <c r="AK50" s="452"/>
      <c r="AL50" s="452"/>
      <c r="AM50" s="452"/>
      <c r="AN50" s="453"/>
      <c r="AO50" s="454"/>
      <c r="AP50" s="455"/>
      <c r="AQ50" s="456"/>
      <c r="AR50" s="457"/>
      <c r="AS50" s="66"/>
    </row>
    <row r="51">
      <c r="A51" s="332"/>
      <c r="B51" s="364">
        <v>20.0</v>
      </c>
      <c r="C51" s="334"/>
      <c r="D51" s="365" t="s">
        <v>337</v>
      </c>
      <c r="E51" s="443">
        <v>2.0</v>
      </c>
      <c r="F51" s="444"/>
      <c r="G51" s="317">
        <v>3.0</v>
      </c>
      <c r="H51" s="318"/>
      <c r="I51" s="318"/>
      <c r="J51" s="318"/>
      <c r="K51" s="318"/>
      <c r="L51" s="318"/>
      <c r="M51" s="458" t="s">
        <v>438</v>
      </c>
      <c r="N51" s="3"/>
      <c r="O51" s="459"/>
      <c r="P51" s="460">
        <f>(E69+P45+AA38+AA52)</f>
        <v>65</v>
      </c>
      <c r="Q51" s="284"/>
      <c r="R51" s="355"/>
      <c r="S51" s="318"/>
      <c r="T51" s="318"/>
      <c r="U51" s="318"/>
      <c r="V51" s="318"/>
      <c r="W51" s="355"/>
      <c r="X51" s="461"/>
      <c r="Y51" s="334"/>
      <c r="Z51" s="113"/>
      <c r="AA51" s="462"/>
      <c r="AB51" s="322"/>
      <c r="AC51" s="355"/>
      <c r="AD51" s="463"/>
      <c r="AE51" s="318"/>
      <c r="AF51" s="318"/>
      <c r="AG51" s="464"/>
      <c r="AH51" s="355"/>
      <c r="AI51" s="338"/>
      <c r="AJ51" s="465"/>
      <c r="AK51" s="369"/>
      <c r="AL51" s="284"/>
      <c r="AM51" s="284"/>
      <c r="AN51" s="284"/>
      <c r="AO51" s="366"/>
      <c r="AP51" s="366"/>
      <c r="AQ51" s="366"/>
      <c r="AR51" s="366"/>
      <c r="AS51" s="366"/>
    </row>
    <row r="52" ht="15.75" customHeight="1">
      <c r="A52" s="332"/>
      <c r="B52" s="375">
        <v>21.0</v>
      </c>
      <c r="C52" s="334"/>
      <c r="D52" s="365" t="s">
        <v>113</v>
      </c>
      <c r="E52" s="443">
        <v>3.0</v>
      </c>
      <c r="F52" s="444">
        <v>3.0</v>
      </c>
      <c r="G52" s="317">
        <v>3.0</v>
      </c>
      <c r="H52" s="318"/>
      <c r="I52" s="318"/>
      <c r="J52" s="318"/>
      <c r="K52" s="318"/>
      <c r="L52" s="318"/>
      <c r="M52" s="422"/>
      <c r="N52" s="423"/>
      <c r="O52" s="424"/>
      <c r="P52" s="466"/>
      <c r="Q52" s="284"/>
      <c r="R52" s="355"/>
      <c r="S52" s="318"/>
      <c r="T52" s="318"/>
      <c r="U52" s="318"/>
      <c r="V52" s="318"/>
      <c r="W52" s="355"/>
      <c r="X52" s="429" t="s">
        <v>397</v>
      </c>
      <c r="Y52" s="379"/>
      <c r="Z52" s="467"/>
      <c r="AA52" s="381">
        <f>SUM(AA45:AA51)</f>
        <v>3</v>
      </c>
      <c r="AB52" s="355"/>
      <c r="AC52" s="355"/>
      <c r="AD52" s="419"/>
      <c r="AE52" s="318"/>
      <c r="AF52" s="318"/>
      <c r="AG52" s="318"/>
      <c r="AH52" s="355"/>
      <c r="AI52" s="338"/>
      <c r="AJ52" s="465"/>
      <c r="AK52" s="284"/>
      <c r="AL52" s="284"/>
      <c r="AM52" s="284"/>
      <c r="AN52" s="284"/>
      <c r="AO52" s="366"/>
      <c r="AP52" s="366"/>
      <c r="AQ52" s="366"/>
      <c r="AR52" s="366"/>
      <c r="AS52" s="366"/>
    </row>
    <row r="53" ht="15.0" customHeight="1">
      <c r="A53" s="311"/>
      <c r="B53" s="364">
        <v>22.0</v>
      </c>
      <c r="C53" s="334"/>
      <c r="D53" s="365" t="s">
        <v>130</v>
      </c>
      <c r="E53" s="443">
        <v>2.0</v>
      </c>
      <c r="F53" s="468"/>
      <c r="G53" s="317">
        <v>2.0</v>
      </c>
      <c r="H53" s="318"/>
      <c r="I53" s="318"/>
      <c r="J53" s="318"/>
      <c r="K53" s="318"/>
      <c r="L53" s="318"/>
      <c r="M53" s="436"/>
      <c r="N53" s="360"/>
      <c r="O53" s="284"/>
      <c r="P53" s="284"/>
      <c r="Q53" s="411"/>
      <c r="R53" s="355"/>
      <c r="S53" s="318"/>
      <c r="T53" s="318"/>
      <c r="U53" s="318"/>
      <c r="V53" s="318"/>
      <c r="W53" s="355"/>
      <c r="X53" s="355"/>
      <c r="Y53" s="355"/>
      <c r="Z53" s="355"/>
      <c r="AA53" s="355"/>
      <c r="AB53" s="409"/>
      <c r="AC53" s="409"/>
      <c r="AD53" s="419"/>
      <c r="AE53" s="318"/>
      <c r="AF53" s="318"/>
      <c r="AG53" s="318"/>
      <c r="AH53" s="355"/>
      <c r="AI53" s="338"/>
      <c r="AJ53" s="465"/>
      <c r="AK53" s="284"/>
      <c r="AL53" s="284"/>
      <c r="AM53" s="284"/>
      <c r="AN53" s="284"/>
      <c r="AO53" s="366"/>
      <c r="AP53" s="366"/>
      <c r="AQ53" s="366"/>
      <c r="AR53" s="366"/>
      <c r="AS53" s="366"/>
    </row>
    <row r="54">
      <c r="A54" s="469"/>
      <c r="B54" s="364">
        <v>23.0</v>
      </c>
      <c r="C54" s="334"/>
      <c r="D54" s="365" t="s">
        <v>278</v>
      </c>
      <c r="E54" s="443">
        <v>2.0</v>
      </c>
      <c r="F54" s="444"/>
      <c r="G54" s="317">
        <v>3.0</v>
      </c>
      <c r="H54" s="318"/>
      <c r="I54" s="318"/>
      <c r="J54" s="318"/>
      <c r="K54" s="318"/>
      <c r="L54" s="355"/>
      <c r="M54" s="360"/>
      <c r="N54" s="318"/>
      <c r="O54" s="318"/>
      <c r="P54" s="355"/>
      <c r="Q54" s="355"/>
      <c r="R54" s="355"/>
      <c r="S54" s="318"/>
      <c r="T54" s="318"/>
      <c r="U54" s="318"/>
      <c r="V54" s="318"/>
      <c r="W54" s="355"/>
      <c r="X54" s="355"/>
      <c r="Y54" s="355"/>
      <c r="Z54" s="411"/>
      <c r="AA54" s="355"/>
      <c r="AB54" s="355"/>
      <c r="AC54" s="355"/>
      <c r="AD54" s="419"/>
      <c r="AE54" s="318"/>
      <c r="AF54" s="318"/>
      <c r="AG54" s="318"/>
      <c r="AH54" s="355"/>
      <c r="AI54" s="338"/>
      <c r="AJ54" s="465"/>
      <c r="AK54" s="284"/>
      <c r="AL54" s="284"/>
      <c r="AM54" s="284"/>
      <c r="AN54" s="284"/>
      <c r="AO54" s="366"/>
      <c r="AP54" s="366"/>
      <c r="AQ54" s="366"/>
      <c r="AR54" s="366"/>
      <c r="AS54" s="366"/>
    </row>
    <row r="55">
      <c r="A55" s="469"/>
      <c r="B55" s="364">
        <v>24.0</v>
      </c>
      <c r="C55" s="334"/>
      <c r="D55" s="365" t="s">
        <v>246</v>
      </c>
      <c r="E55" s="443">
        <v>3.0</v>
      </c>
      <c r="F55" s="444">
        <v>3.0</v>
      </c>
      <c r="G55" s="317">
        <v>3.0</v>
      </c>
      <c r="H55" s="318"/>
      <c r="I55" s="318"/>
      <c r="J55" s="318"/>
      <c r="K55" s="318"/>
      <c r="L55" s="318"/>
      <c r="M55" s="360"/>
      <c r="N55" s="318"/>
      <c r="O55" s="318"/>
      <c r="P55" s="369"/>
      <c r="Q55" s="318"/>
      <c r="R55" s="318"/>
      <c r="S55" s="318"/>
      <c r="T55" s="318"/>
      <c r="U55" s="318"/>
      <c r="V55" s="318"/>
      <c r="W55" s="318"/>
      <c r="X55" s="318"/>
      <c r="Y55" s="318"/>
      <c r="Z55" s="318"/>
      <c r="AA55" s="318"/>
      <c r="AB55" s="318"/>
      <c r="AC55" s="318"/>
      <c r="AD55" s="419"/>
      <c r="AE55" s="318"/>
      <c r="AF55" s="318"/>
      <c r="AG55" s="318"/>
      <c r="AH55" s="318"/>
      <c r="AI55" s="338"/>
      <c r="AJ55" s="465"/>
      <c r="AK55" s="327"/>
      <c r="AL55" s="327"/>
      <c r="AM55" s="327"/>
      <c r="AN55" s="327"/>
      <c r="AO55" s="366"/>
      <c r="AP55" s="366"/>
      <c r="AQ55" s="366"/>
      <c r="AR55" s="366"/>
      <c r="AS55" s="366"/>
    </row>
    <row r="56" ht="15.75" customHeight="1">
      <c r="A56" s="406"/>
      <c r="B56" s="470">
        <v>25.0</v>
      </c>
      <c r="C56" s="334"/>
      <c r="D56" s="471" t="s">
        <v>164</v>
      </c>
      <c r="E56" s="443">
        <v>2.0</v>
      </c>
      <c r="F56" s="468">
        <v>6.0</v>
      </c>
      <c r="G56" s="317">
        <v>4.0</v>
      </c>
      <c r="H56" s="318"/>
      <c r="I56" s="318"/>
      <c r="J56" s="318"/>
      <c r="K56" s="318"/>
      <c r="L56" s="355"/>
      <c r="M56" s="360"/>
      <c r="N56" s="318"/>
      <c r="O56" s="318"/>
      <c r="P56" s="318"/>
      <c r="Q56" s="318"/>
      <c r="R56" s="472"/>
      <c r="S56" s="318"/>
      <c r="T56" s="318"/>
      <c r="U56" s="318"/>
      <c r="V56" s="318"/>
      <c r="W56" s="318"/>
      <c r="X56" s="318"/>
      <c r="Y56" s="318"/>
      <c r="Z56" s="318"/>
      <c r="AA56" s="355"/>
      <c r="AB56" s="355"/>
      <c r="AC56" s="355"/>
      <c r="AD56" s="419"/>
      <c r="AE56" s="318"/>
      <c r="AF56" s="318"/>
      <c r="AG56" s="318"/>
      <c r="AH56" s="355"/>
      <c r="AI56" s="338"/>
      <c r="AJ56" s="465"/>
      <c r="AK56" s="284"/>
      <c r="AL56" s="284"/>
      <c r="AM56" s="284"/>
      <c r="AN56" s="284"/>
      <c r="AO56" s="366"/>
      <c r="AP56" s="366"/>
      <c r="AQ56" s="366"/>
      <c r="AR56" s="366"/>
      <c r="AS56" s="366"/>
    </row>
    <row r="57">
      <c r="A57" s="332"/>
      <c r="B57" s="470">
        <v>26.0</v>
      </c>
      <c r="C57" s="334"/>
      <c r="D57" s="471" t="s">
        <v>181</v>
      </c>
      <c r="E57" s="443">
        <v>2.0</v>
      </c>
      <c r="F57" s="444"/>
      <c r="G57" s="317">
        <v>2.0</v>
      </c>
      <c r="H57" s="318"/>
      <c r="I57" s="318"/>
      <c r="J57" s="318"/>
      <c r="K57" s="318"/>
      <c r="L57" s="355"/>
      <c r="M57" s="360"/>
      <c r="N57" s="318"/>
      <c r="O57" s="464"/>
      <c r="P57" s="355"/>
      <c r="Q57" s="355"/>
      <c r="R57" s="355"/>
      <c r="S57" s="318"/>
      <c r="T57" s="318"/>
      <c r="U57" s="318"/>
      <c r="V57" s="318"/>
      <c r="W57" s="355"/>
      <c r="X57" s="355"/>
      <c r="Y57" s="355"/>
      <c r="Z57" s="355"/>
      <c r="AA57" s="355"/>
      <c r="AB57" s="355"/>
      <c r="AC57" s="355"/>
      <c r="AD57" s="419"/>
      <c r="AE57" s="318"/>
      <c r="AF57" s="318"/>
      <c r="AG57" s="369"/>
      <c r="AH57" s="355"/>
      <c r="AI57" s="338"/>
      <c r="AJ57" s="465"/>
      <c r="AK57" s="284"/>
      <c r="AL57" s="284"/>
      <c r="AM57" s="272"/>
      <c r="AN57" s="284"/>
      <c r="AO57" s="366"/>
      <c r="AP57" s="366"/>
      <c r="AQ57" s="366"/>
      <c r="AR57" s="366"/>
      <c r="AS57" s="366"/>
    </row>
    <row r="58">
      <c r="A58" s="473"/>
      <c r="B58" s="470">
        <v>27.0</v>
      </c>
      <c r="C58" s="334"/>
      <c r="D58" s="471" t="s">
        <v>196</v>
      </c>
      <c r="E58" s="443">
        <v>2.0</v>
      </c>
      <c r="F58" s="468">
        <v>3.0</v>
      </c>
      <c r="G58" s="317">
        <v>3.0</v>
      </c>
      <c r="H58" s="318"/>
      <c r="I58" s="318"/>
      <c r="J58" s="318"/>
      <c r="K58" s="318"/>
      <c r="L58" s="355"/>
      <c r="M58" s="360"/>
      <c r="N58" s="323"/>
      <c r="O58" s="318"/>
      <c r="P58" s="355"/>
      <c r="Q58" s="355"/>
      <c r="R58" s="355"/>
      <c r="S58" s="318"/>
      <c r="T58" s="318"/>
      <c r="U58" s="318"/>
      <c r="V58" s="318"/>
      <c r="W58" s="355"/>
      <c r="X58" s="355"/>
      <c r="Y58" s="355"/>
      <c r="Z58" s="355"/>
      <c r="AA58" s="355"/>
      <c r="AB58" s="355"/>
      <c r="AC58" s="355"/>
      <c r="AD58" s="419"/>
      <c r="AE58" s="318"/>
      <c r="AF58" s="318"/>
      <c r="AG58" s="318"/>
      <c r="AH58" s="355"/>
      <c r="AI58" s="338"/>
      <c r="AJ58" s="465"/>
      <c r="AK58" s="284"/>
      <c r="AL58" s="284"/>
      <c r="AM58" s="284"/>
      <c r="AN58" s="284"/>
      <c r="AO58" s="327"/>
      <c r="AP58" s="327"/>
      <c r="AQ58" s="327"/>
      <c r="AR58" s="327"/>
      <c r="AS58" s="327"/>
    </row>
    <row r="59">
      <c r="A59" s="473"/>
      <c r="B59" s="470"/>
      <c r="C59" s="334"/>
      <c r="D59" s="471"/>
      <c r="E59" s="443"/>
      <c r="F59" s="468"/>
      <c r="G59" s="317"/>
      <c r="H59" s="318"/>
      <c r="I59" s="318"/>
      <c r="J59" s="318"/>
      <c r="K59" s="318"/>
      <c r="L59" s="355"/>
      <c r="M59" s="360"/>
      <c r="N59" s="323" t="s">
        <v>424</v>
      </c>
      <c r="O59" s="318"/>
      <c r="P59" s="355"/>
      <c r="Q59" s="355"/>
      <c r="R59" s="355"/>
      <c r="S59" s="318"/>
      <c r="T59" s="318"/>
      <c r="U59" s="318"/>
      <c r="V59" s="318"/>
      <c r="W59" s="355"/>
      <c r="X59" s="355"/>
      <c r="Y59" s="355"/>
      <c r="Z59" s="355"/>
      <c r="AA59" s="355"/>
      <c r="AB59" s="355"/>
      <c r="AC59" s="355"/>
      <c r="AD59" s="419"/>
      <c r="AE59" s="318"/>
      <c r="AF59" s="318"/>
      <c r="AG59" s="318"/>
      <c r="AH59" s="355"/>
      <c r="AI59" s="338"/>
      <c r="AJ59" s="465"/>
      <c r="AK59" s="284"/>
      <c r="AL59" s="284"/>
      <c r="AM59" s="284"/>
      <c r="AN59" s="284"/>
      <c r="AO59" s="327"/>
      <c r="AP59" s="327"/>
      <c r="AQ59" s="327"/>
      <c r="AR59" s="327"/>
      <c r="AS59" s="327"/>
    </row>
    <row r="60" ht="15.75" customHeight="1">
      <c r="A60" s="69"/>
      <c r="B60" s="474"/>
      <c r="C60" s="334"/>
      <c r="D60" s="174"/>
      <c r="E60" s="475"/>
      <c r="F60" s="165"/>
      <c r="G60" s="476"/>
      <c r="H60" s="318"/>
      <c r="I60" s="318"/>
      <c r="J60" s="318"/>
      <c r="K60" s="318"/>
      <c r="L60" s="355"/>
      <c r="M60" s="477"/>
      <c r="N60" s="478"/>
      <c r="O60" s="369"/>
      <c r="P60" s="445" t="s">
        <v>424</v>
      </c>
      <c r="Q60" s="355"/>
      <c r="R60" s="355"/>
      <c r="S60" s="318"/>
      <c r="T60" s="318"/>
      <c r="U60" s="318"/>
      <c r="V60" s="318"/>
      <c r="W60" s="355"/>
      <c r="X60" s="355"/>
      <c r="Y60" s="355"/>
      <c r="Z60" s="355"/>
      <c r="AA60" s="355"/>
      <c r="AB60" s="355"/>
      <c r="AC60" s="355"/>
      <c r="AD60" s="419"/>
      <c r="AE60" s="318"/>
      <c r="AF60" s="318"/>
      <c r="AG60" s="318"/>
      <c r="AH60" s="355"/>
      <c r="AI60" s="338"/>
      <c r="AJ60" s="465"/>
      <c r="AK60" s="284"/>
      <c r="AL60" s="284"/>
      <c r="AM60" s="284"/>
      <c r="AN60" s="327"/>
      <c r="AO60" s="327"/>
      <c r="AP60" s="327"/>
      <c r="AQ60" s="327"/>
      <c r="AR60" s="327"/>
      <c r="AS60" s="327"/>
    </row>
    <row r="61" ht="15.75" customHeight="1">
      <c r="A61" s="69"/>
      <c r="B61" s="474"/>
      <c r="C61" s="334"/>
      <c r="D61" s="174"/>
      <c r="E61" s="475"/>
      <c r="F61" s="165"/>
      <c r="G61" s="476"/>
      <c r="H61" s="369"/>
      <c r="I61" s="318"/>
      <c r="J61" s="318"/>
      <c r="K61" s="318"/>
      <c r="L61" s="355"/>
      <c r="M61" s="479"/>
      <c r="N61" s="480"/>
      <c r="O61" s="318"/>
      <c r="P61" s="445" t="s">
        <v>424</v>
      </c>
      <c r="Q61" s="355"/>
      <c r="R61" s="355"/>
      <c r="S61" s="318"/>
      <c r="T61" s="318"/>
      <c r="U61" s="318"/>
      <c r="V61" s="318"/>
      <c r="W61" s="355"/>
      <c r="X61" s="355"/>
      <c r="Y61" s="355"/>
      <c r="Z61" s="355"/>
      <c r="AA61" s="355"/>
      <c r="AB61" s="355"/>
      <c r="AC61" s="411"/>
      <c r="AD61" s="419"/>
      <c r="AE61" s="318"/>
      <c r="AF61" s="318"/>
      <c r="AG61" s="318"/>
      <c r="AH61" s="355"/>
      <c r="AI61" s="338"/>
      <c r="AJ61" s="465"/>
      <c r="AK61" s="284"/>
      <c r="AL61" s="284"/>
      <c r="AM61" s="284"/>
      <c r="AN61" s="327"/>
      <c r="AO61" s="327"/>
      <c r="AP61" s="327"/>
      <c r="AQ61" s="327"/>
      <c r="AR61" s="327"/>
      <c r="AS61" s="327"/>
    </row>
    <row r="62" ht="15.75" customHeight="1">
      <c r="A62" s="69"/>
      <c r="B62" s="474"/>
      <c r="C62" s="334"/>
      <c r="D62" s="174"/>
      <c r="E62" s="481"/>
      <c r="F62" s="165"/>
      <c r="G62" s="476"/>
      <c r="H62" s="369"/>
      <c r="I62" s="318"/>
      <c r="J62" s="318"/>
      <c r="K62" s="318"/>
      <c r="L62" s="355"/>
      <c r="M62" s="479"/>
      <c r="N62" s="480"/>
      <c r="O62" s="318"/>
      <c r="P62" s="445"/>
      <c r="Q62" s="355"/>
      <c r="R62" s="355"/>
      <c r="S62" s="318"/>
      <c r="T62" s="318"/>
      <c r="U62" s="318"/>
      <c r="V62" s="318"/>
      <c r="W62" s="355"/>
      <c r="X62" s="355"/>
      <c r="Y62" s="355"/>
      <c r="Z62" s="355"/>
      <c r="AA62" s="355"/>
      <c r="AB62" s="355"/>
      <c r="AC62" s="411"/>
      <c r="AD62" s="419"/>
      <c r="AE62" s="318"/>
      <c r="AF62" s="318"/>
      <c r="AG62" s="318"/>
      <c r="AH62" s="355"/>
      <c r="AI62" s="338"/>
      <c r="AJ62" s="465"/>
      <c r="AK62" s="284"/>
      <c r="AL62" s="284"/>
      <c r="AM62" s="284"/>
      <c r="AN62" s="327"/>
      <c r="AO62" s="327"/>
      <c r="AP62" s="327"/>
      <c r="AQ62" s="327"/>
      <c r="AR62" s="327"/>
      <c r="AS62" s="327"/>
    </row>
    <row r="63" ht="15.75" customHeight="1">
      <c r="A63" s="1"/>
      <c r="B63" s="482"/>
      <c r="C63" s="334"/>
      <c r="D63" s="193"/>
      <c r="E63" s="481"/>
      <c r="F63" s="165"/>
      <c r="G63" s="476"/>
      <c r="H63" s="318"/>
      <c r="I63" s="318"/>
      <c r="J63" s="318"/>
      <c r="K63" s="318"/>
      <c r="L63" s="355"/>
      <c r="M63" s="483"/>
      <c r="N63" s="478"/>
      <c r="O63" s="318"/>
      <c r="P63" s="355"/>
      <c r="Q63" s="355"/>
      <c r="R63" s="355"/>
      <c r="S63" s="318"/>
      <c r="T63" s="318"/>
      <c r="U63" s="318"/>
      <c r="V63" s="318"/>
      <c r="W63" s="355"/>
      <c r="X63" s="355"/>
      <c r="Y63" s="355"/>
      <c r="Z63" s="284"/>
      <c r="AA63" s="355"/>
      <c r="AB63" s="355"/>
      <c r="AC63" s="355"/>
      <c r="AD63" s="419"/>
      <c r="AE63" s="318"/>
      <c r="AF63" s="318"/>
      <c r="AG63" s="318"/>
      <c r="AH63" s="355"/>
      <c r="AI63" s="338"/>
      <c r="AJ63" s="465"/>
      <c r="AK63" s="284"/>
      <c r="AL63" s="284"/>
      <c r="AM63" s="284"/>
      <c r="AN63" s="327"/>
      <c r="AO63" s="327"/>
      <c r="AP63" s="327"/>
      <c r="AQ63" s="327"/>
      <c r="AR63" s="327"/>
      <c r="AS63" s="327"/>
    </row>
    <row r="64" ht="15.75" customHeight="1">
      <c r="A64" s="1"/>
      <c r="B64" s="482"/>
      <c r="C64" s="334"/>
      <c r="D64" s="439"/>
      <c r="E64" s="481"/>
      <c r="F64" s="165"/>
      <c r="G64" s="476"/>
      <c r="H64" s="318"/>
      <c r="I64" s="318"/>
      <c r="J64" s="318"/>
      <c r="K64" s="318"/>
      <c r="L64" s="355"/>
      <c r="M64" s="360"/>
      <c r="N64" s="318"/>
      <c r="O64" s="318"/>
      <c r="P64" s="355"/>
      <c r="Q64" s="355"/>
      <c r="R64" s="284"/>
      <c r="S64" s="318"/>
      <c r="T64" s="318"/>
      <c r="U64" s="318"/>
      <c r="V64" s="318"/>
      <c r="W64" s="355"/>
      <c r="X64" s="355"/>
      <c r="Y64" s="355"/>
      <c r="Z64" s="355"/>
      <c r="AA64" s="355"/>
      <c r="AB64" s="355"/>
      <c r="AC64" s="355"/>
      <c r="AD64" s="419"/>
      <c r="AE64" s="318"/>
      <c r="AF64" s="318"/>
      <c r="AG64" s="318"/>
      <c r="AH64" s="355"/>
      <c r="AI64" s="338"/>
      <c r="AJ64" s="465"/>
      <c r="AK64" s="284"/>
      <c r="AL64" s="284"/>
      <c r="AM64" s="284"/>
      <c r="AN64" s="327"/>
      <c r="AO64" s="327"/>
      <c r="AP64" s="327"/>
      <c r="AQ64" s="327"/>
      <c r="AR64" s="327"/>
      <c r="AS64" s="327"/>
    </row>
    <row r="65" ht="15.75" customHeight="1">
      <c r="A65" s="1"/>
      <c r="B65" s="482"/>
      <c r="C65" s="334"/>
      <c r="D65" s="439"/>
      <c r="E65" s="410"/>
      <c r="F65" s="165"/>
      <c r="G65" s="476"/>
      <c r="H65" s="318"/>
      <c r="I65" s="318"/>
      <c r="J65" s="318"/>
      <c r="K65" s="318"/>
      <c r="L65" s="355"/>
      <c r="M65" s="360"/>
      <c r="N65" s="318"/>
      <c r="O65" s="318"/>
      <c r="P65" s="355"/>
      <c r="Q65" s="355"/>
      <c r="R65" s="284"/>
      <c r="S65" s="318"/>
      <c r="T65" s="318"/>
      <c r="U65" s="318"/>
      <c r="V65" s="318"/>
      <c r="W65" s="355"/>
      <c r="X65" s="355"/>
      <c r="Y65" s="355"/>
      <c r="Z65" s="355"/>
      <c r="AA65" s="355"/>
      <c r="AB65" s="355"/>
      <c r="AC65" s="355"/>
      <c r="AD65" s="419"/>
      <c r="AE65" s="318"/>
      <c r="AF65" s="318"/>
      <c r="AG65" s="318"/>
      <c r="AH65" s="355"/>
      <c r="AI65" s="338"/>
      <c r="AJ65" s="465"/>
      <c r="AK65" s="284"/>
      <c r="AL65" s="284"/>
      <c r="AM65" s="284"/>
      <c r="AN65" s="327"/>
      <c r="AO65" s="327"/>
      <c r="AP65" s="327"/>
      <c r="AQ65" s="327"/>
      <c r="AR65" s="327"/>
      <c r="AS65" s="327"/>
    </row>
    <row r="66" ht="15.75" customHeight="1">
      <c r="A66" s="1"/>
      <c r="B66" s="482"/>
      <c r="C66" s="334"/>
      <c r="D66" s="439"/>
      <c r="E66" s="410"/>
      <c r="F66" s="165"/>
      <c r="G66" s="476"/>
      <c r="H66" s="318"/>
      <c r="I66" s="318"/>
      <c r="J66" s="318"/>
      <c r="K66" s="318"/>
      <c r="L66" s="355"/>
      <c r="M66" s="360"/>
      <c r="N66" s="318"/>
      <c r="O66" s="318"/>
      <c r="P66" s="355"/>
      <c r="Q66" s="355"/>
      <c r="R66" s="411"/>
      <c r="S66" s="318"/>
      <c r="T66" s="318"/>
      <c r="U66" s="318"/>
      <c r="V66" s="318"/>
      <c r="W66" s="355"/>
      <c r="X66" s="355"/>
      <c r="Y66" s="355"/>
      <c r="Z66" s="355"/>
      <c r="AA66" s="355"/>
      <c r="AB66" s="369"/>
      <c r="AC66" s="355"/>
      <c r="AD66" s="419"/>
      <c r="AE66" s="318"/>
      <c r="AF66" s="318"/>
      <c r="AG66" s="318"/>
      <c r="AH66" s="355"/>
      <c r="AI66" s="338"/>
      <c r="AJ66" s="465"/>
      <c r="AK66" s="284"/>
      <c r="AL66" s="284"/>
      <c r="AM66" s="284"/>
      <c r="AN66" s="327"/>
      <c r="AO66" s="327"/>
      <c r="AP66" s="327"/>
      <c r="AQ66" s="327"/>
      <c r="AR66" s="327"/>
      <c r="AS66" s="327"/>
    </row>
    <row r="67" ht="15.75" customHeight="1">
      <c r="A67" s="1"/>
      <c r="B67" s="482"/>
      <c r="C67" s="334"/>
      <c r="D67" s="484"/>
      <c r="E67" s="410"/>
      <c r="F67" s="165"/>
      <c r="G67" s="476"/>
      <c r="H67" s="318"/>
      <c r="I67" s="318"/>
      <c r="J67" s="318"/>
      <c r="K67" s="318"/>
      <c r="L67" s="355"/>
      <c r="M67" s="360"/>
      <c r="N67" s="318"/>
      <c r="O67" s="318"/>
      <c r="P67" s="355"/>
      <c r="Q67" s="355"/>
      <c r="R67" s="411"/>
      <c r="S67" s="318"/>
      <c r="T67" s="318"/>
      <c r="U67" s="318"/>
      <c r="V67" s="318"/>
      <c r="W67" s="355"/>
      <c r="X67" s="355"/>
      <c r="Y67" s="355"/>
      <c r="Z67" s="355"/>
      <c r="AA67" s="355"/>
      <c r="AB67" s="369"/>
      <c r="AC67" s="355"/>
      <c r="AD67" s="419"/>
      <c r="AE67" s="318"/>
      <c r="AF67" s="318"/>
      <c r="AG67" s="318"/>
      <c r="AH67" s="355"/>
      <c r="AI67" s="338"/>
      <c r="AJ67" s="465"/>
      <c r="AK67" s="284"/>
      <c r="AL67" s="284"/>
      <c r="AM67" s="284"/>
      <c r="AN67" s="327"/>
      <c r="AO67" s="327"/>
      <c r="AP67" s="327"/>
      <c r="AQ67" s="327"/>
      <c r="AR67" s="327"/>
      <c r="AS67" s="327"/>
    </row>
    <row r="68" ht="15.75" customHeight="1">
      <c r="A68" s="1"/>
      <c r="B68" s="482"/>
      <c r="C68" s="334"/>
      <c r="D68" s="485"/>
      <c r="E68" s="410"/>
      <c r="F68" s="165"/>
      <c r="G68" s="476"/>
      <c r="H68" s="318"/>
      <c r="I68" s="318"/>
      <c r="J68" s="318"/>
      <c r="K68" s="318"/>
      <c r="L68" s="355"/>
      <c r="M68" s="360"/>
      <c r="N68" s="318"/>
      <c r="O68" s="369"/>
      <c r="P68" s="355"/>
      <c r="Q68" s="355"/>
      <c r="R68" s="411"/>
      <c r="S68" s="318"/>
      <c r="T68" s="318"/>
      <c r="U68" s="318"/>
      <c r="V68" s="318"/>
      <c r="W68" s="355"/>
      <c r="X68" s="355"/>
      <c r="Y68" s="355"/>
      <c r="Z68" s="355"/>
      <c r="AA68" s="355"/>
      <c r="AB68" s="369"/>
      <c r="AC68" s="355"/>
      <c r="AD68" s="419"/>
      <c r="AE68" s="318"/>
      <c r="AF68" s="318"/>
      <c r="AG68" s="318"/>
      <c r="AH68" s="355"/>
      <c r="AI68" s="338"/>
      <c r="AJ68" s="465"/>
      <c r="AK68" s="284"/>
      <c r="AL68" s="284"/>
      <c r="AM68" s="284"/>
      <c r="AN68" s="327"/>
      <c r="AO68" s="327"/>
      <c r="AP68" s="327"/>
      <c r="AQ68" s="327"/>
      <c r="AR68" s="327"/>
      <c r="AS68" s="327"/>
    </row>
    <row r="69" ht="15.75" customHeight="1">
      <c r="A69" s="486"/>
      <c r="B69" s="487" t="s">
        <v>397</v>
      </c>
      <c r="C69" s="379"/>
      <c r="D69" s="467"/>
      <c r="E69" s="381">
        <f>SUM(E32:E68)</f>
        <v>50</v>
      </c>
      <c r="F69" s="488"/>
      <c r="G69" s="489"/>
      <c r="H69" s="490"/>
      <c r="I69" s="490"/>
      <c r="J69" s="490"/>
      <c r="K69" s="490"/>
      <c r="L69" s="490"/>
      <c r="M69" s="490"/>
      <c r="N69" s="490"/>
      <c r="O69" s="490"/>
      <c r="P69" s="490"/>
      <c r="Q69" s="491"/>
      <c r="R69" s="169"/>
      <c r="S69" s="490"/>
      <c r="T69" s="490"/>
      <c r="U69" s="490"/>
      <c r="V69" s="490"/>
      <c r="W69" s="490"/>
      <c r="X69" s="490"/>
      <c r="Y69" s="490"/>
      <c r="Z69" s="490"/>
      <c r="AA69" s="490"/>
      <c r="AB69" s="490"/>
      <c r="AC69" s="490"/>
      <c r="AD69" s="492"/>
      <c r="AE69" s="490"/>
      <c r="AF69" s="490"/>
      <c r="AG69" s="490"/>
      <c r="AH69" s="490"/>
      <c r="AI69" s="493"/>
      <c r="AJ69" s="494"/>
      <c r="AK69" s="493"/>
      <c r="AL69" s="493"/>
      <c r="AM69" s="495"/>
      <c r="AN69" s="493"/>
      <c r="AO69" s="493"/>
      <c r="AP69" s="493"/>
      <c r="AQ69" s="493"/>
      <c r="AR69" s="493"/>
      <c r="AS69" s="493"/>
    </row>
  </sheetData>
  <mergeCells count="83"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3:C53"/>
    <mergeCell ref="B54:C54"/>
    <mergeCell ref="B62:C62"/>
    <mergeCell ref="B63:C63"/>
    <mergeCell ref="B64:C64"/>
    <mergeCell ref="B65:C65"/>
    <mergeCell ref="B66:C66"/>
    <mergeCell ref="B67:C67"/>
    <mergeCell ref="B68:C68"/>
    <mergeCell ref="B69:C69"/>
    <mergeCell ref="B55:C55"/>
    <mergeCell ref="B56:C56"/>
    <mergeCell ref="B57:C57"/>
    <mergeCell ref="B58:C58"/>
    <mergeCell ref="B59:C59"/>
    <mergeCell ref="B60:C60"/>
    <mergeCell ref="B61:C61"/>
    <mergeCell ref="X51:Y51"/>
    <mergeCell ref="X52:Y52"/>
    <mergeCell ref="X42:AA44"/>
    <mergeCell ref="X45:Y45"/>
    <mergeCell ref="X46:Y46"/>
    <mergeCell ref="X47:Y47"/>
    <mergeCell ref="X48:Y48"/>
    <mergeCell ref="X49:Y49"/>
    <mergeCell ref="X50:Y50"/>
    <mergeCell ref="B1:W1"/>
    <mergeCell ref="B2:K2"/>
    <mergeCell ref="M2:V2"/>
    <mergeCell ref="X2:AG2"/>
    <mergeCell ref="AI2:AR2"/>
    <mergeCell ref="F29:AB29"/>
    <mergeCell ref="AC30:AS30"/>
    <mergeCell ref="F30:AB30"/>
    <mergeCell ref="B31:E31"/>
    <mergeCell ref="M31:N31"/>
    <mergeCell ref="X31:Y31"/>
    <mergeCell ref="B32:C32"/>
    <mergeCell ref="X32:Y32"/>
    <mergeCell ref="X33:Y33"/>
    <mergeCell ref="M32:N32"/>
    <mergeCell ref="M33:N33"/>
    <mergeCell ref="M34:N34"/>
    <mergeCell ref="M35:N35"/>
    <mergeCell ref="M36:N36"/>
    <mergeCell ref="M37:N37"/>
    <mergeCell ref="M38:N38"/>
    <mergeCell ref="B33:C33"/>
    <mergeCell ref="B34:C34"/>
    <mergeCell ref="B35:C35"/>
    <mergeCell ref="B36:C36"/>
    <mergeCell ref="B37:C37"/>
    <mergeCell ref="B38:C38"/>
    <mergeCell ref="B39:C39"/>
    <mergeCell ref="X34:Y34"/>
    <mergeCell ref="X35:Y35"/>
    <mergeCell ref="X36:Y36"/>
    <mergeCell ref="X37:Y37"/>
    <mergeCell ref="X38:Y38"/>
    <mergeCell ref="AB42:AB43"/>
    <mergeCell ref="AC42:AC43"/>
    <mergeCell ref="M51:O52"/>
    <mergeCell ref="P51:P52"/>
    <mergeCell ref="B52:C52"/>
    <mergeCell ref="M39:N39"/>
    <mergeCell ref="M40:N40"/>
    <mergeCell ref="M41:N41"/>
    <mergeCell ref="M42:N42"/>
    <mergeCell ref="M43:N43"/>
    <mergeCell ref="M44:N44"/>
    <mergeCell ref="M45:N45"/>
  </mergeCells>
  <conditionalFormatting sqref="H32 I32:I34 J32:L32 S32:W32 H34 L34 N46:N50 N53">
    <cfRule type="notContainsBlanks" dxfId="0" priority="1">
      <formula>LEN(TRIM(H32))&gt;0</formula>
    </cfRule>
  </conditionalFormatting>
  <hyperlinks>
    <hyperlink r:id="rId4" location="gid=0" ref="F30"/>
    <hyperlink r:id="rId5" location="gid=0" ref="AC30"/>
  </hyperlinks>
  <printOptions gridLines="1" verticalCentered="1"/>
  <pageMargins bottom="0.75" footer="0.0" header="0.0" left="0.7" right="0.7" top="0.75"/>
  <pageSetup paperSize="9" cellComments="atEnd" orientation="landscape" pageOrder="overThenDown"/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16.57"/>
    <col customWidth="1" min="3" max="6" width="14.43"/>
    <col customWidth="1" min="7" max="7" width="11.14"/>
    <col customWidth="1" min="8" max="8" width="7.29"/>
    <col customWidth="1" min="9" max="9" width="4.43"/>
    <col customWidth="1" min="10" max="10" width="20.0"/>
    <col customWidth="1" min="11" max="15" width="14.43"/>
  </cols>
  <sheetData>
    <row r="1">
      <c r="A1" s="496"/>
      <c r="B1" s="497" t="s">
        <v>439</v>
      </c>
    </row>
    <row r="2">
      <c r="A2" s="496"/>
      <c r="B2" s="498" t="s">
        <v>440</v>
      </c>
    </row>
    <row r="3">
      <c r="A3" s="496"/>
    </row>
    <row r="4">
      <c r="A4" s="496"/>
      <c r="B4" s="499"/>
      <c r="C4" s="499"/>
      <c r="D4" s="499"/>
      <c r="E4" s="499"/>
      <c r="F4" s="499"/>
      <c r="G4" s="499"/>
      <c r="H4" s="499"/>
      <c r="I4" s="499"/>
      <c r="J4" s="499"/>
      <c r="K4" s="499"/>
      <c r="L4" s="499"/>
      <c r="M4" s="499"/>
      <c r="N4" s="499"/>
      <c r="O4" s="499"/>
    </row>
    <row r="5" ht="15.75" customHeight="1">
      <c r="A5" s="500"/>
      <c r="B5" s="501">
        <v>46169.0</v>
      </c>
      <c r="C5" s="502"/>
      <c r="D5" s="502"/>
      <c r="E5" s="502"/>
      <c r="F5" s="502"/>
      <c r="G5" s="334"/>
      <c r="H5" s="503"/>
      <c r="I5" s="499"/>
      <c r="J5" s="504"/>
      <c r="K5" s="505"/>
      <c r="L5" s="506"/>
      <c r="M5" s="506"/>
      <c r="N5" s="506"/>
      <c r="O5" s="504"/>
    </row>
    <row r="6" ht="15.75" customHeight="1">
      <c r="A6" s="507"/>
      <c r="B6" s="508" t="s">
        <v>441</v>
      </c>
      <c r="C6" s="502"/>
      <c r="D6" s="502"/>
      <c r="E6" s="502"/>
      <c r="F6" s="502"/>
      <c r="G6" s="334"/>
      <c r="H6" s="503"/>
      <c r="I6" s="509"/>
      <c r="J6" s="510" t="s">
        <v>442</v>
      </c>
      <c r="K6" s="502"/>
      <c r="L6" s="502"/>
      <c r="M6" s="502"/>
      <c r="N6" s="502"/>
      <c r="O6" s="334"/>
    </row>
    <row r="7" ht="15.75" customHeight="1">
      <c r="A7" s="500"/>
      <c r="B7" s="511" t="s">
        <v>443</v>
      </c>
      <c r="C7" s="512" t="s">
        <v>444</v>
      </c>
      <c r="D7" s="511" t="s">
        <v>445</v>
      </c>
      <c r="E7" s="511" t="s">
        <v>446</v>
      </c>
      <c r="F7" s="511" t="s">
        <v>447</v>
      </c>
      <c r="G7" s="513" t="s">
        <v>448</v>
      </c>
      <c r="H7" s="503"/>
      <c r="I7" s="499"/>
      <c r="J7" s="514" t="s">
        <v>443</v>
      </c>
      <c r="K7" s="515" t="s">
        <v>444</v>
      </c>
      <c r="L7" s="516" t="s">
        <v>445</v>
      </c>
      <c r="M7" s="516" t="s">
        <v>446</v>
      </c>
      <c r="N7" s="516" t="s">
        <v>447</v>
      </c>
      <c r="O7" s="516" t="s">
        <v>448</v>
      </c>
    </row>
    <row r="8" ht="15.75" customHeight="1">
      <c r="A8" s="517">
        <v>1.0</v>
      </c>
      <c r="B8" s="518" t="s">
        <v>130</v>
      </c>
      <c r="C8" s="519">
        <v>100.0</v>
      </c>
      <c r="D8" s="520">
        <v>0.0</v>
      </c>
      <c r="E8" s="520">
        <v>0.0</v>
      </c>
      <c r="F8" s="520">
        <v>1.0</v>
      </c>
      <c r="G8" s="521">
        <v>1.0</v>
      </c>
      <c r="H8" s="503"/>
      <c r="I8" s="522" t="s">
        <v>15</v>
      </c>
      <c r="J8" s="518" t="s">
        <v>18</v>
      </c>
      <c r="K8" s="519">
        <v>100.0</v>
      </c>
      <c r="L8" s="520">
        <v>0.0</v>
      </c>
      <c r="M8" s="520">
        <v>0.0</v>
      </c>
      <c r="N8" s="523">
        <v>1.0</v>
      </c>
      <c r="O8" s="521">
        <v>1.0</v>
      </c>
    </row>
    <row r="9" ht="15.75" customHeight="1">
      <c r="A9" s="517">
        <v>2.0</v>
      </c>
      <c r="B9" s="524" t="s">
        <v>27</v>
      </c>
      <c r="C9" s="525">
        <v>100.0</v>
      </c>
      <c r="D9" s="526">
        <v>0.0</v>
      </c>
      <c r="E9" s="526">
        <v>0.0</v>
      </c>
      <c r="F9" s="526">
        <v>1.0</v>
      </c>
      <c r="G9" s="527">
        <v>1.0</v>
      </c>
      <c r="H9" s="503"/>
      <c r="I9" s="522" t="s">
        <v>34</v>
      </c>
      <c r="J9" s="524" t="s">
        <v>402</v>
      </c>
      <c r="K9" s="528">
        <v>100.0</v>
      </c>
      <c r="L9" s="529">
        <v>0.0</v>
      </c>
      <c r="M9" s="529">
        <v>0.0</v>
      </c>
      <c r="N9" s="530">
        <v>1.0</v>
      </c>
      <c r="O9" s="531">
        <v>1.0</v>
      </c>
    </row>
    <row r="10" ht="15.75" customHeight="1">
      <c r="A10" s="517">
        <v>3.0</v>
      </c>
      <c r="B10" s="524" t="s">
        <v>208</v>
      </c>
      <c r="C10" s="519">
        <v>86.96</v>
      </c>
      <c r="D10" s="520">
        <v>0.0435</v>
      </c>
      <c r="E10" s="520">
        <v>0.0435</v>
      </c>
      <c r="F10" s="520">
        <v>0.913</v>
      </c>
      <c r="G10" s="521">
        <v>3.0</v>
      </c>
      <c r="H10" s="532"/>
      <c r="I10" s="522" t="s">
        <v>52</v>
      </c>
      <c r="J10" s="524" t="s">
        <v>61</v>
      </c>
      <c r="K10" s="519">
        <v>90.91</v>
      </c>
      <c r="L10" s="520">
        <v>0.0</v>
      </c>
      <c r="M10" s="520">
        <v>0.0909</v>
      </c>
      <c r="N10" s="523">
        <v>0.9091</v>
      </c>
      <c r="O10" s="521">
        <v>3.0</v>
      </c>
    </row>
    <row r="11" ht="15.75" customHeight="1">
      <c r="A11" s="517">
        <v>4.0</v>
      </c>
      <c r="B11" s="524" t="s">
        <v>171</v>
      </c>
      <c r="C11" s="525">
        <v>86.36</v>
      </c>
      <c r="D11" s="526">
        <v>0.0227</v>
      </c>
      <c r="E11" s="526">
        <v>0.0909</v>
      </c>
      <c r="F11" s="526">
        <v>0.8864</v>
      </c>
      <c r="G11" s="527">
        <v>4.0</v>
      </c>
      <c r="H11" s="532"/>
      <c r="I11" s="522" t="s">
        <v>65</v>
      </c>
      <c r="J11" s="533" t="s">
        <v>37</v>
      </c>
      <c r="K11" s="528">
        <v>76.92</v>
      </c>
      <c r="L11" s="529">
        <v>0.0</v>
      </c>
      <c r="M11" s="529">
        <v>0.2308</v>
      </c>
      <c r="N11" s="530">
        <v>0.7692</v>
      </c>
      <c r="O11" s="531">
        <v>4.0</v>
      </c>
    </row>
    <row r="12" ht="15.75" customHeight="1">
      <c r="A12" s="517">
        <v>5.0</v>
      </c>
      <c r="B12" s="524" t="s">
        <v>176</v>
      </c>
      <c r="C12" s="519">
        <v>85.0</v>
      </c>
      <c r="D12" s="520">
        <v>0.0</v>
      </c>
      <c r="E12" s="520">
        <v>0.15</v>
      </c>
      <c r="F12" s="520">
        <v>0.85</v>
      </c>
      <c r="G12" s="521">
        <v>5.0</v>
      </c>
      <c r="H12" s="532"/>
      <c r="I12" s="522" t="s">
        <v>31</v>
      </c>
      <c r="J12" s="533" t="s">
        <v>45</v>
      </c>
      <c r="K12" s="519">
        <v>71.43</v>
      </c>
      <c r="L12" s="520">
        <v>0.1429</v>
      </c>
      <c r="M12" s="520">
        <v>0.0</v>
      </c>
      <c r="N12" s="523">
        <v>0.8571</v>
      </c>
      <c r="O12" s="534">
        <v>5.0</v>
      </c>
    </row>
    <row r="13" ht="15.75" customHeight="1">
      <c r="A13" s="517">
        <v>6.0</v>
      </c>
      <c r="B13" s="533" t="s">
        <v>262</v>
      </c>
      <c r="C13" s="525">
        <v>84.62</v>
      </c>
      <c r="D13" s="526">
        <v>0.0</v>
      </c>
      <c r="E13" s="526">
        <v>0.1538</v>
      </c>
      <c r="F13" s="526">
        <v>0.8462</v>
      </c>
      <c r="G13" s="527">
        <v>6.0</v>
      </c>
      <c r="H13" s="532"/>
      <c r="I13" s="522" t="s">
        <v>22</v>
      </c>
      <c r="J13" s="533" t="s">
        <v>388</v>
      </c>
      <c r="K13" s="535">
        <v>66.67</v>
      </c>
      <c r="L13" s="536">
        <v>0.0</v>
      </c>
      <c r="M13" s="536">
        <v>0.3333</v>
      </c>
      <c r="N13" s="537">
        <v>0.6667</v>
      </c>
      <c r="O13" s="538">
        <v>6.0</v>
      </c>
    </row>
    <row r="14" ht="15.75" customHeight="1">
      <c r="A14" s="517">
        <v>7.0</v>
      </c>
      <c r="B14" s="533" t="s">
        <v>407</v>
      </c>
      <c r="C14" s="519">
        <v>80.0</v>
      </c>
      <c r="D14" s="520">
        <v>0.0333</v>
      </c>
      <c r="E14" s="520">
        <v>0.1333</v>
      </c>
      <c r="F14" s="520">
        <v>0.8333</v>
      </c>
      <c r="G14" s="521">
        <v>7.0</v>
      </c>
      <c r="H14" s="532"/>
      <c r="I14" s="522" t="s">
        <v>25</v>
      </c>
      <c r="J14" s="539" t="s">
        <v>55</v>
      </c>
      <c r="K14" s="519">
        <v>60.0</v>
      </c>
      <c r="L14" s="520">
        <v>0.0</v>
      </c>
      <c r="M14" s="520">
        <v>0.4</v>
      </c>
      <c r="N14" s="523">
        <v>0.6</v>
      </c>
      <c r="O14" s="521">
        <v>7.0</v>
      </c>
    </row>
    <row r="15" ht="15.75" customHeight="1">
      <c r="A15" s="517">
        <v>8.0</v>
      </c>
      <c r="B15" s="533" t="s">
        <v>246</v>
      </c>
      <c r="C15" s="525">
        <v>76.92</v>
      </c>
      <c r="D15" s="526">
        <v>0.0</v>
      </c>
      <c r="E15" s="526">
        <v>0.2308</v>
      </c>
      <c r="F15" s="526">
        <v>0.7692</v>
      </c>
      <c r="G15" s="527">
        <v>8.0</v>
      </c>
      <c r="H15" s="532"/>
      <c r="I15" s="540" t="s">
        <v>66</v>
      </c>
      <c r="J15" s="541" t="s">
        <v>382</v>
      </c>
      <c r="K15" s="542">
        <v>50.0</v>
      </c>
      <c r="L15" s="543">
        <v>0.1</v>
      </c>
      <c r="M15" s="543">
        <v>0.3</v>
      </c>
      <c r="N15" s="543">
        <v>0.6</v>
      </c>
      <c r="O15" s="544">
        <v>8.0</v>
      </c>
    </row>
    <row r="16" ht="15.75" customHeight="1">
      <c r="A16" s="517">
        <v>9.0</v>
      </c>
      <c r="B16" s="533" t="s">
        <v>322</v>
      </c>
      <c r="C16" s="519">
        <v>76.0</v>
      </c>
      <c r="D16" s="520">
        <v>0.04</v>
      </c>
      <c r="E16" s="520">
        <v>0.16</v>
      </c>
      <c r="F16" s="520">
        <v>0.8</v>
      </c>
      <c r="G16" s="521">
        <v>9.0</v>
      </c>
      <c r="H16" s="532"/>
      <c r="I16" s="540" t="s">
        <v>104</v>
      </c>
      <c r="J16" s="539" t="s">
        <v>408</v>
      </c>
      <c r="K16" s="545">
        <v>0.0</v>
      </c>
      <c r="L16" s="546"/>
      <c r="M16" s="546"/>
      <c r="N16" s="546"/>
      <c r="O16" s="547">
        <v>9.0</v>
      </c>
    </row>
    <row r="17" ht="15.75" customHeight="1">
      <c r="A17" s="517">
        <v>10.0</v>
      </c>
      <c r="B17" s="533" t="s">
        <v>230</v>
      </c>
      <c r="C17" s="525">
        <v>75.0</v>
      </c>
      <c r="D17" s="526">
        <v>0.0</v>
      </c>
      <c r="E17" s="526">
        <v>0.25</v>
      </c>
      <c r="F17" s="526">
        <v>0.75</v>
      </c>
      <c r="G17" s="527">
        <v>10.0</v>
      </c>
      <c r="H17" s="532"/>
      <c r="I17" s="499"/>
      <c r="J17" s="548" t="s">
        <v>449</v>
      </c>
      <c r="K17" s="502"/>
      <c r="L17" s="502"/>
      <c r="M17" s="502"/>
      <c r="N17" s="502"/>
      <c r="O17" s="334"/>
    </row>
    <row r="18" ht="15.75" customHeight="1">
      <c r="A18" s="517">
        <v>11.0</v>
      </c>
      <c r="B18" s="533" t="s">
        <v>100</v>
      </c>
      <c r="C18" s="519">
        <v>72.22</v>
      </c>
      <c r="D18" s="520">
        <v>0.1111</v>
      </c>
      <c r="E18" s="520">
        <v>0.0556</v>
      </c>
      <c r="F18" s="520">
        <v>0.8333</v>
      </c>
      <c r="G18" s="521">
        <v>11.0</v>
      </c>
      <c r="H18" s="532"/>
      <c r="I18" s="499"/>
      <c r="J18" s="549" t="s">
        <v>443</v>
      </c>
      <c r="K18" s="550" t="s">
        <v>444</v>
      </c>
      <c r="L18" s="551" t="s">
        <v>445</v>
      </c>
      <c r="M18" s="551" t="s">
        <v>446</v>
      </c>
      <c r="N18" s="551" t="s">
        <v>447</v>
      </c>
      <c r="O18" s="551" t="s">
        <v>448</v>
      </c>
    </row>
    <row r="19" ht="15.75" customHeight="1">
      <c r="A19" s="517">
        <v>12.0</v>
      </c>
      <c r="B19" s="533" t="s">
        <v>429</v>
      </c>
      <c r="C19" s="525">
        <v>71.43</v>
      </c>
      <c r="D19" s="526">
        <v>0.0</v>
      </c>
      <c r="E19" s="526">
        <v>0.2857</v>
      </c>
      <c r="F19" s="526">
        <v>0.7143</v>
      </c>
      <c r="G19" s="527">
        <v>12.0</v>
      </c>
      <c r="H19" s="532"/>
      <c r="I19" s="522" t="s">
        <v>15</v>
      </c>
      <c r="J19" s="518" t="s">
        <v>369</v>
      </c>
      <c r="K19" s="552">
        <v>100.0</v>
      </c>
      <c r="L19" s="553">
        <v>0.0</v>
      </c>
      <c r="M19" s="553">
        <v>0.0</v>
      </c>
      <c r="N19" s="553">
        <v>1.0</v>
      </c>
      <c r="O19" s="554">
        <v>1.0</v>
      </c>
    </row>
    <row r="20" ht="15.75" customHeight="1">
      <c r="A20" s="517">
        <v>13.0</v>
      </c>
      <c r="B20" s="533" t="s">
        <v>138</v>
      </c>
      <c r="C20" s="519">
        <v>70.83</v>
      </c>
      <c r="D20" s="520">
        <v>0.0833</v>
      </c>
      <c r="E20" s="520">
        <v>0.125</v>
      </c>
      <c r="F20" s="520">
        <v>0.7917</v>
      </c>
      <c r="G20" s="521">
        <v>13.0</v>
      </c>
      <c r="H20" s="532"/>
      <c r="I20" s="522" t="s">
        <v>34</v>
      </c>
      <c r="J20" s="524" t="s">
        <v>356</v>
      </c>
      <c r="K20" s="555">
        <v>100.0</v>
      </c>
      <c r="L20" s="556">
        <v>0.0</v>
      </c>
      <c r="M20" s="556">
        <v>0.0</v>
      </c>
      <c r="N20" s="556">
        <v>1.0</v>
      </c>
      <c r="O20" s="557">
        <v>1.0</v>
      </c>
    </row>
    <row r="21" ht="15.75" customHeight="1">
      <c r="A21" s="517">
        <v>14.0</v>
      </c>
      <c r="B21" s="533" t="s">
        <v>272</v>
      </c>
      <c r="C21" s="525">
        <v>69.23</v>
      </c>
      <c r="D21" s="526">
        <v>0.1154</v>
      </c>
      <c r="E21" s="526">
        <v>0.0769</v>
      </c>
      <c r="F21" s="526">
        <v>0.8077</v>
      </c>
      <c r="G21" s="527">
        <v>14.0</v>
      </c>
      <c r="H21" s="503"/>
      <c r="I21" s="522" t="s">
        <v>52</v>
      </c>
      <c r="J21" s="533" t="s">
        <v>364</v>
      </c>
      <c r="K21" s="558">
        <v>100.0</v>
      </c>
      <c r="L21" s="559">
        <v>0.0</v>
      </c>
      <c r="M21" s="559">
        <v>0.0</v>
      </c>
      <c r="N21" s="559">
        <v>1.0</v>
      </c>
      <c r="O21" s="560">
        <v>1.0</v>
      </c>
    </row>
    <row r="22" ht="15.75" customHeight="1">
      <c r="A22" s="517">
        <v>15.0</v>
      </c>
      <c r="B22" s="533" t="s">
        <v>181</v>
      </c>
      <c r="C22" s="519">
        <v>68.75</v>
      </c>
      <c r="D22" s="520">
        <v>0.125</v>
      </c>
      <c r="E22" s="520">
        <v>0.0625</v>
      </c>
      <c r="F22" s="520">
        <v>0.8125</v>
      </c>
      <c r="G22" s="521">
        <v>15.0</v>
      </c>
      <c r="H22" s="503"/>
      <c r="I22" s="522" t="s">
        <v>65</v>
      </c>
      <c r="J22" s="561" t="s">
        <v>450</v>
      </c>
      <c r="K22" s="562">
        <v>100.0</v>
      </c>
      <c r="L22" s="563">
        <v>0.0</v>
      </c>
      <c r="M22" s="563">
        <v>0.0</v>
      </c>
      <c r="N22" s="563">
        <v>1.0</v>
      </c>
      <c r="O22" s="557">
        <v>1.0</v>
      </c>
    </row>
    <row r="23" ht="15.75" customHeight="1">
      <c r="A23" s="517">
        <v>16.0</v>
      </c>
      <c r="B23" s="533" t="s">
        <v>196</v>
      </c>
      <c r="C23" s="525">
        <v>68.18</v>
      </c>
      <c r="D23" s="526">
        <v>0.0909</v>
      </c>
      <c r="E23" s="526">
        <v>0.1364</v>
      </c>
      <c r="F23" s="526">
        <v>0.7727</v>
      </c>
      <c r="G23" s="527">
        <v>16.0</v>
      </c>
      <c r="H23" s="503"/>
      <c r="I23" s="522" t="s">
        <v>31</v>
      </c>
      <c r="J23" s="561" t="s">
        <v>351</v>
      </c>
      <c r="K23" s="564">
        <v>60.0</v>
      </c>
      <c r="L23" s="559">
        <v>0.0</v>
      </c>
      <c r="M23" s="559">
        <v>0.4</v>
      </c>
      <c r="N23" s="559">
        <v>0.6</v>
      </c>
      <c r="O23" s="560">
        <v>5.0</v>
      </c>
    </row>
    <row r="24" ht="15.75" customHeight="1">
      <c r="A24" s="517">
        <v>17.0</v>
      </c>
      <c r="B24" s="533" t="s">
        <v>435</v>
      </c>
      <c r="C24" s="519">
        <v>66.67</v>
      </c>
      <c r="D24" s="520">
        <v>0.1667</v>
      </c>
      <c r="E24" s="520">
        <v>0.0</v>
      </c>
      <c r="F24" s="520">
        <v>0.8333</v>
      </c>
      <c r="G24" s="521">
        <v>17.0</v>
      </c>
      <c r="H24" s="532"/>
      <c r="I24" s="522" t="s">
        <v>22</v>
      </c>
      <c r="J24" s="561" t="s">
        <v>346</v>
      </c>
      <c r="K24" s="565">
        <v>44.44</v>
      </c>
      <c r="L24" s="566">
        <v>0.2222</v>
      </c>
      <c r="M24" s="566">
        <v>0.1111</v>
      </c>
      <c r="N24" s="566">
        <v>0.6667</v>
      </c>
      <c r="O24" s="567">
        <v>6.0</v>
      </c>
    </row>
    <row r="25" ht="15.75" customHeight="1">
      <c r="A25" s="517">
        <v>18.0</v>
      </c>
      <c r="B25" s="533" t="s">
        <v>113</v>
      </c>
      <c r="C25" s="525">
        <v>66.67</v>
      </c>
      <c r="D25" s="526">
        <v>0.0833</v>
      </c>
      <c r="E25" s="526">
        <v>0.1667</v>
      </c>
      <c r="F25" s="526">
        <v>0.75</v>
      </c>
      <c r="G25" s="527">
        <v>17.0</v>
      </c>
      <c r="H25" s="532"/>
      <c r="I25" s="568"/>
      <c r="J25" s="496"/>
      <c r="K25" s="496"/>
      <c r="L25" s="569"/>
      <c r="M25" s="569"/>
      <c r="N25" s="569"/>
      <c r="O25" s="570"/>
    </row>
    <row r="26" ht="15.75" customHeight="1">
      <c r="A26" s="517">
        <v>19.0</v>
      </c>
      <c r="B26" s="533" t="s">
        <v>107</v>
      </c>
      <c r="C26" s="519">
        <v>65.52</v>
      </c>
      <c r="D26" s="520">
        <v>0.069</v>
      </c>
      <c r="E26" s="520">
        <v>0.2069</v>
      </c>
      <c r="F26" s="520">
        <v>0.7241</v>
      </c>
      <c r="G26" s="521">
        <v>19.0</v>
      </c>
      <c r="H26" s="532"/>
      <c r="I26" s="568"/>
      <c r="J26" s="571"/>
      <c r="K26" s="572"/>
      <c r="L26" s="572"/>
      <c r="M26" s="572"/>
      <c r="N26" s="572"/>
      <c r="O26" s="571"/>
    </row>
    <row r="27" ht="15.75" customHeight="1">
      <c r="A27" s="517">
        <v>20.0</v>
      </c>
      <c r="B27" s="533" t="s">
        <v>203</v>
      </c>
      <c r="C27" s="525">
        <v>62.96</v>
      </c>
      <c r="D27" s="526">
        <v>0.0741</v>
      </c>
      <c r="E27" s="526">
        <v>0.2222</v>
      </c>
      <c r="F27" s="526">
        <v>0.7037</v>
      </c>
      <c r="G27" s="527">
        <v>20.0</v>
      </c>
      <c r="H27" s="532"/>
      <c r="I27" s="499"/>
      <c r="J27" s="573" t="s">
        <v>451</v>
      </c>
      <c r="K27" s="574"/>
      <c r="L27" s="574"/>
      <c r="M27" s="574"/>
      <c r="N27" s="574"/>
      <c r="O27" s="313"/>
    </row>
    <row r="28" ht="15.75" customHeight="1">
      <c r="A28" s="517">
        <v>21.0</v>
      </c>
      <c r="B28" s="533" t="s">
        <v>241</v>
      </c>
      <c r="C28" s="519">
        <v>62.07</v>
      </c>
      <c r="D28" s="520">
        <v>0.0345</v>
      </c>
      <c r="E28" s="520">
        <v>0.3103</v>
      </c>
      <c r="F28" s="520">
        <v>0.6552</v>
      </c>
      <c r="G28" s="521">
        <v>21.0</v>
      </c>
      <c r="H28" s="532"/>
      <c r="I28" s="499"/>
      <c r="J28" s="575" t="s">
        <v>443</v>
      </c>
      <c r="K28" s="576" t="s">
        <v>444</v>
      </c>
      <c r="L28" s="577" t="s">
        <v>445</v>
      </c>
      <c r="M28" s="577" t="s">
        <v>446</v>
      </c>
      <c r="N28" s="577" t="s">
        <v>447</v>
      </c>
      <c r="O28" s="577" t="s">
        <v>448</v>
      </c>
    </row>
    <row r="29" ht="15.75" customHeight="1">
      <c r="A29" s="517">
        <v>22.0</v>
      </c>
      <c r="B29" s="533" t="s">
        <v>290</v>
      </c>
      <c r="C29" s="525">
        <v>58.62</v>
      </c>
      <c r="D29" s="526">
        <v>0.1379</v>
      </c>
      <c r="E29" s="526">
        <v>0.1379</v>
      </c>
      <c r="F29" s="526">
        <v>0.7241</v>
      </c>
      <c r="G29" s="527">
        <v>22.0</v>
      </c>
      <c r="H29" s="532"/>
      <c r="I29" s="522" t="s">
        <v>15</v>
      </c>
      <c r="J29" s="578" t="s">
        <v>77</v>
      </c>
      <c r="K29" s="552">
        <v>80.0</v>
      </c>
      <c r="L29" s="553">
        <v>0.0</v>
      </c>
      <c r="M29" s="553">
        <v>0.2</v>
      </c>
      <c r="N29" s="579">
        <v>0.8</v>
      </c>
      <c r="O29" s="554">
        <v>1.0</v>
      </c>
    </row>
    <row r="30" ht="15.75" customHeight="1">
      <c r="A30" s="517">
        <v>23.0</v>
      </c>
      <c r="B30" s="533" t="s">
        <v>143</v>
      </c>
      <c r="C30" s="519">
        <v>57.14</v>
      </c>
      <c r="D30" s="520">
        <v>0.1429</v>
      </c>
      <c r="E30" s="520">
        <v>0.1429</v>
      </c>
      <c r="F30" s="520">
        <v>0.7143</v>
      </c>
      <c r="G30" s="521">
        <v>23.0</v>
      </c>
      <c r="H30" s="532"/>
      <c r="I30" s="522" t="s">
        <v>34</v>
      </c>
      <c r="J30" s="580" t="s">
        <v>433</v>
      </c>
      <c r="K30" s="581">
        <v>77.78</v>
      </c>
      <c r="L30" s="582">
        <v>0.0</v>
      </c>
      <c r="M30" s="583">
        <v>0.2222</v>
      </c>
      <c r="N30" s="584">
        <v>0.7778</v>
      </c>
      <c r="O30" s="585">
        <v>2.0</v>
      </c>
    </row>
    <row r="31" ht="15.75" customHeight="1">
      <c r="A31" s="517">
        <v>24.0</v>
      </c>
      <c r="B31" s="533" t="s">
        <v>219</v>
      </c>
      <c r="C31" s="525">
        <v>56.0</v>
      </c>
      <c r="D31" s="526">
        <v>0.16</v>
      </c>
      <c r="E31" s="526">
        <v>0.12</v>
      </c>
      <c r="F31" s="526">
        <v>0.72</v>
      </c>
      <c r="G31" s="527">
        <v>24.0</v>
      </c>
      <c r="H31" s="532"/>
      <c r="I31" s="522" t="s">
        <v>52</v>
      </c>
      <c r="J31" s="586" t="s">
        <v>426</v>
      </c>
      <c r="K31" s="558">
        <v>42.86</v>
      </c>
      <c r="L31" s="559">
        <v>0.1429</v>
      </c>
      <c r="M31" s="559">
        <v>0.2857</v>
      </c>
      <c r="N31" s="587">
        <v>0.5714</v>
      </c>
      <c r="O31" s="560">
        <v>3.0</v>
      </c>
    </row>
    <row r="32" ht="15.75" customHeight="1">
      <c r="A32" s="517">
        <v>25.0</v>
      </c>
      <c r="B32" s="533" t="s">
        <v>337</v>
      </c>
      <c r="C32" s="519">
        <v>50.0</v>
      </c>
      <c r="D32" s="520">
        <v>0.2</v>
      </c>
      <c r="E32" s="520">
        <v>0.1</v>
      </c>
      <c r="F32" s="520">
        <v>0.7</v>
      </c>
      <c r="G32" s="521">
        <v>25.0</v>
      </c>
      <c r="H32" s="532"/>
      <c r="I32" s="522" t="s">
        <v>65</v>
      </c>
      <c r="J32" s="586" t="s">
        <v>436</v>
      </c>
      <c r="K32" s="588">
        <v>33.33</v>
      </c>
      <c r="L32" s="589">
        <v>0.3333</v>
      </c>
      <c r="M32" s="590">
        <v>0.0</v>
      </c>
      <c r="N32" s="591">
        <v>0.6667</v>
      </c>
      <c r="O32" s="585">
        <v>4.0</v>
      </c>
    </row>
    <row r="33" ht="15.75" customHeight="1">
      <c r="A33" s="517">
        <v>26.0</v>
      </c>
      <c r="B33" s="592" t="s">
        <v>278</v>
      </c>
      <c r="C33" s="593">
        <v>47.06</v>
      </c>
      <c r="D33" s="594">
        <v>0.1176</v>
      </c>
      <c r="E33" s="594">
        <v>0.2941</v>
      </c>
      <c r="F33" s="526">
        <v>0.5882</v>
      </c>
      <c r="G33" s="527">
        <v>26.0</v>
      </c>
      <c r="H33" s="532"/>
      <c r="I33" s="540" t="s">
        <v>31</v>
      </c>
      <c r="J33" s="595" t="s">
        <v>86</v>
      </c>
      <c r="K33" s="558">
        <v>25.0</v>
      </c>
      <c r="L33" s="559">
        <v>0.25</v>
      </c>
      <c r="M33" s="559">
        <v>0.25</v>
      </c>
      <c r="N33" s="587">
        <v>0.5</v>
      </c>
      <c r="O33" s="596" t="s">
        <v>31</v>
      </c>
    </row>
    <row r="34" ht="15.75" customHeight="1">
      <c r="A34" s="517">
        <v>27.0</v>
      </c>
      <c r="B34" s="592" t="s">
        <v>164</v>
      </c>
      <c r="C34" s="558">
        <v>40.0</v>
      </c>
      <c r="D34" s="559">
        <v>0.2</v>
      </c>
      <c r="E34" s="559">
        <v>0.2</v>
      </c>
      <c r="F34" s="559">
        <v>0.6</v>
      </c>
      <c r="G34" s="521">
        <v>27.0</v>
      </c>
      <c r="H34" s="532"/>
      <c r="I34" s="540" t="s">
        <v>22</v>
      </c>
      <c r="J34" s="595" t="s">
        <v>71</v>
      </c>
      <c r="K34" s="588">
        <v>22.22</v>
      </c>
      <c r="L34" s="589">
        <v>0.3333</v>
      </c>
      <c r="M34" s="590">
        <v>0.1111</v>
      </c>
      <c r="N34" s="591">
        <v>0.5556</v>
      </c>
      <c r="O34" s="585">
        <v>6.0</v>
      </c>
    </row>
    <row r="35" ht="15.75" customHeight="1">
      <c r="A35" s="517">
        <v>28.0</v>
      </c>
      <c r="B35" s="597"/>
      <c r="C35" s="598"/>
      <c r="D35" s="599"/>
      <c r="E35" s="599"/>
      <c r="F35" s="599"/>
      <c r="G35" s="600"/>
      <c r="H35" s="532"/>
      <c r="I35" s="540" t="s">
        <v>25</v>
      </c>
      <c r="J35" s="601"/>
      <c r="K35" s="602"/>
      <c r="L35" s="603"/>
      <c r="M35" s="603"/>
      <c r="N35" s="603"/>
      <c r="O35" s="603"/>
    </row>
    <row r="36" ht="15.75" customHeight="1">
      <c r="A36" s="517">
        <v>29.0</v>
      </c>
      <c r="B36" s="597"/>
      <c r="C36" s="604"/>
      <c r="D36" s="605"/>
      <c r="E36" s="605"/>
      <c r="F36" s="605"/>
      <c r="G36" s="500"/>
      <c r="H36" s="532"/>
      <c r="I36" s="499"/>
      <c r="J36" s="606"/>
      <c r="K36" s="607"/>
      <c r="L36" s="606"/>
      <c r="M36" s="606"/>
      <c r="N36" s="606"/>
      <c r="O36" s="606"/>
    </row>
    <row r="37" ht="15.75" customHeight="1">
      <c r="A37" s="517">
        <v>30.0</v>
      </c>
      <c r="B37" s="597"/>
      <c r="C37" s="604"/>
      <c r="D37" s="605"/>
      <c r="E37" s="605"/>
      <c r="F37" s="605"/>
      <c r="G37" s="500"/>
      <c r="H37" s="532"/>
      <c r="I37" s="499"/>
      <c r="J37" s="606"/>
      <c r="K37" s="503"/>
      <c r="L37" s="606"/>
      <c r="M37" s="606"/>
      <c r="N37" s="606"/>
      <c r="O37" s="606"/>
    </row>
    <row r="38" ht="15.75" customHeight="1">
      <c r="A38" s="517">
        <v>31.0</v>
      </c>
      <c r="B38" s="608"/>
      <c r="C38" s="609"/>
      <c r="D38" s="610"/>
      <c r="E38" s="610"/>
      <c r="F38" s="599"/>
      <c r="G38" s="600"/>
      <c r="H38" s="532"/>
      <c r="I38" s="499"/>
      <c r="J38" s="606"/>
      <c r="K38" s="503"/>
      <c r="L38" s="606"/>
      <c r="M38" s="606"/>
      <c r="N38" s="606"/>
      <c r="O38" s="606"/>
    </row>
    <row r="39" ht="15.75" customHeight="1">
      <c r="A39" s="517">
        <v>32.0</v>
      </c>
      <c r="B39" s="611"/>
      <c r="C39" s="604"/>
      <c r="D39" s="605"/>
      <c r="E39" s="605"/>
      <c r="F39" s="605"/>
      <c r="G39" s="500"/>
      <c r="H39" s="532"/>
      <c r="I39" s="499"/>
      <c r="J39" s="606"/>
      <c r="K39" s="503"/>
      <c r="L39" s="606"/>
      <c r="M39" s="606"/>
      <c r="N39" s="606"/>
      <c r="O39" s="606"/>
    </row>
    <row r="40" ht="15.75" customHeight="1">
      <c r="A40" s="517">
        <v>33.0</v>
      </c>
      <c r="B40" s="612"/>
      <c r="C40" s="609"/>
      <c r="D40" s="609"/>
      <c r="E40" s="609"/>
      <c r="F40" s="613"/>
      <c r="G40" s="614"/>
      <c r="H40" s="499"/>
      <c r="I40" s="499"/>
      <c r="J40" s="606"/>
      <c r="K40" s="503"/>
      <c r="L40" s="606"/>
      <c r="M40" s="606"/>
      <c r="N40" s="606"/>
      <c r="O40" s="606"/>
    </row>
    <row r="41" ht="15.75" customHeight="1">
      <c r="A41" s="517">
        <v>34.0</v>
      </c>
      <c r="B41" s="615"/>
      <c r="C41" s="604"/>
      <c r="D41" s="616"/>
      <c r="E41" s="604"/>
      <c r="F41" s="617"/>
      <c r="G41" s="507"/>
      <c r="H41" s="499"/>
      <c r="I41" s="499"/>
      <c r="J41" s="532"/>
      <c r="K41" s="503"/>
      <c r="L41" s="606"/>
      <c r="M41" s="606"/>
      <c r="N41" s="606"/>
      <c r="O41" s="606"/>
    </row>
    <row r="42" ht="15.75" customHeight="1">
      <c r="A42" s="517">
        <v>35.0</v>
      </c>
      <c r="B42" s="615"/>
      <c r="C42" s="618"/>
      <c r="D42" s="618"/>
      <c r="E42" s="618"/>
      <c r="F42" s="619"/>
      <c r="G42" s="620"/>
      <c r="H42" s="499"/>
      <c r="I42" s="499"/>
      <c r="J42" s="532"/>
      <c r="K42" s="503"/>
      <c r="L42" s="606"/>
      <c r="M42" s="606"/>
      <c r="N42" s="606"/>
      <c r="O42" s="606"/>
    </row>
    <row r="43" ht="15.75" customHeight="1">
      <c r="A43" s="570"/>
      <c r="B43" s="503"/>
      <c r="C43" s="503"/>
      <c r="D43" s="503"/>
      <c r="E43" s="503"/>
      <c r="F43" s="503"/>
      <c r="G43" s="532"/>
      <c r="H43" s="532"/>
      <c r="I43" s="532"/>
      <c r="J43" s="503"/>
      <c r="K43" s="503"/>
      <c r="L43" s="606"/>
      <c r="M43" s="606"/>
      <c r="N43" s="606"/>
      <c r="O43" s="532"/>
    </row>
    <row r="44" ht="15.75" customHeight="1">
      <c r="A44" s="621"/>
      <c r="B44" s="622" t="s">
        <v>452</v>
      </c>
      <c r="G44" s="623"/>
      <c r="H44" s="623"/>
      <c r="I44" s="621"/>
      <c r="J44" s="622" t="s">
        <v>453</v>
      </c>
      <c r="O44" s="624"/>
    </row>
    <row r="45" ht="15.75" customHeight="1">
      <c r="A45" s="625"/>
      <c r="B45" s="626" t="s">
        <v>443</v>
      </c>
      <c r="C45" s="627"/>
      <c r="D45" s="628" t="s">
        <v>454</v>
      </c>
      <c r="E45" s="629" t="s">
        <v>455</v>
      </c>
      <c r="F45" s="630" t="s">
        <v>456</v>
      </c>
      <c r="G45" s="625"/>
      <c r="H45" s="625"/>
      <c r="I45" s="625"/>
      <c r="J45" s="626" t="s">
        <v>443</v>
      </c>
      <c r="K45" s="627"/>
      <c r="L45" s="628" t="s">
        <v>454</v>
      </c>
      <c r="M45" s="629" t="s">
        <v>455</v>
      </c>
      <c r="N45" s="630" t="s">
        <v>456</v>
      </c>
      <c r="O45" s="631"/>
    </row>
    <row r="46" ht="15.75" customHeight="1">
      <c r="A46" s="632">
        <v>1.0</v>
      </c>
      <c r="B46" s="633" t="s">
        <v>457</v>
      </c>
      <c r="C46" s="634"/>
      <c r="D46" s="635">
        <v>196.0</v>
      </c>
      <c r="E46" s="635">
        <v>82.1</v>
      </c>
      <c r="F46" s="636">
        <v>4.2</v>
      </c>
      <c r="G46" s="625"/>
      <c r="H46" s="625"/>
      <c r="I46" s="632">
        <v>1.0</v>
      </c>
      <c r="J46" s="633" t="s">
        <v>458</v>
      </c>
      <c r="K46" s="634"/>
      <c r="L46" s="635">
        <v>661.0</v>
      </c>
      <c r="M46" s="635">
        <v>83.1</v>
      </c>
      <c r="N46" s="637" t="s">
        <v>459</v>
      </c>
      <c r="O46" s="631"/>
    </row>
    <row r="47" ht="15.75" customHeight="1">
      <c r="A47" s="632">
        <v>2.0</v>
      </c>
      <c r="B47" s="638" t="s">
        <v>458</v>
      </c>
      <c r="C47" s="639"/>
      <c r="D47" s="635">
        <v>423.0</v>
      </c>
      <c r="E47" s="635">
        <v>81.3</v>
      </c>
      <c r="F47" s="636">
        <v>3.1</v>
      </c>
      <c r="G47" s="625"/>
      <c r="H47" s="625"/>
      <c r="I47" s="632">
        <v>2.0</v>
      </c>
      <c r="J47" s="638" t="s">
        <v>460</v>
      </c>
      <c r="K47" s="639"/>
      <c r="L47" s="635">
        <v>548.0</v>
      </c>
      <c r="M47" s="635">
        <v>81.8</v>
      </c>
      <c r="N47" s="637" t="s">
        <v>461</v>
      </c>
      <c r="O47" s="631"/>
    </row>
    <row r="48" ht="15.75" customHeight="1">
      <c r="A48" s="632">
        <v>3.0</v>
      </c>
      <c r="B48" s="638" t="s">
        <v>460</v>
      </c>
      <c r="C48" s="639"/>
      <c r="D48" s="635">
        <v>341.0</v>
      </c>
      <c r="E48" s="635">
        <v>80.1</v>
      </c>
      <c r="F48" s="636">
        <v>4.6</v>
      </c>
      <c r="G48" s="625"/>
      <c r="H48" s="625"/>
      <c r="I48" s="632">
        <v>3.0</v>
      </c>
      <c r="J48" s="638" t="s">
        <v>462</v>
      </c>
      <c r="K48" s="639"/>
      <c r="L48" s="635">
        <v>271.0</v>
      </c>
      <c r="M48" s="635">
        <v>80.8</v>
      </c>
      <c r="N48" s="637" t="s">
        <v>463</v>
      </c>
      <c r="O48" s="624"/>
    </row>
    <row r="49" ht="15.75" customHeight="1">
      <c r="A49" s="632">
        <v>4.0</v>
      </c>
      <c r="B49" s="638" t="s">
        <v>462</v>
      </c>
      <c r="C49" s="639"/>
      <c r="D49" s="635">
        <v>207.0</v>
      </c>
      <c r="E49" s="635">
        <v>79.2</v>
      </c>
      <c r="F49" s="118">
        <v>-6.2</v>
      </c>
      <c r="G49" s="625"/>
      <c r="H49" s="625"/>
      <c r="I49" s="632">
        <v>4.0</v>
      </c>
      <c r="J49" s="638" t="s">
        <v>464</v>
      </c>
      <c r="K49" s="639"/>
      <c r="L49" s="635">
        <v>914.0</v>
      </c>
      <c r="M49" s="635">
        <v>79.5</v>
      </c>
      <c r="N49" s="637" t="s">
        <v>465</v>
      </c>
      <c r="O49" s="624"/>
    </row>
    <row r="50" ht="15.75" customHeight="1">
      <c r="A50" s="632">
        <v>5.0</v>
      </c>
      <c r="B50" s="638" t="s">
        <v>466</v>
      </c>
      <c r="C50" s="639"/>
      <c r="D50" s="635">
        <v>280.0</v>
      </c>
      <c r="E50" s="635">
        <v>77.9</v>
      </c>
      <c r="F50" s="118">
        <v>-2.4</v>
      </c>
      <c r="G50" s="625"/>
      <c r="H50" s="625"/>
      <c r="I50" s="632">
        <v>5.0</v>
      </c>
      <c r="J50" s="638" t="s">
        <v>467</v>
      </c>
      <c r="K50" s="639"/>
      <c r="L50" s="635">
        <v>299.0</v>
      </c>
      <c r="M50" s="635">
        <v>79.3</v>
      </c>
      <c r="N50" s="637" t="s">
        <v>468</v>
      </c>
      <c r="O50" s="624"/>
    </row>
    <row r="51" ht="15.75" customHeight="1">
      <c r="A51" s="632">
        <v>6.0</v>
      </c>
      <c r="B51" s="638" t="s">
        <v>467</v>
      </c>
      <c r="C51" s="639"/>
      <c r="D51" s="635">
        <v>213.0</v>
      </c>
      <c r="E51" s="635">
        <v>77.5</v>
      </c>
      <c r="F51" s="118">
        <v>-1.3</v>
      </c>
      <c r="G51" s="625"/>
      <c r="H51" s="625"/>
      <c r="I51" s="632">
        <v>6.0</v>
      </c>
      <c r="J51" s="638" t="s">
        <v>466</v>
      </c>
      <c r="K51" s="639"/>
      <c r="L51" s="635">
        <v>422.0</v>
      </c>
      <c r="M51" s="635">
        <v>78.9</v>
      </c>
      <c r="N51" s="118">
        <v>-7.5</v>
      </c>
      <c r="O51" s="624"/>
    </row>
    <row r="52" ht="15.75" customHeight="1">
      <c r="A52" s="632">
        <v>7.0</v>
      </c>
      <c r="B52" s="638" t="s">
        <v>469</v>
      </c>
      <c r="C52" s="639"/>
      <c r="D52" s="635">
        <v>213.0</v>
      </c>
      <c r="E52" s="635">
        <v>77.5</v>
      </c>
      <c r="F52" s="636">
        <v>0.6</v>
      </c>
      <c r="G52" s="625"/>
      <c r="H52" s="625"/>
      <c r="I52" s="632">
        <v>7.0</v>
      </c>
      <c r="J52" s="638" t="s">
        <v>457</v>
      </c>
      <c r="K52" s="639"/>
      <c r="L52" s="635">
        <v>284.0</v>
      </c>
      <c r="M52" s="635">
        <v>78.5</v>
      </c>
      <c r="N52" s="637" t="s">
        <v>470</v>
      </c>
      <c r="O52" s="624"/>
    </row>
    <row r="53" ht="15.75" customHeight="1">
      <c r="A53" s="632">
        <v>8.0</v>
      </c>
      <c r="B53" s="633" t="s">
        <v>464</v>
      </c>
      <c r="C53" s="639"/>
      <c r="D53" s="635">
        <v>604.0</v>
      </c>
      <c r="E53" s="635">
        <v>76.7</v>
      </c>
      <c r="F53" s="118">
        <v>-0.3</v>
      </c>
      <c r="G53" s="625"/>
      <c r="H53" s="625"/>
      <c r="I53" s="632">
        <v>8.0</v>
      </c>
      <c r="J53" s="633" t="s">
        <v>471</v>
      </c>
      <c r="K53" s="639"/>
      <c r="L53" s="635">
        <v>312.0</v>
      </c>
      <c r="M53" s="635">
        <v>76.9</v>
      </c>
      <c r="N53" s="637" t="s">
        <v>472</v>
      </c>
      <c r="O53" s="624"/>
    </row>
    <row r="54" ht="15.75" customHeight="1">
      <c r="A54" s="632">
        <v>9.0</v>
      </c>
      <c r="B54" s="638" t="s">
        <v>471</v>
      </c>
      <c r="C54" s="639"/>
      <c r="D54" s="635">
        <v>214.0</v>
      </c>
      <c r="E54" s="635">
        <v>72.9</v>
      </c>
      <c r="F54" s="118">
        <v>-2.9</v>
      </c>
      <c r="G54" s="625"/>
      <c r="H54" s="625"/>
      <c r="I54" s="632">
        <v>9.0</v>
      </c>
      <c r="J54" s="638" t="s">
        <v>469</v>
      </c>
      <c r="K54" s="639"/>
      <c r="L54" s="635">
        <v>256.0</v>
      </c>
      <c r="M54" s="635">
        <v>75.0</v>
      </c>
      <c r="N54" s="637" t="s">
        <v>473</v>
      </c>
      <c r="O54" s="624"/>
    </row>
    <row r="55" ht="15.75" customHeight="1">
      <c r="A55" s="632">
        <v>10.0</v>
      </c>
      <c r="B55" s="633" t="s">
        <v>474</v>
      </c>
      <c r="C55" s="639"/>
      <c r="D55" s="635">
        <v>2763.0</v>
      </c>
      <c r="E55" s="635">
        <v>72.1</v>
      </c>
      <c r="F55" s="118">
        <v>-1.8</v>
      </c>
      <c r="G55" s="625"/>
      <c r="H55" s="625"/>
      <c r="I55" s="632">
        <v>10.0</v>
      </c>
      <c r="J55" s="633" t="s">
        <v>474</v>
      </c>
      <c r="K55" s="639"/>
      <c r="L55" s="635">
        <v>4209.0</v>
      </c>
      <c r="M55" s="635">
        <v>74.2</v>
      </c>
      <c r="N55" s="118">
        <v>-0.9</v>
      </c>
      <c r="O55" s="624"/>
    </row>
    <row r="56" ht="15.75" customHeight="1">
      <c r="A56" s="632">
        <v>11.0</v>
      </c>
      <c r="B56" s="638" t="s">
        <v>475</v>
      </c>
      <c r="C56" s="639"/>
      <c r="D56" s="635">
        <v>688.0</v>
      </c>
      <c r="E56" s="635">
        <v>70.3</v>
      </c>
      <c r="F56" s="118">
        <v>-3.9</v>
      </c>
      <c r="G56" s="625"/>
      <c r="H56" s="625"/>
      <c r="I56" s="632">
        <v>11.0</v>
      </c>
      <c r="J56" s="638" t="s">
        <v>475</v>
      </c>
      <c r="K56" s="639"/>
      <c r="L56" s="635">
        <v>937.0</v>
      </c>
      <c r="M56" s="635">
        <v>73.5</v>
      </c>
      <c r="N56" s="637" t="s">
        <v>476</v>
      </c>
      <c r="O56" s="624"/>
    </row>
    <row r="57" ht="15.75" customHeight="1">
      <c r="A57" s="632">
        <v>12.0</v>
      </c>
      <c r="B57" s="633" t="s">
        <v>477</v>
      </c>
      <c r="C57" s="640"/>
      <c r="D57" s="641" t="s">
        <v>478</v>
      </c>
      <c r="E57" s="642">
        <v>-33.3</v>
      </c>
      <c r="F57" s="643">
        <v>-87.9</v>
      </c>
      <c r="G57" s="625"/>
      <c r="H57" s="625"/>
      <c r="I57" s="632">
        <v>12.0</v>
      </c>
      <c r="J57" s="633" t="s">
        <v>477</v>
      </c>
      <c r="K57" s="640"/>
      <c r="L57" s="641" t="s">
        <v>479</v>
      </c>
      <c r="M57" s="642">
        <v>0.0</v>
      </c>
      <c r="N57" s="643">
        <v>-12.5</v>
      </c>
      <c r="O57" s="624"/>
    </row>
    <row r="58" ht="15.75" customHeight="1">
      <c r="A58" s="644">
        <v>13.0</v>
      </c>
      <c r="B58" s="634" t="s">
        <v>480</v>
      </c>
      <c r="C58" s="639"/>
      <c r="D58" s="635" t="s">
        <v>481</v>
      </c>
      <c r="E58" s="635">
        <v>-100.0</v>
      </c>
      <c r="F58" s="118">
        <v>-100.0</v>
      </c>
      <c r="G58" s="625"/>
      <c r="H58" s="625"/>
      <c r="I58" s="644">
        <v>13.0</v>
      </c>
      <c r="J58" s="634" t="s">
        <v>480</v>
      </c>
      <c r="K58" s="639"/>
      <c r="L58" s="635" t="s">
        <v>481</v>
      </c>
      <c r="M58" s="635">
        <v>-100.0</v>
      </c>
      <c r="N58" s="118">
        <v>-200.0</v>
      </c>
      <c r="O58" s="624"/>
    </row>
    <row r="59" ht="15.75" customHeight="1">
      <c r="A59" s="644">
        <v>14.0</v>
      </c>
      <c r="B59" s="645"/>
      <c r="C59" s="639"/>
      <c r="D59" s="635"/>
      <c r="E59" s="635"/>
      <c r="F59" s="40"/>
      <c r="G59" s="625"/>
      <c r="H59" s="625"/>
      <c r="I59" s="644">
        <v>14.0</v>
      </c>
      <c r="J59" s="645"/>
      <c r="K59" s="639"/>
      <c r="L59" s="635"/>
      <c r="M59" s="635"/>
      <c r="N59" s="40"/>
      <c r="O59" s="624"/>
    </row>
    <row r="60" ht="15.75" customHeight="1">
      <c r="A60" s="646"/>
      <c r="B60" s="647" t="s">
        <v>482</v>
      </c>
      <c r="C60" s="648"/>
      <c r="D60" s="649" t="s">
        <v>454</v>
      </c>
      <c r="E60" s="650" t="s">
        <v>455</v>
      </c>
      <c r="F60" s="651" t="s">
        <v>456</v>
      </c>
      <c r="G60" s="625"/>
      <c r="H60" s="625"/>
      <c r="I60" s="646"/>
      <c r="J60" s="647" t="s">
        <v>482</v>
      </c>
      <c r="K60" s="648"/>
      <c r="L60" s="649" t="s">
        <v>454</v>
      </c>
      <c r="M60" s="650" t="s">
        <v>455</v>
      </c>
      <c r="N60" s="651" t="s">
        <v>456</v>
      </c>
      <c r="O60" s="624"/>
    </row>
    <row r="61" ht="15.75" customHeight="1">
      <c r="A61" s="646"/>
      <c r="B61" s="652" t="s">
        <v>483</v>
      </c>
      <c r="C61" s="653"/>
      <c r="D61" s="654">
        <v>6146.0</v>
      </c>
      <c r="E61" s="654">
        <v>74.6</v>
      </c>
      <c r="F61" s="655">
        <v>-1.1</v>
      </c>
      <c r="G61" s="625"/>
      <c r="H61" s="625"/>
      <c r="I61" s="646"/>
      <c r="J61" s="652" t="s">
        <v>483</v>
      </c>
      <c r="K61" s="653"/>
      <c r="L61" s="654">
        <v>9120.0</v>
      </c>
      <c r="M61" s="654">
        <v>76.5</v>
      </c>
      <c r="N61" s="656" t="s">
        <v>484</v>
      </c>
      <c r="O61" s="624"/>
    </row>
    <row r="62" ht="15.75" customHeight="1">
      <c r="A62" s="646"/>
      <c r="B62" s="657"/>
      <c r="C62" s="625"/>
      <c r="D62" s="658"/>
      <c r="E62" s="622"/>
      <c r="K62" s="625"/>
      <c r="L62" s="658"/>
      <c r="M62" s="658"/>
      <c r="N62" s="658"/>
      <c r="O62" s="624"/>
    </row>
    <row r="63" ht="15.75" customHeight="1">
      <c r="A63" s="659"/>
      <c r="B63" s="660" t="s">
        <v>485</v>
      </c>
      <c r="G63" s="625"/>
      <c r="H63" s="625"/>
      <c r="I63" s="659"/>
      <c r="J63" s="660" t="s">
        <v>486</v>
      </c>
      <c r="O63" s="661"/>
    </row>
    <row r="64" ht="15.75" customHeight="1">
      <c r="A64" s="659"/>
      <c r="B64" s="662" t="s">
        <v>443</v>
      </c>
      <c r="C64" s="663"/>
      <c r="D64" s="664" t="s">
        <v>454</v>
      </c>
      <c r="E64" s="664" t="s">
        <v>455</v>
      </c>
      <c r="F64" s="665" t="s">
        <v>456</v>
      </c>
      <c r="G64" s="625"/>
      <c r="H64" s="625"/>
      <c r="I64" s="659"/>
      <c r="J64" s="662" t="s">
        <v>443</v>
      </c>
      <c r="K64" s="663"/>
      <c r="L64" s="664" t="s">
        <v>454</v>
      </c>
      <c r="M64" s="664" t="s">
        <v>455</v>
      </c>
      <c r="N64" s="665" t="s">
        <v>456</v>
      </c>
      <c r="O64" s="646"/>
    </row>
    <row r="65" ht="15.75" customHeight="1">
      <c r="A65" s="666">
        <v>1.0</v>
      </c>
      <c r="B65" s="667" t="s">
        <v>487</v>
      </c>
      <c r="C65" s="668"/>
      <c r="D65" s="654" t="s">
        <v>481</v>
      </c>
      <c r="E65" s="654">
        <v>100.0</v>
      </c>
      <c r="F65" s="669">
        <v>116.7</v>
      </c>
      <c r="G65" s="625"/>
      <c r="H65" s="625"/>
      <c r="I65" s="666">
        <v>1.0</v>
      </c>
      <c r="J65" s="667" t="s">
        <v>466</v>
      </c>
      <c r="K65" s="668"/>
      <c r="L65" s="654">
        <v>6352.0</v>
      </c>
      <c r="M65" s="654">
        <v>78.4</v>
      </c>
      <c r="N65" s="670" t="s">
        <v>488</v>
      </c>
      <c r="O65" s="646"/>
    </row>
    <row r="66" ht="15.75" customHeight="1">
      <c r="A66" s="666">
        <v>2.0</v>
      </c>
      <c r="B66" s="667" t="s">
        <v>469</v>
      </c>
      <c r="C66" s="668"/>
      <c r="D66" s="654">
        <v>1153.0</v>
      </c>
      <c r="E66" s="654">
        <v>80.0</v>
      </c>
      <c r="F66" s="669">
        <v>3.4</v>
      </c>
      <c r="G66" s="625"/>
      <c r="H66" s="625"/>
      <c r="I66" s="666">
        <v>2.0</v>
      </c>
      <c r="J66" s="667" t="s">
        <v>462</v>
      </c>
      <c r="K66" s="668"/>
      <c r="L66" s="654">
        <v>4481.0</v>
      </c>
      <c r="M66" s="654">
        <v>78.2</v>
      </c>
      <c r="N66" s="670" t="s">
        <v>489</v>
      </c>
      <c r="O66" s="646"/>
    </row>
    <row r="67" ht="15.75" customHeight="1">
      <c r="A67" s="666">
        <v>3.0</v>
      </c>
      <c r="B67" s="667" t="s">
        <v>458</v>
      </c>
      <c r="C67" s="668"/>
      <c r="D67" s="654">
        <v>2820.0</v>
      </c>
      <c r="E67" s="654">
        <v>79.1</v>
      </c>
      <c r="F67" s="669">
        <v>3.5</v>
      </c>
      <c r="G67" s="625"/>
      <c r="H67" s="625"/>
      <c r="I67" s="666">
        <v>3.0</v>
      </c>
      <c r="J67" s="667" t="s">
        <v>458</v>
      </c>
      <c r="K67" s="668"/>
      <c r="L67" s="654">
        <v>9219.0</v>
      </c>
      <c r="M67" s="654">
        <v>77.3</v>
      </c>
      <c r="N67" s="670" t="s">
        <v>490</v>
      </c>
      <c r="O67" s="646"/>
    </row>
    <row r="68" ht="15.75" customHeight="1">
      <c r="A68" s="666">
        <v>4.0</v>
      </c>
      <c r="B68" s="667" t="s">
        <v>457</v>
      </c>
      <c r="C68" s="668"/>
      <c r="D68" s="654">
        <v>1201.0</v>
      </c>
      <c r="E68" s="654">
        <v>79.1</v>
      </c>
      <c r="F68" s="669">
        <v>2.4</v>
      </c>
      <c r="G68" s="625"/>
      <c r="H68" s="625"/>
      <c r="I68" s="666">
        <v>4.0</v>
      </c>
      <c r="J68" s="667" t="s">
        <v>469</v>
      </c>
      <c r="K68" s="668"/>
      <c r="L68" s="654">
        <v>4128.0</v>
      </c>
      <c r="M68" s="654">
        <v>76.9</v>
      </c>
      <c r="N68" s="670" t="s">
        <v>491</v>
      </c>
      <c r="O68" s="646"/>
    </row>
    <row r="69" ht="15.75" customHeight="1">
      <c r="A69" s="666">
        <v>5.0</v>
      </c>
      <c r="B69" s="667" t="s">
        <v>466</v>
      </c>
      <c r="C69" s="668"/>
      <c r="D69" s="654">
        <v>1928.0</v>
      </c>
      <c r="E69" s="654">
        <v>79.0</v>
      </c>
      <c r="F69" s="669">
        <v>0.4</v>
      </c>
      <c r="G69" s="625"/>
      <c r="H69" s="625"/>
      <c r="I69" s="666">
        <v>5.0</v>
      </c>
      <c r="J69" s="667" t="s">
        <v>457</v>
      </c>
      <c r="K69" s="668"/>
      <c r="L69" s="654">
        <v>3965.0</v>
      </c>
      <c r="M69" s="654">
        <v>76.1</v>
      </c>
      <c r="N69" s="670" t="s">
        <v>492</v>
      </c>
      <c r="O69" s="646"/>
    </row>
    <row r="70" ht="15.75" customHeight="1">
      <c r="A70" s="666">
        <v>6.0</v>
      </c>
      <c r="B70" s="667" t="s">
        <v>460</v>
      </c>
      <c r="C70" s="668"/>
      <c r="D70" s="654">
        <v>2702.0</v>
      </c>
      <c r="E70" s="654">
        <v>78.7</v>
      </c>
      <c r="F70" s="669">
        <v>4.7</v>
      </c>
      <c r="G70" s="625"/>
      <c r="H70" s="625"/>
      <c r="I70" s="666">
        <v>6.0</v>
      </c>
      <c r="J70" s="667" t="s">
        <v>460</v>
      </c>
      <c r="K70" s="668"/>
      <c r="L70" s="654">
        <v>7419.0</v>
      </c>
      <c r="M70" s="654">
        <v>75.6</v>
      </c>
      <c r="N70" s="670" t="s">
        <v>493</v>
      </c>
      <c r="O70" s="646"/>
    </row>
    <row r="71" ht="15.75" customHeight="1">
      <c r="A71" s="666">
        <v>7.0</v>
      </c>
      <c r="B71" s="667" t="s">
        <v>462</v>
      </c>
      <c r="C71" s="668"/>
      <c r="D71" s="654">
        <v>1338.0</v>
      </c>
      <c r="E71" s="654">
        <v>77.5</v>
      </c>
      <c r="F71" s="671">
        <v>-1.3</v>
      </c>
      <c r="G71" s="625"/>
      <c r="H71" s="625"/>
      <c r="I71" s="666">
        <v>7.0</v>
      </c>
      <c r="J71" s="667" t="s">
        <v>467</v>
      </c>
      <c r="K71" s="668"/>
      <c r="L71" s="654">
        <v>4516.0</v>
      </c>
      <c r="M71" s="654">
        <v>74.2</v>
      </c>
      <c r="N71" s="671">
        <v>-2.7</v>
      </c>
      <c r="O71" s="646"/>
    </row>
    <row r="72" ht="15.75" customHeight="1">
      <c r="A72" s="666">
        <v>8.0</v>
      </c>
      <c r="B72" s="667" t="s">
        <v>467</v>
      </c>
      <c r="C72" s="668"/>
      <c r="D72" s="654">
        <v>1438.0</v>
      </c>
      <c r="E72" s="654">
        <v>77.5</v>
      </c>
      <c r="F72" s="669">
        <v>2.2</v>
      </c>
      <c r="G72" s="625"/>
      <c r="H72" s="625"/>
      <c r="I72" s="666">
        <v>8.0</v>
      </c>
      <c r="J72" s="667" t="s">
        <v>464</v>
      </c>
      <c r="K72" s="668"/>
      <c r="L72" s="654">
        <v>14652.0</v>
      </c>
      <c r="M72" s="654">
        <v>73.2</v>
      </c>
      <c r="N72" s="670" t="s">
        <v>494</v>
      </c>
      <c r="O72" s="646"/>
    </row>
    <row r="73" ht="15.75" customHeight="1">
      <c r="A73" s="666">
        <v>9.0</v>
      </c>
      <c r="B73" s="667" t="s">
        <v>464</v>
      </c>
      <c r="C73" s="668"/>
      <c r="D73" s="654">
        <v>4528.0</v>
      </c>
      <c r="E73" s="654">
        <v>76.5</v>
      </c>
      <c r="F73" s="669">
        <v>3.8</v>
      </c>
      <c r="G73" s="625"/>
      <c r="H73" s="625"/>
      <c r="I73" s="666">
        <v>9.0</v>
      </c>
      <c r="J73" s="667" t="s">
        <v>474</v>
      </c>
      <c r="K73" s="668"/>
      <c r="L73" s="654">
        <v>66734.0</v>
      </c>
      <c r="M73" s="654">
        <v>71.3</v>
      </c>
      <c r="N73" s="670" t="s">
        <v>484</v>
      </c>
      <c r="O73" s="646"/>
    </row>
    <row r="74" ht="15.75" customHeight="1">
      <c r="A74" s="666">
        <v>10.0</v>
      </c>
      <c r="B74" s="667" t="s">
        <v>471</v>
      </c>
      <c r="C74" s="668"/>
      <c r="D74" s="654">
        <v>1440.0</v>
      </c>
      <c r="E74" s="654">
        <v>73.4</v>
      </c>
      <c r="F74" s="669">
        <v>5.4</v>
      </c>
      <c r="G74" s="625"/>
      <c r="H74" s="625"/>
      <c r="I74" s="666">
        <v>10.0</v>
      </c>
      <c r="J74" s="667" t="s">
        <v>471</v>
      </c>
      <c r="K74" s="668"/>
      <c r="L74" s="654">
        <v>4671.0</v>
      </c>
      <c r="M74" s="654">
        <v>70.4</v>
      </c>
      <c r="N74" s="670" t="s">
        <v>491</v>
      </c>
      <c r="O74" s="646"/>
    </row>
    <row r="75" ht="15.75" customHeight="1">
      <c r="A75" s="666">
        <v>11.0</v>
      </c>
      <c r="B75" s="667" t="s">
        <v>474</v>
      </c>
      <c r="C75" s="668"/>
      <c r="D75" s="654">
        <v>19745.0</v>
      </c>
      <c r="E75" s="654">
        <v>72.1</v>
      </c>
      <c r="F75" s="669">
        <v>0.2</v>
      </c>
      <c r="G75" s="625"/>
      <c r="H75" s="625"/>
      <c r="I75" s="672">
        <v>11.0</v>
      </c>
      <c r="J75" s="673" t="s">
        <v>475</v>
      </c>
      <c r="K75" s="674"/>
      <c r="L75" s="675">
        <v>15041.0</v>
      </c>
      <c r="M75" s="675">
        <v>70.1</v>
      </c>
      <c r="N75" s="670" t="s">
        <v>495</v>
      </c>
      <c r="O75" s="646"/>
    </row>
    <row r="76" ht="15.75" customHeight="1">
      <c r="A76" s="672">
        <v>12.0</v>
      </c>
      <c r="B76" s="673" t="s">
        <v>475</v>
      </c>
      <c r="C76" s="674"/>
      <c r="D76" s="675">
        <v>4258.0</v>
      </c>
      <c r="E76" s="675">
        <v>71.1</v>
      </c>
      <c r="F76" s="669">
        <v>2.3</v>
      </c>
      <c r="G76" s="625"/>
      <c r="H76" s="625"/>
      <c r="I76" s="666">
        <v>12.0</v>
      </c>
      <c r="J76" s="667" t="s">
        <v>487</v>
      </c>
      <c r="K76" s="668"/>
      <c r="L76" s="654" t="s">
        <v>496</v>
      </c>
      <c r="M76" s="654">
        <v>8.3</v>
      </c>
      <c r="N76" s="670" t="s">
        <v>497</v>
      </c>
      <c r="O76" s="646"/>
    </row>
    <row r="77" ht="15.75" customHeight="1">
      <c r="A77" s="666">
        <v>13.0</v>
      </c>
      <c r="B77" s="667" t="s">
        <v>480</v>
      </c>
      <c r="C77" s="676"/>
      <c r="D77" s="654" t="s">
        <v>498</v>
      </c>
      <c r="E77" s="677">
        <v>60.0</v>
      </c>
      <c r="F77" s="669">
        <v>1.7</v>
      </c>
      <c r="G77" s="625"/>
      <c r="H77" s="625"/>
      <c r="I77" s="666">
        <v>13.0</v>
      </c>
      <c r="J77" s="667" t="s">
        <v>477</v>
      </c>
      <c r="K77" s="676"/>
      <c r="L77" s="654">
        <v>211.0</v>
      </c>
      <c r="M77" s="677">
        <v>4.3</v>
      </c>
      <c r="N77" s="671">
        <v>-1.9</v>
      </c>
      <c r="O77" s="646"/>
    </row>
    <row r="78" ht="15.75" customHeight="1">
      <c r="A78" s="666">
        <v>14.0</v>
      </c>
      <c r="B78" s="678" t="s">
        <v>477</v>
      </c>
      <c r="C78" s="679"/>
      <c r="D78" s="680">
        <v>40.0</v>
      </c>
      <c r="E78" s="680">
        <v>2.5</v>
      </c>
      <c r="F78" s="671">
        <v>-3.9</v>
      </c>
      <c r="G78" s="625"/>
      <c r="H78" s="625"/>
      <c r="I78" s="666">
        <v>14.0</v>
      </c>
      <c r="J78" s="678" t="s">
        <v>480</v>
      </c>
      <c r="K78" s="679"/>
      <c r="L78" s="680">
        <v>34.0</v>
      </c>
      <c r="M78" s="680">
        <v>2.9</v>
      </c>
      <c r="N78" s="670" t="s">
        <v>499</v>
      </c>
      <c r="O78" s="646"/>
    </row>
    <row r="79" ht="15.75" customHeight="1">
      <c r="A79" s="659"/>
      <c r="B79" s="662" t="s">
        <v>482</v>
      </c>
      <c r="C79" s="663"/>
      <c r="D79" s="664" t="s">
        <v>454</v>
      </c>
      <c r="E79" s="681" t="s">
        <v>455</v>
      </c>
      <c r="F79" s="682" t="s">
        <v>456</v>
      </c>
      <c r="G79" s="625"/>
      <c r="H79" s="625"/>
      <c r="I79" s="659"/>
      <c r="J79" s="662" t="s">
        <v>482</v>
      </c>
      <c r="K79" s="663"/>
      <c r="L79" s="664" t="s">
        <v>454</v>
      </c>
      <c r="M79" s="681" t="s">
        <v>455</v>
      </c>
      <c r="N79" s="682" t="s">
        <v>456</v>
      </c>
      <c r="O79" s="646"/>
    </row>
    <row r="80" ht="15.75" customHeight="1">
      <c r="A80" s="659"/>
      <c r="B80" s="683" t="s">
        <v>483</v>
      </c>
      <c r="C80" s="684"/>
      <c r="D80" s="685">
        <v>42597.0</v>
      </c>
      <c r="E80" s="685">
        <v>74.4</v>
      </c>
      <c r="F80" s="686" t="s">
        <v>500</v>
      </c>
      <c r="G80" s="625"/>
      <c r="H80" s="625"/>
      <c r="I80" s="659"/>
      <c r="J80" s="683" t="s">
        <v>483</v>
      </c>
      <c r="K80" s="684"/>
      <c r="L80" s="685">
        <v>141435.0</v>
      </c>
      <c r="M80" s="685">
        <v>72.8</v>
      </c>
      <c r="N80" s="686" t="s">
        <v>501</v>
      </c>
      <c r="O80" s="646"/>
    </row>
    <row r="81" ht="15.75" customHeight="1">
      <c r="A81" s="646"/>
      <c r="B81" s="687"/>
      <c r="C81" s="646"/>
      <c r="D81" s="688"/>
      <c r="E81" s="688"/>
      <c r="F81" s="688"/>
      <c r="G81" s="646"/>
      <c r="H81" s="646"/>
      <c r="I81" s="689"/>
      <c r="J81" s="689"/>
      <c r="K81" s="690"/>
      <c r="L81" s="691"/>
      <c r="M81" s="691"/>
      <c r="N81" s="692"/>
      <c r="O81" s="646"/>
    </row>
    <row r="82" ht="15.75" customHeight="1">
      <c r="A82" s="646"/>
      <c r="B82" s="687"/>
      <c r="C82" s="646"/>
      <c r="D82" s="688"/>
      <c r="E82" s="688"/>
      <c r="F82" s="688"/>
      <c r="G82" s="646"/>
      <c r="H82" s="646"/>
      <c r="I82" s="689"/>
      <c r="J82" s="689"/>
      <c r="K82" s="690"/>
      <c r="L82" s="691"/>
      <c r="M82" s="691"/>
      <c r="N82" s="692"/>
      <c r="O82" s="646"/>
    </row>
    <row r="83" ht="15.75" customHeight="1">
      <c r="A83" s="646"/>
      <c r="B83" s="687"/>
      <c r="C83" s="646"/>
      <c r="D83" s="688"/>
      <c r="E83" s="688"/>
      <c r="F83" s="688"/>
      <c r="G83" s="646"/>
      <c r="H83" s="646"/>
      <c r="I83" s="689"/>
      <c r="J83" s="689"/>
      <c r="K83" s="690"/>
      <c r="L83" s="691"/>
      <c r="M83" s="691"/>
      <c r="N83" s="692"/>
      <c r="O83" s="646"/>
    </row>
    <row r="84" ht="15.75" customHeight="1">
      <c r="A84" s="646"/>
      <c r="B84" s="687"/>
      <c r="C84" s="646"/>
      <c r="D84" s="688"/>
      <c r="E84" s="688"/>
      <c r="F84" s="688"/>
      <c r="G84" s="646"/>
      <c r="H84" s="646"/>
      <c r="I84" s="689"/>
      <c r="J84" s="689"/>
      <c r="K84" s="690"/>
      <c r="L84" s="691"/>
      <c r="M84" s="691"/>
      <c r="N84" s="692"/>
      <c r="O84" s="646"/>
    </row>
    <row r="85" ht="15.75" customHeight="1">
      <c r="A85" s="646"/>
      <c r="B85" s="687"/>
      <c r="C85" s="646"/>
      <c r="D85" s="688"/>
      <c r="E85" s="688"/>
      <c r="F85" s="688"/>
      <c r="G85" s="646"/>
      <c r="H85" s="646"/>
      <c r="I85" s="689"/>
      <c r="J85" s="689"/>
      <c r="K85" s="690"/>
      <c r="L85" s="691"/>
      <c r="M85" s="691"/>
      <c r="N85" s="692"/>
      <c r="O85" s="646"/>
    </row>
    <row r="86" ht="15.75" customHeight="1">
      <c r="A86" s="646"/>
      <c r="B86" s="687"/>
      <c r="C86" s="646"/>
      <c r="D86" s="688"/>
      <c r="E86" s="688"/>
      <c r="F86" s="688"/>
      <c r="G86" s="646"/>
      <c r="H86" s="646"/>
      <c r="I86" s="689"/>
      <c r="J86" s="689"/>
      <c r="K86" s="690"/>
      <c r="L86" s="691"/>
      <c r="M86" s="691"/>
      <c r="N86" s="692"/>
      <c r="O86" s="646"/>
    </row>
    <row r="87" ht="15.75" customHeight="1">
      <c r="A87" s="646"/>
      <c r="B87" s="687"/>
      <c r="C87" s="646"/>
      <c r="D87" s="688"/>
      <c r="E87" s="688"/>
      <c r="F87" s="688"/>
      <c r="G87" s="646"/>
      <c r="H87" s="646"/>
      <c r="I87" s="689"/>
      <c r="J87" s="689"/>
      <c r="K87" s="690"/>
      <c r="L87" s="691"/>
      <c r="M87" s="691"/>
      <c r="N87" s="692"/>
      <c r="O87" s="646"/>
    </row>
    <row r="88" ht="15.75" customHeight="1">
      <c r="A88" s="646"/>
      <c r="B88" s="687"/>
      <c r="C88" s="646"/>
      <c r="D88" s="688"/>
      <c r="E88" s="688"/>
      <c r="F88" s="688"/>
      <c r="G88" s="646"/>
      <c r="H88" s="646"/>
      <c r="I88" s="689"/>
      <c r="J88" s="689"/>
      <c r="K88" s="690"/>
      <c r="L88" s="691"/>
      <c r="M88" s="691"/>
      <c r="N88" s="692"/>
      <c r="O88" s="646"/>
    </row>
    <row r="89" ht="15.75" customHeight="1">
      <c r="A89" s="646"/>
      <c r="B89" s="687"/>
      <c r="C89" s="646"/>
      <c r="D89" s="688"/>
      <c r="E89" s="688"/>
      <c r="F89" s="688"/>
      <c r="G89" s="646"/>
      <c r="H89" s="646"/>
      <c r="I89" s="693"/>
      <c r="J89" s="694"/>
      <c r="K89" s="695"/>
      <c r="L89" s="696"/>
      <c r="M89" s="696"/>
      <c r="N89" s="692"/>
      <c r="O89" s="624"/>
    </row>
  </sheetData>
  <mergeCells count="12">
    <mergeCell ref="B44:F44"/>
    <mergeCell ref="J44:N44"/>
    <mergeCell ref="E62:J62"/>
    <mergeCell ref="B63:F63"/>
    <mergeCell ref="J63:N63"/>
    <mergeCell ref="B1:O1"/>
    <mergeCell ref="B2:O3"/>
    <mergeCell ref="B5:G5"/>
    <mergeCell ref="B6:G6"/>
    <mergeCell ref="J6:O6"/>
    <mergeCell ref="J17:O17"/>
    <mergeCell ref="J27:O27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4.86"/>
    <col customWidth="1" min="2" max="3" width="5.86"/>
    <col customWidth="1" min="4" max="4" width="23.14"/>
    <col customWidth="1" min="5" max="5" width="18.86"/>
    <col customWidth="1" min="6" max="6" width="16.71"/>
    <col customWidth="1" min="7" max="7" width="15.0"/>
    <col customWidth="1" min="8" max="11" width="3.71"/>
    <col customWidth="1" min="12" max="12" width="1.57"/>
    <col customWidth="1" min="13" max="14" width="5.86"/>
    <col customWidth="1" min="15" max="15" width="20.71"/>
    <col customWidth="1" min="16" max="16" width="15.29"/>
    <col customWidth="1" min="17" max="17" width="18.43"/>
    <col customWidth="1" min="18" max="18" width="14.0"/>
    <col customWidth="1" min="19" max="22" width="3.71"/>
  </cols>
  <sheetData>
    <row r="1" ht="15.75" customHeight="1">
      <c r="A1" s="697" t="s">
        <v>502</v>
      </c>
      <c r="B1" s="698">
        <v>46173.0</v>
      </c>
      <c r="C1" s="699"/>
      <c r="D1" s="699"/>
      <c r="E1" s="699"/>
      <c r="F1" s="699"/>
      <c r="G1" s="699"/>
      <c r="H1" s="699"/>
      <c r="I1" s="699"/>
      <c r="J1" s="699"/>
      <c r="K1" s="699"/>
      <c r="L1" s="699"/>
      <c r="M1" s="699"/>
      <c r="N1" s="699"/>
      <c r="O1" s="699"/>
      <c r="P1" s="699"/>
      <c r="Q1" s="699"/>
      <c r="R1" s="700"/>
      <c r="S1" s="701"/>
      <c r="T1" s="701"/>
      <c r="U1" s="701"/>
      <c r="V1" s="702"/>
    </row>
    <row r="2" ht="51.0" customHeight="1">
      <c r="A2" s="703"/>
      <c r="B2" s="704"/>
      <c r="C2" s="699"/>
      <c r="D2" s="699"/>
      <c r="E2" s="699"/>
      <c r="F2" s="699"/>
      <c r="G2" s="700"/>
      <c r="H2" s="705"/>
      <c r="I2" s="705"/>
      <c r="J2" s="705"/>
      <c r="K2" s="705"/>
      <c r="L2" s="706"/>
      <c r="M2" s="704"/>
      <c r="N2" s="699"/>
      <c r="O2" s="699"/>
      <c r="P2" s="699"/>
      <c r="Q2" s="699"/>
      <c r="R2" s="700"/>
      <c r="S2" s="707"/>
      <c r="T2" s="707"/>
      <c r="U2" s="707"/>
      <c r="V2" s="708"/>
    </row>
    <row r="3" ht="15.75" customHeight="1">
      <c r="A3" s="709"/>
      <c r="B3" s="710" t="s">
        <v>4</v>
      </c>
      <c r="C3" s="711" t="s">
        <v>5</v>
      </c>
      <c r="D3" s="711" t="s">
        <v>6</v>
      </c>
      <c r="E3" s="711" t="s">
        <v>7</v>
      </c>
      <c r="F3" s="711" t="s">
        <v>8</v>
      </c>
      <c r="G3" s="711" t="s">
        <v>9</v>
      </c>
      <c r="H3" s="712" t="s">
        <v>10</v>
      </c>
      <c r="I3" s="712" t="s">
        <v>11</v>
      </c>
      <c r="J3" s="712" t="s">
        <v>12</v>
      </c>
      <c r="K3" s="713" t="s">
        <v>13</v>
      </c>
      <c r="L3" s="714"/>
      <c r="M3" s="715" t="s">
        <v>4</v>
      </c>
      <c r="N3" s="716" t="s">
        <v>5</v>
      </c>
      <c r="O3" s="717" t="s">
        <v>6</v>
      </c>
      <c r="P3" s="717" t="s">
        <v>7</v>
      </c>
      <c r="Q3" s="717" t="s">
        <v>8</v>
      </c>
      <c r="R3" s="718" t="s">
        <v>9</v>
      </c>
      <c r="S3" s="719" t="s">
        <v>10</v>
      </c>
      <c r="T3" s="720" t="s">
        <v>11</v>
      </c>
      <c r="U3" s="720" t="s">
        <v>12</v>
      </c>
      <c r="V3" s="721"/>
    </row>
    <row r="4" ht="15.75" customHeight="1">
      <c r="A4" s="35" t="s">
        <v>15</v>
      </c>
      <c r="B4" s="722" t="s">
        <v>16</v>
      </c>
      <c r="C4" s="46" t="s">
        <v>503</v>
      </c>
      <c r="D4" s="723" t="s">
        <v>55</v>
      </c>
      <c r="E4" s="724" t="s">
        <v>56</v>
      </c>
      <c r="F4" s="724" t="s">
        <v>57</v>
      </c>
      <c r="G4" s="725" t="s">
        <v>58</v>
      </c>
      <c r="H4" s="726" t="s">
        <v>65</v>
      </c>
      <c r="I4" s="727" t="s">
        <v>504</v>
      </c>
      <c r="J4" s="727" t="s">
        <v>42</v>
      </c>
      <c r="K4" s="728" t="s">
        <v>66</v>
      </c>
      <c r="L4" s="729" t="s">
        <v>52</v>
      </c>
      <c r="M4" s="730" t="s">
        <v>16</v>
      </c>
      <c r="N4" s="731"/>
      <c r="O4" s="69"/>
      <c r="P4" s="724"/>
      <c r="Q4" s="724"/>
      <c r="R4" s="732"/>
      <c r="S4" s="726"/>
      <c r="T4" s="727"/>
      <c r="U4" s="727"/>
      <c r="V4" s="733"/>
    </row>
    <row r="5" ht="15.75" customHeight="1">
      <c r="A5" s="47" t="s">
        <v>34</v>
      </c>
      <c r="B5" s="722" t="s">
        <v>35</v>
      </c>
      <c r="C5" s="37" t="s">
        <v>381</v>
      </c>
      <c r="D5" s="723"/>
      <c r="E5" s="40"/>
      <c r="F5" s="40"/>
      <c r="G5" s="41"/>
      <c r="H5" s="734"/>
      <c r="I5" s="735"/>
      <c r="J5" s="735"/>
      <c r="K5" s="736"/>
      <c r="L5" s="737"/>
      <c r="M5" s="738" t="s">
        <v>35</v>
      </c>
      <c r="N5" s="731"/>
      <c r="O5" s="40"/>
      <c r="P5" s="739"/>
      <c r="Q5" s="35"/>
      <c r="R5" s="725"/>
      <c r="S5" s="734"/>
      <c r="T5" s="735"/>
      <c r="U5" s="735"/>
      <c r="V5" s="733"/>
    </row>
    <row r="6" ht="15.75" customHeight="1">
      <c r="A6" s="47" t="s">
        <v>52</v>
      </c>
      <c r="B6" s="722" t="s">
        <v>53</v>
      </c>
      <c r="C6" s="37" t="s">
        <v>386</v>
      </c>
      <c r="D6" s="69" t="s">
        <v>37</v>
      </c>
      <c r="E6" s="1"/>
      <c r="F6" s="1" t="s">
        <v>39</v>
      </c>
      <c r="G6" s="48" t="s">
        <v>40</v>
      </c>
      <c r="H6" s="734" t="s">
        <v>104</v>
      </c>
      <c r="I6" s="735" t="s">
        <v>504</v>
      </c>
      <c r="J6" s="735" t="s">
        <v>42</v>
      </c>
      <c r="K6" s="736" t="s">
        <v>81</v>
      </c>
      <c r="L6" s="729" t="s">
        <v>15</v>
      </c>
      <c r="M6" s="730" t="s">
        <v>53</v>
      </c>
      <c r="N6" s="731"/>
      <c r="O6" s="40"/>
      <c r="P6" s="724"/>
      <c r="Q6" s="740"/>
      <c r="R6" s="741"/>
      <c r="S6" s="734"/>
      <c r="T6" s="735"/>
      <c r="U6" s="735"/>
      <c r="V6" s="733"/>
    </row>
    <row r="7" ht="15.75" customHeight="1">
      <c r="A7" s="47" t="s">
        <v>65</v>
      </c>
      <c r="B7" s="742" t="s">
        <v>69</v>
      </c>
      <c r="C7" s="89" t="s">
        <v>82</v>
      </c>
      <c r="D7" s="743"/>
      <c r="E7" s="744"/>
      <c r="F7" s="745"/>
      <c r="G7" s="746"/>
      <c r="H7" s="734"/>
      <c r="I7" s="735"/>
      <c r="J7" s="735"/>
      <c r="K7" s="736"/>
      <c r="L7" s="737"/>
      <c r="M7" s="747" t="s">
        <v>69</v>
      </c>
      <c r="N7" s="748" t="s">
        <v>76</v>
      </c>
      <c r="O7" s="749"/>
      <c r="P7" s="745"/>
      <c r="Q7" s="745"/>
      <c r="R7" s="750"/>
      <c r="S7" s="734"/>
      <c r="T7" s="735"/>
      <c r="U7" s="735"/>
      <c r="V7" s="733"/>
    </row>
    <row r="8" ht="15.75" customHeight="1">
      <c r="A8" s="47" t="s">
        <v>31</v>
      </c>
      <c r="B8" s="742" t="s">
        <v>84</v>
      </c>
      <c r="C8" s="93"/>
      <c r="D8" s="751"/>
      <c r="E8" s="744"/>
      <c r="F8" s="752"/>
      <c r="G8" s="96"/>
      <c r="H8" s="734"/>
      <c r="I8" s="735"/>
      <c r="J8" s="735"/>
      <c r="K8" s="736"/>
      <c r="L8" s="737"/>
      <c r="M8" s="747" t="s">
        <v>84</v>
      </c>
      <c r="N8" s="745" t="s">
        <v>90</v>
      </c>
      <c r="O8" s="90"/>
      <c r="P8" s="745"/>
      <c r="Q8" s="745"/>
      <c r="R8" s="750"/>
      <c r="S8" s="734"/>
      <c r="T8" s="735"/>
      <c r="U8" s="753"/>
      <c r="V8" s="733"/>
    </row>
    <row r="9" ht="15.75" customHeight="1">
      <c r="A9" s="35" t="s">
        <v>22</v>
      </c>
      <c r="B9" s="17" t="s">
        <v>93</v>
      </c>
      <c r="C9" s="117" t="s">
        <v>505</v>
      </c>
      <c r="D9" s="102" t="s">
        <v>100</v>
      </c>
      <c r="E9" s="47" t="s">
        <v>506</v>
      </c>
      <c r="F9" s="47" t="s">
        <v>102</v>
      </c>
      <c r="G9" s="47" t="s">
        <v>103</v>
      </c>
      <c r="H9" s="734" t="s">
        <v>65</v>
      </c>
      <c r="I9" s="735" t="s">
        <v>23</v>
      </c>
      <c r="J9" s="735" t="s">
        <v>24</v>
      </c>
      <c r="K9" s="736" t="s">
        <v>111</v>
      </c>
      <c r="L9" s="754"/>
      <c r="M9" s="755" t="s">
        <v>93</v>
      </c>
      <c r="N9" s="756" t="s">
        <v>507</v>
      </c>
      <c r="O9" s="130"/>
      <c r="P9" s="739"/>
      <c r="Q9" s="739"/>
      <c r="R9" s="757"/>
      <c r="S9" s="734"/>
      <c r="T9" s="735"/>
      <c r="U9" s="735"/>
      <c r="V9" s="733"/>
    </row>
    <row r="10" ht="15.75" customHeight="1">
      <c r="A10" s="35" t="s">
        <v>25</v>
      </c>
      <c r="B10" s="17" t="s">
        <v>98</v>
      </c>
      <c r="C10" s="117" t="s">
        <v>508</v>
      </c>
      <c r="D10" s="102" t="s">
        <v>138</v>
      </c>
      <c r="E10" s="357" t="s">
        <v>509</v>
      </c>
      <c r="F10" s="39" t="s">
        <v>140</v>
      </c>
      <c r="G10" s="83" t="s">
        <v>141</v>
      </c>
      <c r="H10" s="734" t="s">
        <v>49</v>
      </c>
      <c r="I10" s="735" t="s">
        <v>23</v>
      </c>
      <c r="J10" s="735" t="s">
        <v>24</v>
      </c>
      <c r="K10" s="736" t="s">
        <v>105</v>
      </c>
      <c r="L10" s="737"/>
      <c r="M10" s="758" t="s">
        <v>98</v>
      </c>
      <c r="N10" s="756" t="s">
        <v>510</v>
      </c>
      <c r="O10" s="130"/>
      <c r="P10" s="205"/>
      <c r="Q10" s="160"/>
      <c r="R10" s="759"/>
      <c r="S10" s="734"/>
      <c r="T10" s="735"/>
      <c r="U10" s="735"/>
      <c r="V10" s="733"/>
    </row>
    <row r="11" ht="15.75" customHeight="1">
      <c r="A11" s="35" t="s">
        <v>66</v>
      </c>
      <c r="B11" s="17" t="s">
        <v>118</v>
      </c>
      <c r="C11" s="117" t="s">
        <v>511</v>
      </c>
      <c r="D11" s="102" t="s">
        <v>407</v>
      </c>
      <c r="E11" s="39" t="s">
        <v>512</v>
      </c>
      <c r="F11" s="47" t="s">
        <v>513</v>
      </c>
      <c r="G11" s="48" t="s">
        <v>514</v>
      </c>
      <c r="H11" s="734"/>
      <c r="I11" s="735"/>
      <c r="J11" s="735"/>
      <c r="K11" s="736"/>
      <c r="L11" s="737"/>
      <c r="M11" s="758" t="s">
        <v>118</v>
      </c>
      <c r="N11" s="760" t="s">
        <v>515</v>
      </c>
      <c r="O11" s="130"/>
      <c r="P11" s="761"/>
      <c r="Q11" s="35"/>
      <c r="R11" s="762"/>
      <c r="S11" s="734"/>
      <c r="T11" s="735"/>
      <c r="U11" s="735"/>
      <c r="V11" s="733"/>
    </row>
    <row r="12" ht="15.75" customHeight="1">
      <c r="A12" s="35" t="s">
        <v>104</v>
      </c>
      <c r="B12" s="17" t="s">
        <v>136</v>
      </c>
      <c r="C12" s="117" t="s">
        <v>516</v>
      </c>
      <c r="D12" s="102" t="s">
        <v>107</v>
      </c>
      <c r="E12" s="724" t="s">
        <v>125</v>
      </c>
      <c r="F12" s="47" t="s">
        <v>126</v>
      </c>
      <c r="G12" s="763" t="s">
        <v>127</v>
      </c>
      <c r="H12" s="734" t="s">
        <v>65</v>
      </c>
      <c r="I12" s="735" t="s">
        <v>517</v>
      </c>
      <c r="J12" s="735" t="s">
        <v>24</v>
      </c>
      <c r="K12" s="736" t="s">
        <v>105</v>
      </c>
      <c r="L12" s="737"/>
      <c r="M12" s="758" t="s">
        <v>136</v>
      </c>
      <c r="N12" s="760" t="s">
        <v>518</v>
      </c>
      <c r="O12" s="130"/>
      <c r="P12" s="764"/>
      <c r="Q12" s="764"/>
      <c r="R12" s="765"/>
      <c r="S12" s="734"/>
      <c r="T12" s="735"/>
      <c r="U12" s="735"/>
      <c r="V12" s="733"/>
    </row>
    <row r="13" ht="15.75" customHeight="1">
      <c r="A13" s="35" t="s">
        <v>152</v>
      </c>
      <c r="B13" s="17" t="s">
        <v>153</v>
      </c>
      <c r="C13" s="117" t="s">
        <v>519</v>
      </c>
      <c r="D13" s="102" t="s">
        <v>171</v>
      </c>
      <c r="E13" s="39" t="s">
        <v>520</v>
      </c>
      <c r="F13" s="47" t="s">
        <v>189</v>
      </c>
      <c r="G13" s="146" t="s">
        <v>190</v>
      </c>
      <c r="H13" s="734" t="s">
        <v>31</v>
      </c>
      <c r="I13" s="735" t="s">
        <v>504</v>
      </c>
      <c r="J13" s="735" t="s">
        <v>42</v>
      </c>
      <c r="K13" s="736" t="s">
        <v>105</v>
      </c>
      <c r="L13" s="737"/>
      <c r="M13" s="755" t="s">
        <v>153</v>
      </c>
      <c r="N13" s="760" t="s">
        <v>521</v>
      </c>
      <c r="O13" s="130"/>
      <c r="P13" s="35"/>
      <c r="Q13" s="35"/>
      <c r="R13" s="762"/>
      <c r="S13" s="734"/>
      <c r="T13" s="735"/>
      <c r="U13" s="735"/>
      <c r="V13" s="733"/>
    </row>
    <row r="14" ht="15.75" customHeight="1">
      <c r="A14" s="35" t="s">
        <v>111</v>
      </c>
      <c r="B14" s="17" t="s">
        <v>169</v>
      </c>
      <c r="C14" s="117" t="s">
        <v>522</v>
      </c>
      <c r="D14" s="102" t="s">
        <v>203</v>
      </c>
      <c r="E14" s="740" t="s">
        <v>204</v>
      </c>
      <c r="F14" s="35" t="s">
        <v>523</v>
      </c>
      <c r="G14" s="725" t="s">
        <v>524</v>
      </c>
      <c r="H14" s="734" t="s">
        <v>31</v>
      </c>
      <c r="I14" s="735" t="s">
        <v>23</v>
      </c>
      <c r="J14" s="735" t="s">
        <v>24</v>
      </c>
      <c r="K14" s="736" t="s">
        <v>134</v>
      </c>
      <c r="L14" s="737"/>
      <c r="M14" s="758" t="s">
        <v>169</v>
      </c>
      <c r="N14" s="760" t="s">
        <v>525</v>
      </c>
      <c r="O14" s="130"/>
      <c r="P14" s="766"/>
      <c r="Q14" s="739"/>
      <c r="R14" s="762"/>
      <c r="S14" s="734"/>
      <c r="T14" s="735"/>
      <c r="U14" s="735"/>
      <c r="V14" s="733"/>
    </row>
    <row r="15" ht="15.75" customHeight="1">
      <c r="A15" s="35" t="s">
        <v>43</v>
      </c>
      <c r="B15" s="17" t="s">
        <v>186</v>
      </c>
      <c r="C15" s="117" t="s">
        <v>526</v>
      </c>
      <c r="D15" s="102"/>
      <c r="E15" s="47"/>
      <c r="F15" s="47"/>
      <c r="G15" s="757"/>
      <c r="H15" s="767"/>
      <c r="I15" s="735"/>
      <c r="J15" s="768"/>
      <c r="K15" s="769"/>
      <c r="L15" s="737"/>
      <c r="M15" s="755" t="s">
        <v>186</v>
      </c>
      <c r="N15" s="760" t="s">
        <v>527</v>
      </c>
      <c r="O15" s="130"/>
      <c r="P15" s="766"/>
      <c r="Q15" s="764"/>
      <c r="R15" s="762"/>
      <c r="S15" s="767"/>
      <c r="T15" s="735"/>
      <c r="U15" s="735"/>
      <c r="V15" s="733"/>
    </row>
    <row r="16" ht="15.75" customHeight="1">
      <c r="A16" s="35" t="s">
        <v>49</v>
      </c>
      <c r="B16" s="17" t="s">
        <v>201</v>
      </c>
      <c r="C16" s="117" t="s">
        <v>528</v>
      </c>
      <c r="D16" s="102"/>
      <c r="E16" s="724"/>
      <c r="F16" s="724"/>
      <c r="G16" s="725"/>
      <c r="H16" s="734"/>
      <c r="I16" s="735"/>
      <c r="J16" s="735"/>
      <c r="K16" s="736"/>
      <c r="L16" s="770"/>
      <c r="M16" s="755" t="s">
        <v>201</v>
      </c>
      <c r="N16" s="760" t="s">
        <v>529</v>
      </c>
      <c r="O16" s="130"/>
      <c r="P16" s="771"/>
      <c r="Q16" s="724"/>
      <c r="R16" s="772"/>
      <c r="S16" s="734"/>
      <c r="T16" s="735"/>
      <c r="U16" s="735"/>
      <c r="V16" s="733"/>
    </row>
    <row r="17" ht="15.75" customHeight="1">
      <c r="A17" s="35" t="s">
        <v>134</v>
      </c>
      <c r="B17" s="17" t="s">
        <v>212</v>
      </c>
      <c r="C17" s="117" t="s">
        <v>530</v>
      </c>
      <c r="D17" s="102"/>
      <c r="E17" s="773"/>
      <c r="F17" s="766"/>
      <c r="G17" s="774"/>
      <c r="H17" s="734"/>
      <c r="I17" s="735"/>
      <c r="J17" s="735"/>
      <c r="K17" s="736"/>
      <c r="L17" s="775"/>
      <c r="M17" s="776" t="s">
        <v>212</v>
      </c>
      <c r="N17" s="777" t="s">
        <v>218</v>
      </c>
      <c r="O17" s="102"/>
      <c r="P17" s="771"/>
      <c r="Q17" s="724"/>
      <c r="R17" s="762"/>
      <c r="S17" s="734"/>
      <c r="T17" s="735"/>
      <c r="U17" s="735"/>
      <c r="V17" s="733"/>
    </row>
    <row r="18" ht="15.75" customHeight="1">
      <c r="A18" s="35" t="s">
        <v>128</v>
      </c>
      <c r="B18" s="17" t="s">
        <v>224</v>
      </c>
      <c r="C18" s="117" t="s">
        <v>531</v>
      </c>
      <c r="D18" s="102"/>
      <c r="E18" s="1"/>
      <c r="F18" s="35"/>
      <c r="G18" s="725"/>
      <c r="H18" s="316"/>
      <c r="I18" s="735"/>
      <c r="J18" s="735"/>
      <c r="K18" s="736"/>
      <c r="L18" s="775"/>
      <c r="M18" s="776" t="s">
        <v>224</v>
      </c>
      <c r="N18" s="756" t="s">
        <v>234</v>
      </c>
      <c r="O18" s="102"/>
      <c r="P18" s="47"/>
      <c r="Q18" s="47"/>
      <c r="R18" s="129"/>
      <c r="S18" s="767"/>
      <c r="T18" s="768"/>
      <c r="U18" s="768"/>
      <c r="V18" s="778"/>
    </row>
    <row r="19" ht="15.75" customHeight="1">
      <c r="A19" s="35" t="s">
        <v>81</v>
      </c>
      <c r="B19" s="17" t="s">
        <v>239</v>
      </c>
      <c r="C19" s="117" t="s">
        <v>532</v>
      </c>
      <c r="D19" s="102"/>
      <c r="E19" s="771"/>
      <c r="F19" s="724"/>
      <c r="G19" s="725"/>
      <c r="H19" s="734"/>
      <c r="I19" s="735"/>
      <c r="J19" s="735"/>
      <c r="K19" s="736"/>
      <c r="L19" s="775"/>
      <c r="M19" s="776" t="s">
        <v>239</v>
      </c>
      <c r="N19" s="777" t="s">
        <v>250</v>
      </c>
      <c r="O19" s="102"/>
      <c r="P19" s="194"/>
      <c r="Q19" s="779"/>
      <c r="R19" s="780"/>
      <c r="S19" s="734"/>
      <c r="T19" s="735"/>
      <c r="U19" s="735"/>
      <c r="V19" s="733"/>
    </row>
    <row r="20" ht="15.75" customHeight="1">
      <c r="A20" s="35" t="s">
        <v>255</v>
      </c>
      <c r="B20" s="17" t="s">
        <v>256</v>
      </c>
      <c r="C20" s="117" t="s">
        <v>533</v>
      </c>
      <c r="D20" s="102"/>
      <c r="E20" s="724"/>
      <c r="F20" s="724"/>
      <c r="G20" s="725"/>
      <c r="H20" s="734"/>
      <c r="I20" s="735"/>
      <c r="J20" s="735"/>
      <c r="K20" s="736"/>
      <c r="L20" s="775"/>
      <c r="M20" s="781" t="s">
        <v>256</v>
      </c>
      <c r="N20" s="777" t="s">
        <v>266</v>
      </c>
      <c r="O20" s="102"/>
      <c r="P20" s="1"/>
      <c r="Q20" s="35"/>
      <c r="R20" s="146"/>
      <c r="S20" s="734"/>
      <c r="T20" s="735"/>
      <c r="U20" s="735"/>
      <c r="V20" s="733"/>
    </row>
    <row r="21" ht="15.75" customHeight="1">
      <c r="A21" s="35" t="s">
        <v>105</v>
      </c>
      <c r="B21" s="17" t="s">
        <v>276</v>
      </c>
      <c r="C21" s="117" t="s">
        <v>534</v>
      </c>
      <c r="D21" s="102"/>
      <c r="E21" s="724"/>
      <c r="F21" s="771"/>
      <c r="G21" s="782"/>
      <c r="H21" s="783"/>
      <c r="I21" s="735"/>
      <c r="J21" s="735"/>
      <c r="K21" s="736"/>
      <c r="L21" s="775"/>
      <c r="M21" s="776" t="s">
        <v>276</v>
      </c>
      <c r="N21" s="777" t="s">
        <v>282</v>
      </c>
      <c r="O21" s="102"/>
      <c r="P21" s="784"/>
      <c r="Q21" s="1"/>
      <c r="R21" s="146"/>
      <c r="S21" s="785"/>
      <c r="T21" s="735"/>
      <c r="U21" s="735"/>
      <c r="V21" s="733"/>
    </row>
    <row r="22" ht="15.75" customHeight="1">
      <c r="A22" s="35" t="s">
        <v>123</v>
      </c>
      <c r="B22" s="17" t="s">
        <v>284</v>
      </c>
      <c r="C22" s="117" t="s">
        <v>535</v>
      </c>
      <c r="D22" s="102"/>
      <c r="E22" s="724"/>
      <c r="F22" s="35"/>
      <c r="G22" s="786"/>
      <c r="H22" s="734"/>
      <c r="I22" s="735"/>
      <c r="J22" s="735"/>
      <c r="K22" s="736"/>
      <c r="L22" s="775"/>
      <c r="M22" s="787" t="s">
        <v>284</v>
      </c>
      <c r="N22" s="760" t="s">
        <v>294</v>
      </c>
      <c r="O22" s="130"/>
      <c r="P22" s="1"/>
      <c r="Q22" s="724"/>
      <c r="R22" s="190"/>
      <c r="S22" s="734"/>
      <c r="T22" s="735"/>
      <c r="U22" s="735"/>
      <c r="V22" s="733"/>
    </row>
    <row r="23" ht="15.75" customHeight="1">
      <c r="A23" s="35" t="s">
        <v>223</v>
      </c>
      <c r="B23" s="204" t="s">
        <v>296</v>
      </c>
      <c r="C23" s="117" t="s">
        <v>536</v>
      </c>
      <c r="D23" s="788"/>
      <c r="E23" s="35"/>
      <c r="F23" s="35"/>
      <c r="G23" s="763"/>
      <c r="H23" s="734"/>
      <c r="I23" s="735"/>
      <c r="J23" s="735"/>
      <c r="K23" s="789"/>
      <c r="L23" s="775"/>
      <c r="M23" s="787" t="s">
        <v>296</v>
      </c>
      <c r="N23" s="790" t="s">
        <v>305</v>
      </c>
      <c r="O23" s="130"/>
      <c r="P23" s="724"/>
      <c r="Q23" s="724"/>
      <c r="R23" s="725"/>
      <c r="S23" s="734"/>
      <c r="T23" s="735"/>
      <c r="U23" s="735"/>
      <c r="V23" s="733"/>
    </row>
    <row r="24" ht="15.75" customHeight="1">
      <c r="A24" s="35" t="s">
        <v>307</v>
      </c>
      <c r="B24" s="17" t="s">
        <v>308</v>
      </c>
      <c r="C24" s="117" t="s">
        <v>537</v>
      </c>
      <c r="D24" s="102"/>
      <c r="E24" s="766"/>
      <c r="F24" s="766"/>
      <c r="G24" s="782"/>
      <c r="H24" s="734"/>
      <c r="I24" s="735"/>
      <c r="J24" s="735"/>
      <c r="K24" s="789"/>
      <c r="L24" s="775"/>
      <c r="M24" s="787" t="s">
        <v>308</v>
      </c>
      <c r="N24" s="790" t="s">
        <v>317</v>
      </c>
      <c r="O24" s="130"/>
      <c r="P24" s="739"/>
      <c r="Q24" s="35"/>
      <c r="R24" s="780"/>
      <c r="S24" s="734"/>
      <c r="T24" s="735"/>
      <c r="U24" s="735"/>
      <c r="V24" s="733"/>
    </row>
    <row r="25" ht="15.75" customHeight="1">
      <c r="A25" s="35" t="s">
        <v>319</v>
      </c>
      <c r="B25" s="17" t="s">
        <v>320</v>
      </c>
      <c r="C25" s="131" t="s">
        <v>538</v>
      </c>
      <c r="D25" s="102"/>
      <c r="E25" s="724"/>
      <c r="F25" s="35"/>
      <c r="G25" s="786"/>
      <c r="H25" s="734"/>
      <c r="I25" s="735"/>
      <c r="J25" s="735"/>
      <c r="K25" s="736"/>
      <c r="L25" s="775"/>
      <c r="M25" s="787" t="s">
        <v>320</v>
      </c>
      <c r="N25" s="790" t="s">
        <v>327</v>
      </c>
      <c r="O25" s="130"/>
      <c r="P25" s="771"/>
      <c r="Q25" s="724"/>
      <c r="R25" s="791"/>
      <c r="S25" s="753"/>
      <c r="T25" s="735"/>
      <c r="U25" s="735"/>
      <c r="V25" s="733"/>
    </row>
    <row r="26" ht="15.75" customHeight="1">
      <c r="A26" s="35" t="s">
        <v>330</v>
      </c>
      <c r="B26" s="204" t="s">
        <v>331</v>
      </c>
      <c r="C26" s="117" t="s">
        <v>539</v>
      </c>
      <c r="D26" s="130"/>
      <c r="E26" s="160"/>
      <c r="F26" s="39"/>
      <c r="G26" s="83"/>
      <c r="H26" s="734"/>
      <c r="I26" s="735"/>
      <c r="J26" s="735"/>
      <c r="K26" s="789"/>
      <c r="L26" s="775"/>
      <c r="M26" s="787" t="s">
        <v>331</v>
      </c>
      <c r="N26" s="790" t="s">
        <v>341</v>
      </c>
      <c r="O26" s="130"/>
      <c r="P26" s="792"/>
      <c r="Q26" s="35"/>
      <c r="R26" s="725"/>
      <c r="S26" s="316"/>
      <c r="T26" s="735"/>
      <c r="U26" s="735"/>
      <c r="V26" s="733"/>
    </row>
    <row r="27" ht="15.75" customHeight="1">
      <c r="A27" s="35" t="s">
        <v>343</v>
      </c>
      <c r="B27" s="793" t="s">
        <v>344</v>
      </c>
      <c r="C27" s="794" t="s">
        <v>540</v>
      </c>
      <c r="D27" s="224" t="s">
        <v>346</v>
      </c>
      <c r="E27" s="795" t="s">
        <v>541</v>
      </c>
      <c r="F27" s="796" t="s">
        <v>303</v>
      </c>
      <c r="G27" s="797" t="s">
        <v>542</v>
      </c>
      <c r="H27" s="734" t="s">
        <v>34</v>
      </c>
      <c r="I27" s="735" t="s">
        <v>23</v>
      </c>
      <c r="J27" s="735" t="s">
        <v>24</v>
      </c>
      <c r="K27" s="789" t="s">
        <v>152</v>
      </c>
      <c r="L27" s="775"/>
      <c r="M27" s="798" t="s">
        <v>344</v>
      </c>
      <c r="N27" s="794"/>
      <c r="O27" s="219"/>
      <c r="P27" s="795"/>
      <c r="Q27" s="796"/>
      <c r="R27" s="797"/>
      <c r="S27" s="734"/>
      <c r="T27" s="735"/>
      <c r="U27" s="735"/>
      <c r="V27" s="733"/>
    </row>
    <row r="28" ht="15.75" customHeight="1">
      <c r="A28" s="35" t="s">
        <v>361</v>
      </c>
      <c r="B28" s="799" t="s">
        <v>362</v>
      </c>
      <c r="C28" s="800"/>
      <c r="D28" s="801"/>
      <c r="E28" s="802"/>
      <c r="F28" s="803"/>
      <c r="G28" s="804"/>
      <c r="H28" s="805"/>
      <c r="I28" s="806"/>
      <c r="J28" s="806"/>
      <c r="K28" s="807"/>
      <c r="L28" s="737"/>
      <c r="M28" s="808" t="s">
        <v>362</v>
      </c>
      <c r="N28" s="800"/>
      <c r="O28" s="801"/>
      <c r="P28" s="802"/>
      <c r="Q28" s="803"/>
      <c r="R28" s="804"/>
      <c r="S28" s="734"/>
      <c r="T28" s="735"/>
      <c r="U28" s="735"/>
      <c r="V28" s="733"/>
    </row>
    <row r="29" ht="64.5" customHeight="1">
      <c r="A29" s="809"/>
      <c r="B29" s="810" t="s">
        <v>543</v>
      </c>
      <c r="L29" s="811"/>
      <c r="M29" s="812"/>
      <c r="N29" s="318"/>
      <c r="O29" s="813"/>
      <c r="V29" s="813"/>
    </row>
    <row r="30" ht="15.75" customHeight="1">
      <c r="A30" s="809"/>
      <c r="L30" s="814"/>
      <c r="M30" s="812"/>
      <c r="N30" s="812"/>
      <c r="O30" s="815"/>
      <c r="P30" s="813"/>
      <c r="Q30" s="813"/>
      <c r="R30" s="813"/>
      <c r="S30" s="813"/>
      <c r="T30" s="813"/>
      <c r="U30" s="813"/>
      <c r="V30" s="813"/>
    </row>
    <row r="31" ht="18.0" customHeight="1">
      <c r="A31" s="809"/>
      <c r="L31" s="814"/>
      <c r="M31" s="816"/>
      <c r="N31" s="812"/>
      <c r="O31" s="816"/>
      <c r="P31" s="812"/>
      <c r="Q31" s="812"/>
      <c r="R31" s="812"/>
      <c r="S31" s="812"/>
      <c r="T31" s="812"/>
      <c r="U31" s="812"/>
      <c r="V31" s="812"/>
    </row>
    <row r="32" ht="33.0" customHeight="1">
      <c r="A32" s="809"/>
      <c r="L32" s="814"/>
      <c r="M32" s="812"/>
      <c r="N32" s="812"/>
      <c r="O32" s="812"/>
      <c r="P32" s="817"/>
      <c r="Q32" s="817"/>
      <c r="R32" s="817"/>
      <c r="S32" s="817"/>
      <c r="T32" s="817"/>
      <c r="U32" s="817"/>
      <c r="V32" s="817"/>
    </row>
    <row r="33" ht="15.75" customHeight="1">
      <c r="A33" s="818"/>
      <c r="B33" s="819"/>
      <c r="C33" s="820"/>
      <c r="D33" s="821" t="s">
        <v>380</v>
      </c>
      <c r="E33" s="821" t="s">
        <v>544</v>
      </c>
      <c r="F33" s="821" t="s">
        <v>545</v>
      </c>
      <c r="G33" s="821"/>
      <c r="H33" s="822"/>
      <c r="I33" s="822"/>
      <c r="J33" s="822"/>
      <c r="K33" s="822"/>
      <c r="L33" s="823"/>
      <c r="M33" s="812"/>
      <c r="N33" s="812"/>
      <c r="O33" s="824"/>
      <c r="P33" s="817"/>
      <c r="Q33" s="825"/>
      <c r="R33" s="817"/>
      <c r="S33" s="817"/>
      <c r="T33" s="817"/>
      <c r="U33" s="817"/>
      <c r="V33" s="817"/>
    </row>
    <row r="34" ht="15.75" customHeight="1">
      <c r="A34" s="809"/>
      <c r="B34" s="826"/>
      <c r="C34" s="313"/>
      <c r="D34" s="827"/>
      <c r="E34" s="827"/>
      <c r="F34" s="827"/>
      <c r="G34" s="827"/>
      <c r="H34" s="822"/>
      <c r="I34" s="822"/>
      <c r="J34" s="822"/>
      <c r="K34" s="822"/>
      <c r="L34" s="812"/>
      <c r="M34" s="812"/>
      <c r="N34" s="812"/>
      <c r="O34" s="812"/>
      <c r="P34" s="812"/>
      <c r="Q34" s="825"/>
      <c r="R34" s="828"/>
      <c r="S34" s="828"/>
      <c r="T34" s="828"/>
      <c r="U34" s="828"/>
      <c r="V34" s="828"/>
    </row>
    <row r="35">
      <c r="A35" s="809"/>
      <c r="B35" s="829">
        <v>1.0</v>
      </c>
      <c r="C35" s="334"/>
      <c r="D35" s="335" t="s">
        <v>171</v>
      </c>
      <c r="E35" s="830">
        <v>1.0</v>
      </c>
      <c r="F35" s="831"/>
      <c r="G35" s="205"/>
      <c r="H35" s="832"/>
      <c r="I35" s="832"/>
      <c r="J35" s="832"/>
      <c r="K35" s="832"/>
      <c r="L35" s="812"/>
      <c r="M35" s="824"/>
      <c r="N35" s="824"/>
      <c r="O35" s="824"/>
      <c r="P35" s="824"/>
      <c r="Q35" s="825"/>
      <c r="R35" s="828"/>
      <c r="S35" s="828"/>
      <c r="T35" s="828"/>
      <c r="U35" s="828"/>
      <c r="V35" s="828"/>
    </row>
    <row r="36" ht="15.75" customHeight="1">
      <c r="A36" s="809"/>
      <c r="B36" s="829">
        <v>2.0</v>
      </c>
      <c r="C36" s="334"/>
      <c r="D36" s="335" t="s">
        <v>203</v>
      </c>
      <c r="E36" s="830">
        <v>1.0</v>
      </c>
      <c r="F36" s="831"/>
      <c r="G36" s="155"/>
      <c r="H36" s="832"/>
      <c r="I36" s="832"/>
      <c r="J36" s="832"/>
      <c r="K36" s="832"/>
      <c r="L36" s="812"/>
      <c r="M36" s="825"/>
      <c r="N36" s="825"/>
      <c r="O36" s="825"/>
      <c r="P36" s="825"/>
      <c r="Q36" s="828"/>
      <c r="R36" s="828"/>
      <c r="S36" s="828"/>
      <c r="T36" s="828"/>
      <c r="U36" s="828"/>
      <c r="V36" s="828"/>
    </row>
    <row r="37" ht="15.75" customHeight="1">
      <c r="A37" s="809"/>
      <c r="B37" s="829">
        <v>3.0</v>
      </c>
      <c r="C37" s="334"/>
      <c r="D37" s="335" t="s">
        <v>241</v>
      </c>
      <c r="E37" s="833"/>
      <c r="F37" s="831"/>
      <c r="G37" s="155"/>
      <c r="H37" s="832"/>
      <c r="I37" s="832"/>
      <c r="J37" s="832"/>
      <c r="K37" s="832"/>
      <c r="L37" s="812"/>
      <c r="M37" s="825"/>
      <c r="N37" s="834"/>
      <c r="O37" s="825"/>
      <c r="P37" s="825"/>
      <c r="Q37" s="825"/>
      <c r="R37" s="825"/>
      <c r="S37" s="825"/>
      <c r="T37" s="825"/>
      <c r="U37" s="825"/>
      <c r="V37" s="825"/>
    </row>
    <row r="38" ht="15.75" customHeight="1">
      <c r="A38" s="809"/>
      <c r="B38" s="829">
        <v>4.0</v>
      </c>
      <c r="C38" s="334"/>
      <c r="D38" s="335" t="s">
        <v>272</v>
      </c>
      <c r="E38" s="833"/>
      <c r="F38" s="835"/>
      <c r="G38" s="155"/>
      <c r="H38" s="832"/>
      <c r="I38" s="832"/>
      <c r="J38" s="832"/>
      <c r="K38" s="832"/>
      <c r="L38" s="812"/>
      <c r="M38" s="825"/>
      <c r="N38" s="825"/>
      <c r="O38" s="825"/>
      <c r="P38" s="825"/>
      <c r="Q38" s="825"/>
      <c r="R38" s="824"/>
      <c r="S38" s="824"/>
      <c r="T38" s="824"/>
      <c r="U38" s="824"/>
      <c r="V38" s="824"/>
    </row>
    <row r="39" ht="15.0" customHeight="1">
      <c r="A39" s="809"/>
      <c r="B39" s="829">
        <v>5.0</v>
      </c>
      <c r="C39" s="334"/>
      <c r="D39" s="335" t="s">
        <v>219</v>
      </c>
      <c r="E39" s="833"/>
      <c r="F39" s="835"/>
      <c r="G39" s="155"/>
      <c r="H39" s="832"/>
      <c r="I39" s="832"/>
      <c r="J39" s="832"/>
      <c r="K39" s="832"/>
      <c r="L39" s="824"/>
      <c r="M39" s="825"/>
      <c r="N39" s="825"/>
      <c r="O39" s="825"/>
      <c r="P39" s="825"/>
      <c r="Q39" s="825"/>
      <c r="R39" s="825"/>
      <c r="S39" s="825"/>
      <c r="T39" s="825"/>
      <c r="U39" s="825"/>
      <c r="V39" s="825"/>
    </row>
    <row r="40" ht="15.75" customHeight="1">
      <c r="A40" s="809"/>
      <c r="B40" s="836">
        <v>6.0</v>
      </c>
      <c r="C40" s="334"/>
      <c r="D40" s="365" t="s">
        <v>322</v>
      </c>
      <c r="E40" s="833"/>
      <c r="F40" s="835"/>
      <c r="G40" s="214"/>
      <c r="H40" s="832"/>
      <c r="I40" s="832"/>
      <c r="J40" s="832"/>
      <c r="K40" s="832"/>
      <c r="L40" s="825"/>
      <c r="M40" s="825"/>
      <c r="N40" s="825"/>
      <c r="O40" s="825"/>
      <c r="P40" s="825"/>
      <c r="Q40" s="825"/>
      <c r="R40" s="825"/>
      <c r="S40" s="825"/>
      <c r="T40" s="825"/>
      <c r="U40" s="825"/>
      <c r="V40" s="825"/>
    </row>
    <row r="41" ht="15.75" customHeight="1">
      <c r="A41" s="809"/>
      <c r="B41" s="836">
        <v>7.0</v>
      </c>
      <c r="C41" s="334"/>
      <c r="D41" s="365" t="s">
        <v>100</v>
      </c>
      <c r="E41" s="833">
        <v>1.0</v>
      </c>
      <c r="F41" s="831"/>
      <c r="G41" s="214"/>
      <c r="H41" s="832"/>
      <c r="I41" s="832"/>
      <c r="J41" s="832"/>
      <c r="K41" s="832"/>
      <c r="L41" s="825"/>
      <c r="M41" s="825"/>
      <c r="N41" s="825"/>
      <c r="O41" s="825"/>
      <c r="P41" s="825"/>
      <c r="Q41" s="825"/>
      <c r="R41" s="825"/>
      <c r="S41" s="825"/>
      <c r="T41" s="825"/>
      <c r="U41" s="825"/>
      <c r="V41" s="825"/>
    </row>
    <row r="42" ht="15.75" customHeight="1">
      <c r="A42" s="809"/>
      <c r="B42" s="836">
        <v>8.0</v>
      </c>
      <c r="C42" s="334"/>
      <c r="D42" s="365" t="s">
        <v>138</v>
      </c>
      <c r="E42" s="833">
        <v>1.0</v>
      </c>
      <c r="F42" s="835"/>
      <c r="G42" s="214"/>
      <c r="H42" s="832"/>
      <c r="I42" s="832"/>
      <c r="J42" s="832"/>
      <c r="K42" s="832"/>
      <c r="L42" s="825"/>
      <c r="M42" s="825"/>
      <c r="N42" s="825"/>
      <c r="O42" s="825"/>
      <c r="P42" s="825"/>
      <c r="Q42" s="825"/>
      <c r="R42" s="825"/>
      <c r="S42" s="825"/>
      <c r="T42" s="825"/>
      <c r="U42" s="825"/>
      <c r="V42" s="825"/>
    </row>
    <row r="43" ht="15.75" customHeight="1">
      <c r="A43" s="809"/>
      <c r="B43" s="836">
        <v>9.0</v>
      </c>
      <c r="C43" s="334"/>
      <c r="D43" s="365" t="s">
        <v>407</v>
      </c>
      <c r="E43" s="833">
        <v>1.0</v>
      </c>
      <c r="F43" s="831"/>
      <c r="G43" s="214"/>
      <c r="H43" s="832"/>
      <c r="I43" s="832"/>
      <c r="J43" s="832"/>
      <c r="K43" s="832"/>
      <c r="L43" s="825"/>
      <c r="M43" s="825"/>
      <c r="N43" s="825"/>
      <c r="O43" s="825"/>
      <c r="P43" s="825"/>
      <c r="Q43" s="825"/>
      <c r="R43" s="825"/>
      <c r="S43" s="825"/>
      <c r="T43" s="825"/>
      <c r="U43" s="825"/>
      <c r="V43" s="825"/>
    </row>
    <row r="44" ht="15.75" customHeight="1">
      <c r="A44" s="809"/>
      <c r="B44" s="836">
        <v>10.0</v>
      </c>
      <c r="C44" s="334"/>
      <c r="D44" s="365" t="s">
        <v>107</v>
      </c>
      <c r="E44" s="830">
        <v>1.0</v>
      </c>
      <c r="F44" s="835"/>
      <c r="G44" s="214"/>
      <c r="H44" s="832"/>
      <c r="I44" s="832"/>
      <c r="J44" s="832"/>
      <c r="K44" s="832"/>
      <c r="L44" s="825"/>
      <c r="M44" s="825"/>
      <c r="N44" s="825"/>
      <c r="O44" s="825"/>
      <c r="P44" s="825"/>
      <c r="Q44" s="825"/>
      <c r="R44" s="825"/>
      <c r="S44" s="825"/>
      <c r="T44" s="825"/>
      <c r="U44" s="825"/>
      <c r="V44" s="825"/>
    </row>
    <row r="45" ht="15.75" customHeight="1">
      <c r="A45" s="809"/>
      <c r="B45" s="837">
        <v>11.0</v>
      </c>
      <c r="C45" s="334"/>
      <c r="D45" s="838"/>
      <c r="E45" s="830"/>
      <c r="F45" s="835"/>
      <c r="G45" s="830"/>
      <c r="H45" s="839"/>
      <c r="I45" s="839"/>
      <c r="J45" s="839"/>
      <c r="K45" s="839"/>
      <c r="L45" s="825"/>
      <c r="M45" s="825"/>
      <c r="N45" s="825"/>
      <c r="O45" s="825"/>
      <c r="P45" s="825"/>
      <c r="Q45" s="825"/>
      <c r="R45" s="825"/>
      <c r="S45" s="825"/>
      <c r="T45" s="825"/>
      <c r="U45" s="825"/>
      <c r="V45" s="825"/>
    </row>
    <row r="46" ht="15.75" customHeight="1">
      <c r="A46" s="809"/>
      <c r="B46" s="840">
        <v>12.0</v>
      </c>
      <c r="C46" s="334"/>
      <c r="D46" s="841"/>
      <c r="E46" s="40"/>
      <c r="F46" s="835"/>
      <c r="G46" s="842"/>
      <c r="H46" s="843"/>
      <c r="I46" s="843"/>
      <c r="J46" s="843"/>
      <c r="K46" s="843"/>
      <c r="L46" s="825"/>
      <c r="M46" s="825"/>
      <c r="N46" s="825"/>
      <c r="O46" s="825"/>
      <c r="P46" s="825"/>
      <c r="Q46" s="825"/>
      <c r="R46" s="825"/>
      <c r="S46" s="825"/>
      <c r="T46" s="825"/>
      <c r="U46" s="825"/>
      <c r="V46" s="825"/>
    </row>
    <row r="47" ht="15.75" customHeight="1">
      <c r="A47" s="809"/>
      <c r="B47" s="840">
        <v>13.0</v>
      </c>
      <c r="C47" s="334"/>
      <c r="D47" s="841"/>
      <c r="E47" s="40"/>
      <c r="F47" s="835"/>
      <c r="G47" s="842"/>
      <c r="H47" s="843"/>
      <c r="I47" s="843"/>
      <c r="J47" s="843"/>
      <c r="K47" s="843"/>
      <c r="L47" s="825"/>
      <c r="M47" s="825"/>
      <c r="N47" s="825"/>
      <c r="O47" s="825"/>
      <c r="P47" s="825"/>
      <c r="Q47" s="825"/>
      <c r="R47" s="825"/>
      <c r="S47" s="825"/>
      <c r="T47" s="825"/>
      <c r="U47" s="825"/>
      <c r="V47" s="825"/>
    </row>
    <row r="48" ht="15.75" customHeight="1">
      <c r="A48" s="809"/>
      <c r="B48" s="840">
        <v>14.0</v>
      </c>
      <c r="C48" s="334"/>
      <c r="D48" s="841"/>
      <c r="E48" s="40"/>
      <c r="F48" s="835"/>
      <c r="G48" s="842"/>
      <c r="H48" s="843"/>
      <c r="I48" s="843"/>
      <c r="J48" s="843"/>
      <c r="K48" s="843"/>
      <c r="L48" s="825"/>
      <c r="M48" s="844"/>
      <c r="N48" s="844"/>
      <c r="O48" s="844"/>
      <c r="P48" s="844"/>
      <c r="Q48" s="844"/>
      <c r="R48" s="844"/>
      <c r="S48" s="844"/>
      <c r="T48" s="844"/>
      <c r="U48" s="844"/>
      <c r="V48" s="844"/>
    </row>
    <row r="49" ht="15.75" customHeight="1">
      <c r="A49" s="809"/>
      <c r="B49" s="840">
        <v>15.0</v>
      </c>
      <c r="C49" s="334"/>
      <c r="D49" s="841"/>
      <c r="E49" s="40"/>
      <c r="F49" s="835"/>
      <c r="G49" s="842"/>
      <c r="H49" s="843"/>
      <c r="I49" s="843"/>
      <c r="J49" s="843"/>
      <c r="K49" s="843"/>
      <c r="L49" s="825"/>
      <c r="M49" s="844"/>
      <c r="N49" s="844"/>
      <c r="O49" s="844"/>
      <c r="P49" s="844"/>
      <c r="Q49" s="844"/>
      <c r="R49" s="844"/>
      <c r="S49" s="844"/>
      <c r="T49" s="844"/>
      <c r="U49" s="844"/>
      <c r="V49" s="844"/>
    </row>
    <row r="50" ht="15.75" customHeight="1">
      <c r="A50" s="809"/>
      <c r="B50" s="845" t="s">
        <v>546</v>
      </c>
      <c r="C50" s="846"/>
      <c r="D50" s="846"/>
      <c r="E50" s="846"/>
      <c r="F50" s="846"/>
      <c r="G50" s="820"/>
      <c r="H50" s="847"/>
      <c r="I50" s="847"/>
      <c r="J50" s="847"/>
      <c r="K50" s="847"/>
      <c r="L50" s="825"/>
      <c r="M50" s="825"/>
      <c r="N50" s="825"/>
      <c r="O50" s="825"/>
      <c r="P50" s="825"/>
      <c r="Q50" s="825"/>
      <c r="R50" s="825"/>
      <c r="S50" s="825"/>
      <c r="T50" s="825"/>
      <c r="U50" s="825"/>
      <c r="V50" s="825"/>
    </row>
    <row r="51">
      <c r="A51" s="809"/>
      <c r="B51" s="826"/>
      <c r="C51" s="574"/>
      <c r="D51" s="574"/>
      <c r="E51" s="574"/>
      <c r="F51" s="574"/>
      <c r="G51" s="313"/>
      <c r="H51" s="847"/>
      <c r="I51" s="847"/>
      <c r="J51" s="847"/>
      <c r="K51" s="847"/>
      <c r="L51" s="825"/>
      <c r="M51" s="825"/>
      <c r="N51" s="825"/>
      <c r="O51" s="825"/>
      <c r="P51" s="825"/>
      <c r="Q51" s="825"/>
      <c r="R51" s="825"/>
      <c r="S51" s="825"/>
      <c r="T51" s="825"/>
      <c r="U51" s="825"/>
      <c r="V51" s="825"/>
    </row>
    <row r="52" ht="15.75" customHeight="1">
      <c r="A52" s="848"/>
      <c r="B52" s="849">
        <v>1.0</v>
      </c>
      <c r="C52" s="334"/>
      <c r="D52" s="850" t="s">
        <v>37</v>
      </c>
      <c r="E52" s="830">
        <v>1.0</v>
      </c>
      <c r="F52" s="851"/>
      <c r="G52" s="852"/>
      <c r="H52" s="853"/>
      <c r="I52" s="853"/>
      <c r="J52" s="853"/>
      <c r="K52" s="853"/>
      <c r="L52" s="844"/>
      <c r="M52" s="825"/>
      <c r="N52" s="825"/>
      <c r="O52" s="825"/>
      <c r="P52" s="825"/>
      <c r="Q52" s="825"/>
      <c r="R52" s="825"/>
      <c r="S52" s="825"/>
      <c r="T52" s="825"/>
      <c r="U52" s="825"/>
      <c r="V52" s="825"/>
    </row>
    <row r="53" ht="15.75" customHeight="1">
      <c r="A53" s="848"/>
      <c r="B53" s="849">
        <v>2.0</v>
      </c>
      <c r="C53" s="334"/>
      <c r="D53" s="854" t="s">
        <v>55</v>
      </c>
      <c r="E53" s="830">
        <v>1.0</v>
      </c>
      <c r="F53" s="851"/>
      <c r="G53" s="852"/>
      <c r="H53" s="853"/>
      <c r="I53" s="853"/>
      <c r="J53" s="853"/>
      <c r="K53" s="853"/>
      <c r="L53" s="844"/>
      <c r="M53" s="825"/>
      <c r="N53" s="825"/>
    </row>
    <row r="54" ht="15.75" customHeight="1">
      <c r="A54" s="809"/>
      <c r="B54" s="855">
        <v>3.0</v>
      </c>
      <c r="C54" s="334"/>
      <c r="D54" s="856"/>
      <c r="E54" s="830"/>
      <c r="F54" s="851"/>
      <c r="G54" s="852"/>
      <c r="H54" s="853"/>
      <c r="I54" s="853"/>
      <c r="J54" s="853"/>
      <c r="K54" s="853"/>
      <c r="L54" s="825"/>
      <c r="M54" s="825"/>
      <c r="N54" s="825"/>
    </row>
    <row r="55" ht="15.75" customHeight="1">
      <c r="A55" s="809"/>
      <c r="B55" s="845" t="s">
        <v>547</v>
      </c>
      <c r="C55" s="846"/>
      <c r="D55" s="846"/>
      <c r="E55" s="846"/>
      <c r="F55" s="846"/>
      <c r="G55" s="820"/>
      <c r="H55" s="853"/>
      <c r="I55" s="853"/>
      <c r="J55" s="853"/>
      <c r="K55" s="853"/>
      <c r="L55" s="825"/>
      <c r="M55" s="828"/>
      <c r="N55" s="828"/>
      <c r="O55" s="857"/>
      <c r="P55" s="858"/>
      <c r="S55" s="858"/>
      <c r="T55" s="858"/>
      <c r="U55" s="858"/>
      <c r="V55" s="858"/>
    </row>
    <row r="56" ht="15.75" customHeight="1">
      <c r="A56" s="809"/>
      <c r="B56" s="826"/>
      <c r="C56" s="574"/>
      <c r="D56" s="574"/>
      <c r="E56" s="574"/>
      <c r="F56" s="574"/>
      <c r="G56" s="313"/>
      <c r="H56" s="853"/>
      <c r="I56" s="853"/>
      <c r="J56" s="853"/>
      <c r="K56" s="853"/>
      <c r="L56" s="825"/>
      <c r="M56" s="825"/>
      <c r="N56" s="825"/>
      <c r="O56" s="825"/>
      <c r="P56" s="825"/>
      <c r="Q56" s="825"/>
      <c r="R56" s="825"/>
      <c r="S56" s="825"/>
      <c r="T56" s="825"/>
      <c r="U56" s="825"/>
      <c r="V56" s="825"/>
    </row>
    <row r="57" ht="15.75" customHeight="1">
      <c r="A57" s="809"/>
      <c r="B57" s="859">
        <v>1.0</v>
      </c>
      <c r="C57" s="334"/>
      <c r="D57" s="224" t="s">
        <v>346</v>
      </c>
      <c r="E57" s="830">
        <v>1.0</v>
      </c>
      <c r="F57" s="851"/>
      <c r="G57" s="860"/>
      <c r="H57" s="822"/>
      <c r="I57" s="822"/>
      <c r="J57" s="822"/>
      <c r="K57" s="822"/>
      <c r="L57" s="825"/>
      <c r="M57" s="828"/>
      <c r="N57" s="861"/>
      <c r="O57" s="857"/>
      <c r="P57" s="862"/>
      <c r="S57" s="862"/>
      <c r="T57" s="862"/>
      <c r="U57" s="862"/>
      <c r="V57" s="862"/>
    </row>
    <row r="58" ht="15.75" customHeight="1">
      <c r="A58" s="809"/>
      <c r="B58" s="859">
        <v>2.0</v>
      </c>
      <c r="C58" s="334"/>
      <c r="D58" s="863" t="s">
        <v>364</v>
      </c>
      <c r="E58" s="830"/>
      <c r="F58" s="851"/>
      <c r="G58" s="864"/>
      <c r="H58" s="865"/>
      <c r="I58" s="865"/>
      <c r="J58" s="865"/>
      <c r="K58" s="865"/>
      <c r="L58" s="825"/>
      <c r="M58" s="828"/>
      <c r="N58" s="828"/>
      <c r="O58" s="857"/>
      <c r="P58" s="866" t="s">
        <v>548</v>
      </c>
      <c r="S58" s="866"/>
      <c r="T58" s="866"/>
      <c r="U58" s="866"/>
      <c r="V58" s="866"/>
    </row>
    <row r="59" ht="15.75" customHeight="1">
      <c r="A59" s="867"/>
      <c r="B59" s="868"/>
      <c r="C59" s="334"/>
      <c r="D59" s="869"/>
      <c r="E59" s="870"/>
      <c r="F59" s="870"/>
      <c r="G59" s="842"/>
      <c r="H59" s="843"/>
      <c r="I59" s="843"/>
      <c r="J59" s="843"/>
      <c r="K59" s="843"/>
      <c r="L59" s="828"/>
      <c r="M59" s="828"/>
      <c r="N59" s="828"/>
      <c r="O59" s="857"/>
      <c r="P59" s="871"/>
      <c r="S59" s="871"/>
      <c r="T59" s="871"/>
      <c r="U59" s="871"/>
      <c r="V59" s="871"/>
    </row>
    <row r="60" ht="15.75" customHeight="1">
      <c r="A60" s="809"/>
      <c r="B60" s="845" t="s">
        <v>549</v>
      </c>
      <c r="C60" s="846"/>
      <c r="D60" s="846"/>
      <c r="E60" s="846"/>
      <c r="F60" s="846"/>
      <c r="G60" s="820"/>
      <c r="H60" s="872"/>
      <c r="I60" s="872"/>
      <c r="J60" s="872"/>
      <c r="K60" s="872"/>
      <c r="L60" s="825"/>
      <c r="M60" s="828"/>
      <c r="N60" s="828"/>
      <c r="O60" s="828"/>
      <c r="P60" s="828"/>
      <c r="Q60" s="825"/>
      <c r="R60" s="825"/>
      <c r="S60" s="825"/>
      <c r="T60" s="825"/>
      <c r="U60" s="825"/>
      <c r="V60" s="825"/>
    </row>
    <row r="61" ht="15.75" customHeight="1">
      <c r="A61" s="867"/>
      <c r="B61" s="826"/>
      <c r="C61" s="574"/>
      <c r="D61" s="574"/>
      <c r="E61" s="574"/>
      <c r="F61" s="574"/>
      <c r="G61" s="313"/>
      <c r="H61" s="865"/>
      <c r="I61" s="865"/>
      <c r="J61" s="865"/>
      <c r="K61" s="865"/>
      <c r="L61" s="828"/>
      <c r="M61" s="873"/>
      <c r="N61" s="873"/>
      <c r="O61" s="873"/>
      <c r="P61" s="873"/>
      <c r="Q61" s="874"/>
      <c r="R61" s="874"/>
      <c r="S61" s="874"/>
      <c r="T61" s="874"/>
      <c r="U61" s="874"/>
      <c r="V61" s="874"/>
    </row>
    <row r="62" ht="15.75" customHeight="1">
      <c r="A62" s="867"/>
      <c r="B62" s="875">
        <v>1.0</v>
      </c>
      <c r="C62" s="334"/>
      <c r="D62" s="751" t="s">
        <v>71</v>
      </c>
      <c r="E62" s="876"/>
      <c r="F62" s="877"/>
      <c r="G62" s="842"/>
      <c r="H62" s="843"/>
      <c r="I62" s="843"/>
      <c r="J62" s="843"/>
      <c r="K62" s="843"/>
      <c r="L62" s="828"/>
      <c r="M62" s="825"/>
      <c r="N62" s="825"/>
      <c r="O62" s="825"/>
      <c r="P62" s="825"/>
      <c r="Q62" s="825"/>
      <c r="R62" s="825"/>
      <c r="S62" s="825"/>
      <c r="T62" s="825"/>
      <c r="U62" s="825"/>
      <c r="V62" s="825"/>
    </row>
    <row r="63" ht="15.75" customHeight="1">
      <c r="A63" s="867"/>
      <c r="B63" s="875">
        <v>2.0</v>
      </c>
      <c r="C63" s="334"/>
      <c r="D63" s="878"/>
      <c r="E63" s="830"/>
      <c r="F63" s="851"/>
      <c r="G63" s="842"/>
      <c r="H63" s="843"/>
      <c r="I63" s="843"/>
      <c r="J63" s="843"/>
      <c r="K63" s="843"/>
      <c r="L63" s="828"/>
      <c r="M63" s="825"/>
      <c r="N63" s="825"/>
      <c r="O63" s="825"/>
      <c r="P63" s="825"/>
      <c r="Q63" s="825"/>
      <c r="R63" s="825"/>
      <c r="S63" s="825"/>
      <c r="T63" s="825"/>
      <c r="U63" s="825"/>
      <c r="V63" s="825"/>
    </row>
    <row r="64" ht="15.75" customHeight="1">
      <c r="A64" s="867"/>
      <c r="B64" s="868"/>
      <c r="C64" s="334"/>
      <c r="D64" s="869"/>
      <c r="E64" s="870"/>
      <c r="F64" s="870"/>
      <c r="G64" s="842"/>
      <c r="H64" s="843"/>
      <c r="I64" s="843"/>
      <c r="J64" s="843"/>
      <c r="K64" s="843"/>
      <c r="L64" s="828"/>
    </row>
    <row r="65" ht="15.75" customHeight="1">
      <c r="A65" s="879"/>
      <c r="B65" s="880" t="s">
        <v>397</v>
      </c>
      <c r="C65" s="334"/>
      <c r="D65" s="881"/>
      <c r="E65" s="882">
        <f>SUM(E35:E64)</f>
        <v>9</v>
      </c>
      <c r="F65" s="882">
        <f>SUM(F35:F61)</f>
        <v>0</v>
      </c>
      <c r="G65" s="883"/>
      <c r="H65" s="884"/>
      <c r="I65" s="884"/>
      <c r="J65" s="884"/>
      <c r="K65" s="884"/>
      <c r="L65" s="873"/>
    </row>
    <row r="66" ht="15.75" customHeight="1">
      <c r="A66" s="809"/>
      <c r="B66" s="809"/>
      <c r="C66" s="809"/>
      <c r="D66" s="809"/>
      <c r="E66" s="809"/>
      <c r="F66" s="809"/>
      <c r="G66" s="885"/>
      <c r="H66" s="885"/>
      <c r="I66" s="885"/>
      <c r="J66" s="885"/>
      <c r="K66" s="885"/>
      <c r="L66" s="825"/>
    </row>
    <row r="67" ht="15.75" customHeight="1">
      <c r="A67" s="809"/>
      <c r="B67" s="809"/>
      <c r="C67" s="809"/>
      <c r="D67" s="886"/>
      <c r="E67" s="887"/>
      <c r="F67" s="887"/>
      <c r="G67" s="887"/>
      <c r="H67" s="887"/>
      <c r="I67" s="887"/>
      <c r="J67" s="887"/>
      <c r="K67" s="887"/>
      <c r="L67" s="825"/>
    </row>
    <row r="68" ht="15.75" customHeight="1"/>
    <row r="69" ht="15.75" customHeight="1">
      <c r="Q69" s="888" t="s">
        <v>424</v>
      </c>
    </row>
    <row r="70" ht="15.75" customHeight="1"/>
    <row r="71" ht="15.75" customHeight="1"/>
    <row r="72" ht="15.75" customHeight="1"/>
    <row r="73" ht="15.75" customHeight="1"/>
  </sheetData>
  <mergeCells count="42">
    <mergeCell ref="B1:R1"/>
    <mergeCell ref="B2:G2"/>
    <mergeCell ref="M2:R2"/>
    <mergeCell ref="B29:K32"/>
    <mergeCell ref="O29:U29"/>
    <mergeCell ref="B33:C34"/>
    <mergeCell ref="D33:D34"/>
    <mergeCell ref="G33:G34"/>
    <mergeCell ref="E33:E34"/>
    <mergeCell ref="F33:F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G51"/>
    <mergeCell ref="B52:C52"/>
    <mergeCell ref="B53:C53"/>
    <mergeCell ref="B54:C54"/>
    <mergeCell ref="B59:C59"/>
    <mergeCell ref="B60:G61"/>
    <mergeCell ref="B62:C62"/>
    <mergeCell ref="B63:C63"/>
    <mergeCell ref="B64:C64"/>
    <mergeCell ref="B65:C65"/>
    <mergeCell ref="B55:G56"/>
    <mergeCell ref="P55:R55"/>
    <mergeCell ref="B57:C57"/>
    <mergeCell ref="P57:R57"/>
    <mergeCell ref="B58:C58"/>
    <mergeCell ref="P58:R58"/>
    <mergeCell ref="P59:R59"/>
  </mergeCells>
  <conditionalFormatting sqref="M31:Q31 L34:L36">
    <cfRule type="notContainsBlanks" dxfId="0" priority="1">
      <formula>LEN(TRIM(M31))&gt;0</formula>
    </cfRule>
  </conditionalFormatting>
  <printOptions gridLines="1"/>
  <pageMargins bottom="0.75" footer="0.0" header="0.0" left="0.7" right="0.7" top="0.75"/>
  <pageSetup paperSize="9" cellComments="atEnd" orientation="landscape" pageOrder="overThenDown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28.71"/>
    <col customWidth="1" min="3" max="8" width="14.43"/>
    <col customWidth="1" min="10" max="10" width="7.29"/>
    <col customWidth="1" min="11" max="11" width="28.71"/>
  </cols>
  <sheetData>
    <row r="1" ht="32.25" customHeight="1">
      <c r="A1" s="889"/>
      <c r="B1" s="890" t="s">
        <v>550</v>
      </c>
      <c r="C1" s="891"/>
      <c r="D1" s="891"/>
      <c r="E1" s="891"/>
      <c r="F1" s="891"/>
      <c r="G1" s="891"/>
      <c r="H1" s="892"/>
      <c r="J1" s="893"/>
      <c r="K1" s="893"/>
      <c r="L1" s="893"/>
      <c r="M1" s="893"/>
      <c r="N1" s="893"/>
      <c r="O1" s="893"/>
      <c r="P1" s="893"/>
      <c r="Q1" s="893"/>
    </row>
    <row r="2" ht="32.25" customHeight="1">
      <c r="A2" s="894"/>
      <c r="B2" s="895" t="s">
        <v>551</v>
      </c>
      <c r="C2" s="896" t="s">
        <v>552</v>
      </c>
      <c r="D2" s="896" t="s">
        <v>553</v>
      </c>
      <c r="E2" s="896" t="s">
        <v>554</v>
      </c>
      <c r="F2" s="896" t="s">
        <v>555</v>
      </c>
      <c r="G2" s="896" t="s">
        <v>556</v>
      </c>
      <c r="H2" s="895" t="s">
        <v>557</v>
      </c>
      <c r="J2" s="893"/>
      <c r="K2" s="893"/>
      <c r="L2" s="893"/>
      <c r="M2" s="893"/>
      <c r="N2" s="893"/>
      <c r="O2" s="893"/>
      <c r="P2" s="893"/>
      <c r="Q2" s="893"/>
    </row>
    <row r="3">
      <c r="A3" s="897">
        <v>1.0</v>
      </c>
      <c r="B3" s="898" t="s">
        <v>241</v>
      </c>
      <c r="C3" s="899"/>
      <c r="D3" s="900"/>
      <c r="E3" s="901"/>
      <c r="F3" s="899"/>
      <c r="G3" s="902"/>
      <c r="H3" s="903"/>
      <c r="I3" s="904"/>
      <c r="J3" s="893">
        <f t="shared" ref="J3:J30" si="1">(H3-I3)</f>
        <v>0</v>
      </c>
      <c r="K3" s="893"/>
      <c r="L3" s="905"/>
      <c r="M3" s="893"/>
      <c r="N3" s="893"/>
      <c r="O3" s="893"/>
      <c r="P3" s="893"/>
      <c r="Q3" s="893"/>
    </row>
    <row r="4">
      <c r="A4" s="906">
        <v>2.0</v>
      </c>
      <c r="B4" s="907" t="s">
        <v>171</v>
      </c>
      <c r="C4" s="899"/>
      <c r="D4" s="908"/>
      <c r="E4" s="899"/>
      <c r="F4" s="899"/>
      <c r="G4" s="909"/>
      <c r="H4" s="903"/>
      <c r="I4" s="904"/>
      <c r="J4" s="893">
        <f t="shared" si="1"/>
        <v>0</v>
      </c>
      <c r="K4" s="905"/>
      <c r="L4" s="905"/>
      <c r="M4" s="893"/>
      <c r="N4" s="893"/>
      <c r="O4" s="893"/>
      <c r="P4" s="893"/>
      <c r="Q4" s="893"/>
    </row>
    <row r="5">
      <c r="A5" s="906">
        <v>3.0</v>
      </c>
      <c r="B5" s="910" t="s">
        <v>176</v>
      </c>
      <c r="C5" s="899"/>
      <c r="D5" s="908"/>
      <c r="E5" s="899"/>
      <c r="F5" s="899"/>
      <c r="G5" s="902"/>
      <c r="H5" s="903"/>
      <c r="I5" s="904"/>
      <c r="J5" s="893">
        <f t="shared" si="1"/>
        <v>0</v>
      </c>
      <c r="L5" s="911"/>
      <c r="M5" s="893"/>
      <c r="N5" s="893"/>
      <c r="O5" s="893"/>
      <c r="P5" s="893"/>
      <c r="Q5" s="893"/>
    </row>
    <row r="6">
      <c r="A6" s="906">
        <v>4.0</v>
      </c>
      <c r="B6" s="910" t="s">
        <v>113</v>
      </c>
      <c r="C6" s="899"/>
      <c r="D6" s="899"/>
      <c r="E6" s="899"/>
      <c r="F6" s="908"/>
      <c r="G6" s="902"/>
      <c r="H6" s="903"/>
      <c r="I6" s="904"/>
      <c r="J6" s="893">
        <f t="shared" si="1"/>
        <v>0</v>
      </c>
      <c r="L6" s="905"/>
      <c r="M6" s="893"/>
      <c r="N6" s="893"/>
      <c r="O6" s="893"/>
      <c r="P6" s="893"/>
      <c r="Q6" s="893"/>
    </row>
    <row r="7">
      <c r="A7" s="906">
        <v>5.0</v>
      </c>
      <c r="B7" s="910" t="s">
        <v>246</v>
      </c>
      <c r="C7" s="899"/>
      <c r="D7" s="899"/>
      <c r="E7" s="908"/>
      <c r="F7" s="899"/>
      <c r="G7" s="902"/>
      <c r="H7" s="903"/>
      <c r="I7" s="904"/>
      <c r="J7" s="893">
        <f t="shared" si="1"/>
        <v>0</v>
      </c>
      <c r="K7" s="893"/>
      <c r="L7" s="911"/>
      <c r="M7" s="893"/>
      <c r="N7" s="893"/>
      <c r="O7" s="893"/>
      <c r="P7" s="893"/>
      <c r="Q7" s="893"/>
    </row>
    <row r="8">
      <c r="A8" s="906">
        <v>6.0</v>
      </c>
      <c r="B8" s="910" t="s">
        <v>208</v>
      </c>
      <c r="C8" s="899"/>
      <c r="D8" s="899"/>
      <c r="E8" s="899"/>
      <c r="F8" s="899"/>
      <c r="G8" s="912"/>
      <c r="H8" s="903"/>
      <c r="I8" s="904"/>
      <c r="J8" s="893">
        <f t="shared" si="1"/>
        <v>0</v>
      </c>
      <c r="K8" s="893"/>
      <c r="L8" s="905"/>
      <c r="M8" s="893"/>
      <c r="N8" s="893"/>
      <c r="O8" s="893"/>
      <c r="P8" s="893"/>
      <c r="Q8" s="893"/>
    </row>
    <row r="9">
      <c r="A9" s="906">
        <v>7.0</v>
      </c>
      <c r="B9" s="910" t="s">
        <v>107</v>
      </c>
      <c r="C9" s="899"/>
      <c r="D9" s="899"/>
      <c r="E9" s="899"/>
      <c r="F9" s="908"/>
      <c r="G9" s="902"/>
      <c r="H9" s="903"/>
      <c r="I9" s="904"/>
      <c r="J9" s="893">
        <f t="shared" si="1"/>
        <v>0</v>
      </c>
      <c r="K9" s="905"/>
      <c r="L9" s="911"/>
      <c r="M9" s="893"/>
      <c r="N9" s="893"/>
      <c r="O9" s="893"/>
      <c r="P9" s="893"/>
      <c r="Q9" s="893"/>
    </row>
    <row r="10">
      <c r="A10" s="906">
        <v>8.0</v>
      </c>
      <c r="B10" s="910" t="s">
        <v>203</v>
      </c>
      <c r="C10" s="899"/>
      <c r="D10" s="899"/>
      <c r="E10" s="899"/>
      <c r="F10" s="899"/>
      <c r="G10" s="912"/>
      <c r="H10" s="903"/>
      <c r="I10" s="904"/>
      <c r="J10" s="893">
        <f t="shared" si="1"/>
        <v>0</v>
      </c>
      <c r="L10" s="911"/>
      <c r="M10" s="893"/>
      <c r="N10" s="893"/>
      <c r="O10" s="893"/>
      <c r="P10" s="893"/>
      <c r="Q10" s="893"/>
    </row>
    <row r="11">
      <c r="A11" s="906">
        <v>9.0</v>
      </c>
      <c r="B11" s="910" t="s">
        <v>337</v>
      </c>
      <c r="C11" s="899"/>
      <c r="D11" s="899"/>
      <c r="E11" s="908"/>
      <c r="F11" s="901"/>
      <c r="G11" s="902"/>
      <c r="H11" s="903"/>
      <c r="I11" s="904"/>
      <c r="J11" s="893">
        <f t="shared" si="1"/>
        <v>0</v>
      </c>
      <c r="L11" s="911"/>
      <c r="M11" s="893"/>
      <c r="N11" s="893"/>
      <c r="O11" s="893"/>
      <c r="P11" s="893"/>
      <c r="Q11" s="893"/>
    </row>
    <row r="12">
      <c r="A12" s="906">
        <v>10.0</v>
      </c>
      <c r="B12" s="910" t="s">
        <v>278</v>
      </c>
      <c r="C12" s="899"/>
      <c r="D12" s="899"/>
      <c r="E12" s="899"/>
      <c r="F12" s="908"/>
      <c r="G12" s="909"/>
      <c r="H12" s="903"/>
      <c r="I12" s="904"/>
      <c r="J12" s="893">
        <f t="shared" si="1"/>
        <v>0</v>
      </c>
      <c r="L12" s="911"/>
      <c r="M12" s="893"/>
      <c r="N12" s="893"/>
      <c r="O12" s="893"/>
      <c r="P12" s="893"/>
      <c r="Q12" s="893"/>
    </row>
    <row r="13">
      <c r="A13" s="906">
        <v>11.0</v>
      </c>
      <c r="B13" s="910" t="s">
        <v>435</v>
      </c>
      <c r="C13" s="899"/>
      <c r="D13" s="899"/>
      <c r="E13" s="899"/>
      <c r="F13" s="908"/>
      <c r="G13" s="902"/>
      <c r="H13" s="903"/>
      <c r="I13" s="904"/>
      <c r="J13" s="893">
        <f t="shared" si="1"/>
        <v>0</v>
      </c>
      <c r="K13" s="893"/>
      <c r="L13" s="905"/>
      <c r="M13" s="893"/>
      <c r="N13" s="893"/>
      <c r="O13" s="893"/>
      <c r="P13" s="893"/>
      <c r="Q13" s="893"/>
    </row>
    <row r="14">
      <c r="A14" s="906">
        <v>12.0</v>
      </c>
      <c r="B14" s="910" t="s">
        <v>230</v>
      </c>
      <c r="C14" s="899"/>
      <c r="D14" s="899"/>
      <c r="E14" s="899"/>
      <c r="F14" s="908"/>
      <c r="G14" s="902"/>
      <c r="H14" s="903"/>
      <c r="I14" s="904"/>
      <c r="J14" s="893">
        <f t="shared" si="1"/>
        <v>0</v>
      </c>
      <c r="K14" s="893"/>
      <c r="L14" s="911"/>
      <c r="M14" s="893"/>
      <c r="N14" s="893"/>
      <c r="O14" s="893"/>
      <c r="P14" s="893"/>
      <c r="Q14" s="893"/>
    </row>
    <row r="15">
      <c r="A15" s="906">
        <v>13.0</v>
      </c>
      <c r="B15" s="910" t="s">
        <v>429</v>
      </c>
      <c r="C15" s="908"/>
      <c r="D15" s="899"/>
      <c r="E15" s="899"/>
      <c r="F15" s="901"/>
      <c r="G15" s="902"/>
      <c r="H15" s="903"/>
      <c r="I15" s="904"/>
      <c r="J15" s="893">
        <f t="shared" si="1"/>
        <v>0</v>
      </c>
      <c r="K15" s="893"/>
      <c r="L15" s="911"/>
      <c r="M15" s="893"/>
      <c r="N15" s="893"/>
      <c r="O15" s="893"/>
      <c r="P15" s="893"/>
      <c r="Q15" s="893"/>
    </row>
    <row r="16">
      <c r="A16" s="906">
        <v>14.0</v>
      </c>
      <c r="B16" s="910" t="s">
        <v>100</v>
      </c>
      <c r="C16" s="899"/>
      <c r="D16" s="899"/>
      <c r="E16" s="908"/>
      <c r="F16" s="901"/>
      <c r="G16" s="902"/>
      <c r="H16" s="903"/>
      <c r="I16" s="904"/>
      <c r="J16" s="893">
        <f t="shared" si="1"/>
        <v>0</v>
      </c>
      <c r="K16" s="893"/>
      <c r="L16" s="905"/>
      <c r="M16" s="893"/>
      <c r="N16" s="893"/>
      <c r="O16" s="893"/>
      <c r="P16" s="893"/>
      <c r="Q16" s="893"/>
    </row>
    <row r="17">
      <c r="A17" s="906">
        <v>15.0</v>
      </c>
      <c r="B17" s="910" t="s">
        <v>558</v>
      </c>
      <c r="C17" s="899"/>
      <c r="D17" s="899"/>
      <c r="E17" s="899"/>
      <c r="F17" s="908"/>
      <c r="G17" s="902"/>
      <c r="H17" s="903"/>
      <c r="I17" s="904"/>
      <c r="J17" s="893">
        <f t="shared" si="1"/>
        <v>0</v>
      </c>
      <c r="K17" s="893"/>
      <c r="L17" s="905"/>
      <c r="M17" s="893"/>
      <c r="N17" s="893"/>
      <c r="O17" s="893"/>
      <c r="P17" s="893"/>
      <c r="Q17" s="893"/>
    </row>
    <row r="18">
      <c r="A18" s="906">
        <v>16.0</v>
      </c>
      <c r="B18" s="910" t="s">
        <v>290</v>
      </c>
      <c r="C18" s="901"/>
      <c r="D18" s="899"/>
      <c r="E18" s="899"/>
      <c r="F18" s="908"/>
      <c r="G18" s="902"/>
      <c r="H18" s="903"/>
      <c r="I18" s="904"/>
      <c r="J18" s="893">
        <f t="shared" si="1"/>
        <v>0</v>
      </c>
      <c r="K18" s="893"/>
      <c r="L18" s="911"/>
      <c r="M18" s="893"/>
      <c r="N18" s="893"/>
      <c r="O18" s="893"/>
      <c r="P18" s="893"/>
      <c r="Q18" s="893"/>
    </row>
    <row r="19">
      <c r="A19" s="906">
        <v>17.0</v>
      </c>
      <c r="B19" s="898" t="s">
        <v>262</v>
      </c>
      <c r="C19" s="901"/>
      <c r="D19" s="899"/>
      <c r="E19" s="899"/>
      <c r="F19" s="899"/>
      <c r="G19" s="912"/>
      <c r="H19" s="903"/>
      <c r="I19" s="904"/>
      <c r="J19" s="893">
        <f t="shared" si="1"/>
        <v>0</v>
      </c>
      <c r="K19" s="893"/>
      <c r="L19" s="905"/>
      <c r="M19" s="893"/>
      <c r="N19" s="893"/>
      <c r="O19" s="893"/>
      <c r="P19" s="893"/>
      <c r="Q19" s="893"/>
    </row>
    <row r="20">
      <c r="A20" s="906">
        <v>18.0</v>
      </c>
      <c r="B20" s="910" t="s">
        <v>130</v>
      </c>
      <c r="C20" s="899"/>
      <c r="D20" s="908"/>
      <c r="E20" s="899"/>
      <c r="F20" s="899"/>
      <c r="G20" s="902"/>
      <c r="H20" s="903"/>
      <c r="I20" s="904"/>
      <c r="J20" s="893">
        <f t="shared" si="1"/>
        <v>0</v>
      </c>
      <c r="K20" s="893"/>
      <c r="L20" s="911"/>
      <c r="M20" s="893"/>
      <c r="N20" s="893"/>
      <c r="O20" s="893"/>
      <c r="P20" s="893"/>
      <c r="Q20" s="893"/>
    </row>
    <row r="21">
      <c r="A21" s="906">
        <v>19.0</v>
      </c>
      <c r="B21" s="910" t="s">
        <v>407</v>
      </c>
      <c r="C21" s="908"/>
      <c r="D21" s="899"/>
      <c r="E21" s="899"/>
      <c r="F21" s="901"/>
      <c r="G21" s="902"/>
      <c r="H21" s="903"/>
      <c r="I21" s="904"/>
      <c r="J21" s="893">
        <f t="shared" si="1"/>
        <v>0</v>
      </c>
      <c r="K21" s="893"/>
      <c r="L21" s="905"/>
      <c r="M21" s="893"/>
      <c r="N21" s="893"/>
      <c r="O21" s="893"/>
      <c r="P21" s="893"/>
      <c r="Q21" s="893"/>
    </row>
    <row r="22">
      <c r="A22" s="906">
        <v>20.0</v>
      </c>
      <c r="B22" s="910" t="s">
        <v>559</v>
      </c>
      <c r="C22" s="899"/>
      <c r="D22" s="899"/>
      <c r="E22" s="899"/>
      <c r="F22" s="908"/>
      <c r="G22" s="909"/>
      <c r="H22" s="903"/>
      <c r="I22" s="904"/>
      <c r="J22" s="893">
        <f t="shared" si="1"/>
        <v>0</v>
      </c>
      <c r="L22" s="911"/>
      <c r="M22" s="893"/>
      <c r="N22" s="893"/>
      <c r="O22" s="893"/>
      <c r="P22" s="893"/>
      <c r="Q22" s="893"/>
    </row>
    <row r="23">
      <c r="A23" s="906">
        <v>21.0</v>
      </c>
      <c r="B23" s="910" t="s">
        <v>181</v>
      </c>
      <c r="C23" s="899"/>
      <c r="D23" s="899"/>
      <c r="E23" s="899"/>
      <c r="F23" s="899"/>
      <c r="G23" s="912"/>
      <c r="H23" s="903"/>
      <c r="I23" s="904"/>
      <c r="J23" s="893">
        <f t="shared" si="1"/>
        <v>0</v>
      </c>
      <c r="L23" s="905"/>
      <c r="M23" s="893"/>
      <c r="N23" s="893"/>
      <c r="O23" s="893"/>
      <c r="P23" s="893"/>
      <c r="Q23" s="893"/>
    </row>
    <row r="24">
      <c r="A24" s="906">
        <v>22.0</v>
      </c>
      <c r="B24" s="910" t="s">
        <v>196</v>
      </c>
      <c r="C24" s="899"/>
      <c r="D24" s="899"/>
      <c r="E24" s="899"/>
      <c r="F24" s="899"/>
      <c r="G24" s="912"/>
      <c r="H24" s="903"/>
      <c r="I24" s="904"/>
      <c r="J24" s="893">
        <f t="shared" si="1"/>
        <v>0</v>
      </c>
      <c r="L24" s="893"/>
      <c r="M24" s="893"/>
      <c r="N24" s="893"/>
      <c r="O24" s="893"/>
      <c r="P24" s="893"/>
      <c r="Q24" s="893"/>
    </row>
    <row r="25">
      <c r="A25" s="906">
        <v>23.0</v>
      </c>
      <c r="B25" s="898" t="s">
        <v>138</v>
      </c>
      <c r="C25" s="899"/>
      <c r="D25" s="908"/>
      <c r="E25" s="899"/>
      <c r="F25" s="899"/>
      <c r="G25" s="902"/>
      <c r="H25" s="903"/>
      <c r="I25" s="904"/>
      <c r="J25" s="893">
        <f t="shared" si="1"/>
        <v>0</v>
      </c>
      <c r="L25" s="893"/>
      <c r="M25" s="893"/>
      <c r="N25" s="893"/>
      <c r="O25" s="893"/>
      <c r="P25" s="893"/>
      <c r="Q25" s="893"/>
    </row>
    <row r="26">
      <c r="A26" s="906">
        <v>24.0</v>
      </c>
      <c r="B26" s="898" t="s">
        <v>143</v>
      </c>
      <c r="C26" s="899"/>
      <c r="D26" s="899"/>
      <c r="E26" s="899"/>
      <c r="F26" s="899"/>
      <c r="G26" s="912"/>
      <c r="H26" s="903"/>
      <c r="I26" s="904"/>
      <c r="J26" s="893">
        <f t="shared" si="1"/>
        <v>0</v>
      </c>
      <c r="K26" s="893"/>
      <c r="L26" s="893"/>
      <c r="M26" s="893"/>
      <c r="N26" s="893"/>
      <c r="O26" s="893"/>
      <c r="P26" s="893"/>
      <c r="Q26" s="893"/>
    </row>
    <row r="27">
      <c r="A27" s="906">
        <v>25.0</v>
      </c>
      <c r="B27" s="910" t="s">
        <v>164</v>
      </c>
      <c r="C27" s="899"/>
      <c r="D27" s="899"/>
      <c r="E27" s="908"/>
      <c r="F27" s="899"/>
      <c r="G27" s="902"/>
      <c r="H27" s="903"/>
      <c r="I27" s="904"/>
      <c r="J27" s="893">
        <f t="shared" si="1"/>
        <v>0</v>
      </c>
    </row>
    <row r="28">
      <c r="A28" s="906">
        <v>26.0</v>
      </c>
      <c r="B28" s="898" t="s">
        <v>322</v>
      </c>
      <c r="C28" s="899"/>
      <c r="D28" s="899"/>
      <c r="E28" s="908"/>
      <c r="F28" s="899"/>
      <c r="G28" s="902"/>
      <c r="H28" s="903"/>
      <c r="I28" s="904"/>
      <c r="J28" s="893">
        <f t="shared" si="1"/>
        <v>0</v>
      </c>
    </row>
    <row r="29">
      <c r="A29" s="906">
        <v>27.0</v>
      </c>
      <c r="B29" s="898" t="s">
        <v>219</v>
      </c>
      <c r="C29" s="899"/>
      <c r="D29" s="908"/>
      <c r="E29" s="899"/>
      <c r="F29" s="899"/>
      <c r="G29" s="902"/>
      <c r="H29" s="903"/>
      <c r="I29" s="904"/>
      <c r="J29" s="893">
        <f t="shared" si="1"/>
        <v>0</v>
      </c>
    </row>
    <row r="30">
      <c r="A30" s="906"/>
      <c r="B30" s="910"/>
      <c r="C30" s="899"/>
      <c r="D30" s="899"/>
      <c r="E30" s="899"/>
      <c r="F30" s="899"/>
      <c r="G30" s="902"/>
      <c r="H30" s="903"/>
      <c r="I30" s="904"/>
      <c r="J30" s="893">
        <f t="shared" si="1"/>
        <v>0</v>
      </c>
    </row>
    <row r="31">
      <c r="A31" s="906"/>
      <c r="B31" s="910"/>
      <c r="C31" s="913"/>
      <c r="D31" s="913"/>
      <c r="E31" s="913"/>
      <c r="F31" s="914"/>
      <c r="G31" s="915"/>
      <c r="H31" s="916"/>
      <c r="J31" s="893"/>
      <c r="K31" s="893"/>
    </row>
    <row r="32">
      <c r="B32" s="917"/>
      <c r="C32" s="918">
        <f t="shared" ref="C32:I32" si="2">SUM(C3:C31)</f>
        <v>0</v>
      </c>
      <c r="D32" s="918">
        <f t="shared" si="2"/>
        <v>0</v>
      </c>
      <c r="E32" s="918">
        <f t="shared" si="2"/>
        <v>0</v>
      </c>
      <c r="F32" s="918">
        <f t="shared" si="2"/>
        <v>0</v>
      </c>
      <c r="G32" s="918">
        <f t="shared" si="2"/>
        <v>0</v>
      </c>
      <c r="H32" s="918">
        <f t="shared" si="2"/>
        <v>0</v>
      </c>
      <c r="I32" s="918">
        <f t="shared" si="2"/>
        <v>0</v>
      </c>
      <c r="J32" s="893">
        <f>(H32-I32)</f>
        <v>0</v>
      </c>
      <c r="K32" s="893"/>
    </row>
    <row r="33">
      <c r="B33" s="917"/>
      <c r="J33" s="893"/>
      <c r="K33" s="893"/>
    </row>
    <row r="34">
      <c r="B34" s="919" t="s">
        <v>560</v>
      </c>
      <c r="C34" s="920"/>
      <c r="D34" s="920"/>
      <c r="E34" s="920"/>
      <c r="F34" s="920"/>
      <c r="G34" s="920"/>
      <c r="H34" s="921"/>
      <c r="J34" s="893"/>
    </row>
    <row r="35">
      <c r="B35" s="922"/>
      <c r="C35" s="923"/>
      <c r="D35" s="923"/>
      <c r="E35" s="923"/>
      <c r="F35" s="923"/>
      <c r="G35" s="923"/>
      <c r="H35" s="924"/>
      <c r="J35" s="893"/>
    </row>
    <row r="36">
      <c r="B36" s="895" t="s">
        <v>551</v>
      </c>
      <c r="C36" s="896" t="s">
        <v>552</v>
      </c>
      <c r="D36" s="896" t="s">
        <v>553</v>
      </c>
      <c r="E36" s="896" t="s">
        <v>554</v>
      </c>
      <c r="F36" s="896" t="s">
        <v>555</v>
      </c>
      <c r="G36" s="896" t="s">
        <v>556</v>
      </c>
      <c r="H36" s="895" t="s">
        <v>557</v>
      </c>
      <c r="J36" s="893"/>
    </row>
    <row r="37">
      <c r="A37" s="925">
        <v>1.0</v>
      </c>
      <c r="B37" s="926" t="s">
        <v>561</v>
      </c>
      <c r="C37" s="903"/>
      <c r="D37" s="927"/>
      <c r="E37" s="903"/>
      <c r="F37" s="903"/>
      <c r="G37" s="899"/>
      <c r="H37" s="899"/>
      <c r="J37" s="893"/>
    </row>
    <row r="38">
      <c r="A38" s="906">
        <v>2.0</v>
      </c>
      <c r="B38" s="928" t="s">
        <v>346</v>
      </c>
      <c r="C38" s="903"/>
      <c r="D38" s="899"/>
      <c r="E38" s="903"/>
      <c r="F38" s="929"/>
      <c r="G38" s="927"/>
      <c r="H38" s="903"/>
      <c r="J38" s="893"/>
    </row>
    <row r="39">
      <c r="A39" s="906">
        <v>3.0</v>
      </c>
      <c r="B39" s="928" t="s">
        <v>351</v>
      </c>
      <c r="C39" s="903"/>
      <c r="D39" s="903"/>
      <c r="E39" s="899"/>
      <c r="F39" s="927"/>
      <c r="G39" s="929"/>
      <c r="H39" s="903"/>
    </row>
    <row r="40">
      <c r="A40" s="906">
        <v>4.0</v>
      </c>
      <c r="B40" s="926" t="s">
        <v>364</v>
      </c>
      <c r="C40" s="930"/>
      <c r="D40" s="930"/>
      <c r="E40" s="931"/>
      <c r="F40" s="903"/>
      <c r="G40" s="916"/>
      <c r="H40" s="930"/>
    </row>
    <row r="41">
      <c r="A41" s="906">
        <v>5.0</v>
      </c>
      <c r="B41" s="926" t="s">
        <v>369</v>
      </c>
      <c r="C41" s="930"/>
      <c r="D41" s="930"/>
      <c r="E41" s="931"/>
      <c r="F41" s="903"/>
      <c r="G41" s="916"/>
      <c r="H41" s="930"/>
    </row>
    <row r="42">
      <c r="A42" s="932"/>
      <c r="B42" s="933" t="s">
        <v>450</v>
      </c>
      <c r="C42" s="930"/>
      <c r="D42" s="930"/>
      <c r="E42" s="934"/>
      <c r="F42" s="927"/>
      <c r="G42" s="916"/>
      <c r="H42" s="930"/>
    </row>
    <row r="43">
      <c r="B43" s="917"/>
      <c r="C43" s="918">
        <f t="shared" ref="C43:H43" si="3">SUM(C37:C41)</f>
        <v>0</v>
      </c>
      <c r="D43" s="918">
        <f t="shared" si="3"/>
        <v>0</v>
      </c>
      <c r="E43" s="918">
        <f t="shared" si="3"/>
        <v>0</v>
      </c>
      <c r="F43" s="918">
        <f t="shared" si="3"/>
        <v>0</v>
      </c>
      <c r="G43" s="918">
        <f t="shared" si="3"/>
        <v>0</v>
      </c>
      <c r="H43" s="918">
        <f t="shared" si="3"/>
        <v>0</v>
      </c>
    </row>
    <row r="44">
      <c r="B44" s="917"/>
    </row>
    <row r="45">
      <c r="B45" s="919" t="s">
        <v>562</v>
      </c>
      <c r="C45" s="920"/>
      <c r="D45" s="920"/>
      <c r="E45" s="920"/>
      <c r="F45" s="920"/>
      <c r="G45" s="920"/>
      <c r="H45" s="921"/>
    </row>
    <row r="46">
      <c r="B46" s="922"/>
      <c r="C46" s="923"/>
      <c r="D46" s="923"/>
      <c r="E46" s="923"/>
      <c r="F46" s="923"/>
      <c r="G46" s="923"/>
      <c r="H46" s="924"/>
    </row>
    <row r="47">
      <c r="B47" s="935" t="s">
        <v>551</v>
      </c>
      <c r="C47" s="936" t="s">
        <v>552</v>
      </c>
      <c r="D47" s="936" t="s">
        <v>553</v>
      </c>
      <c r="E47" s="936" t="s">
        <v>554</v>
      </c>
      <c r="F47" s="936" t="s">
        <v>555</v>
      </c>
      <c r="G47" s="936" t="s">
        <v>556</v>
      </c>
      <c r="H47" s="935" t="s">
        <v>557</v>
      </c>
    </row>
    <row r="48">
      <c r="B48" s="827"/>
      <c r="C48" s="827"/>
      <c r="D48" s="827"/>
      <c r="E48" s="827"/>
      <c r="F48" s="827"/>
      <c r="G48" s="827"/>
      <c r="H48" s="827"/>
    </row>
    <row r="49">
      <c r="A49" s="925">
        <v>1.0</v>
      </c>
      <c r="B49" s="926" t="s">
        <v>563</v>
      </c>
      <c r="C49" s="903"/>
      <c r="D49" s="927"/>
      <c r="E49" s="929"/>
      <c r="F49" s="903"/>
      <c r="G49" s="903"/>
      <c r="H49" s="903"/>
    </row>
    <row r="50">
      <c r="A50" s="906">
        <v>2.0</v>
      </c>
      <c r="B50" s="937" t="s">
        <v>564</v>
      </c>
      <c r="C50" s="903"/>
      <c r="D50" s="903"/>
      <c r="E50" s="903"/>
      <c r="F50" s="903"/>
      <c r="G50" s="927"/>
      <c r="H50" s="903"/>
    </row>
    <row r="51">
      <c r="A51" s="906">
        <v>3.0</v>
      </c>
      <c r="B51" s="926" t="s">
        <v>37</v>
      </c>
      <c r="C51" s="903"/>
      <c r="D51" s="903"/>
      <c r="E51" s="903"/>
      <c r="F51" s="927"/>
      <c r="G51" s="903"/>
      <c r="H51" s="903"/>
    </row>
    <row r="52">
      <c r="A52" s="906">
        <v>4.0</v>
      </c>
      <c r="B52" s="926" t="s">
        <v>382</v>
      </c>
      <c r="C52" s="903"/>
      <c r="D52" s="903"/>
      <c r="E52" s="903"/>
      <c r="F52" s="903"/>
      <c r="G52" s="927"/>
      <c r="H52" s="903"/>
    </row>
    <row r="53">
      <c r="A53" s="906">
        <v>5.0</v>
      </c>
      <c r="B53" s="926" t="s">
        <v>565</v>
      </c>
      <c r="C53" s="903"/>
      <c r="D53" s="903"/>
      <c r="E53" s="903"/>
      <c r="F53" s="938"/>
      <c r="G53" s="929"/>
      <c r="H53" s="903"/>
    </row>
    <row r="54">
      <c r="A54" s="906">
        <v>6.0</v>
      </c>
      <c r="B54" s="926" t="s">
        <v>55</v>
      </c>
      <c r="C54" s="903"/>
      <c r="D54" s="903"/>
      <c r="E54" s="927"/>
      <c r="F54" s="929"/>
      <c r="G54" s="929"/>
      <c r="H54" s="903"/>
    </row>
    <row r="55">
      <c r="A55" s="906">
        <v>7.0</v>
      </c>
      <c r="B55" s="926" t="s">
        <v>408</v>
      </c>
      <c r="C55" s="929"/>
      <c r="D55" s="903"/>
      <c r="E55" s="938"/>
      <c r="F55" s="903"/>
      <c r="G55" s="929"/>
      <c r="H55" s="903"/>
    </row>
    <row r="56">
      <c r="A56" s="906">
        <v>8.0</v>
      </c>
      <c r="B56" s="928" t="s">
        <v>566</v>
      </c>
      <c r="C56" s="916"/>
      <c r="D56" s="939"/>
      <c r="E56" s="916"/>
      <c r="F56" s="930"/>
      <c r="G56" s="916"/>
      <c r="H56" s="916"/>
    </row>
    <row r="57">
      <c r="B57" s="917"/>
      <c r="C57" s="918">
        <f t="shared" ref="C57:H57" si="4">SUM(C49:C56)</f>
        <v>0</v>
      </c>
      <c r="D57" s="918">
        <f t="shared" si="4"/>
        <v>0</v>
      </c>
      <c r="E57" s="918">
        <f t="shared" si="4"/>
        <v>0</v>
      </c>
      <c r="F57" s="918">
        <f t="shared" si="4"/>
        <v>0</v>
      </c>
      <c r="G57" s="918">
        <f t="shared" si="4"/>
        <v>0</v>
      </c>
      <c r="H57" s="918">
        <f t="shared" si="4"/>
        <v>0</v>
      </c>
    </row>
    <row r="58">
      <c r="B58" s="917"/>
    </row>
    <row r="59">
      <c r="B59" s="919" t="s">
        <v>567</v>
      </c>
      <c r="C59" s="920"/>
      <c r="D59" s="920"/>
      <c r="E59" s="920"/>
      <c r="F59" s="920"/>
      <c r="G59" s="920"/>
      <c r="H59" s="921"/>
    </row>
    <row r="60">
      <c r="B60" s="922"/>
      <c r="C60" s="923"/>
      <c r="D60" s="923"/>
      <c r="E60" s="923"/>
      <c r="F60" s="923"/>
      <c r="G60" s="923"/>
      <c r="H60" s="924"/>
    </row>
    <row r="61">
      <c r="B61" s="935" t="s">
        <v>551</v>
      </c>
      <c r="C61" s="936" t="s">
        <v>552</v>
      </c>
      <c r="D61" s="936" t="s">
        <v>553</v>
      </c>
      <c r="E61" s="936" t="s">
        <v>554</v>
      </c>
      <c r="F61" s="936" t="s">
        <v>555</v>
      </c>
      <c r="G61" s="936" t="s">
        <v>556</v>
      </c>
      <c r="H61" s="935" t="s">
        <v>557</v>
      </c>
    </row>
    <row r="62">
      <c r="B62" s="827"/>
      <c r="C62" s="827"/>
      <c r="D62" s="827"/>
      <c r="E62" s="827"/>
      <c r="F62" s="827"/>
      <c r="G62" s="827"/>
      <c r="H62" s="827"/>
    </row>
    <row r="63">
      <c r="A63" s="925">
        <v>1.0</v>
      </c>
      <c r="B63" s="940" t="s">
        <v>426</v>
      </c>
      <c r="C63" s="927"/>
      <c r="D63" s="903"/>
      <c r="E63" s="903"/>
      <c r="F63" s="903"/>
      <c r="G63" s="929"/>
      <c r="H63" s="903"/>
    </row>
    <row r="64">
      <c r="A64" s="906">
        <v>2.0</v>
      </c>
      <c r="B64" s="937" t="s">
        <v>568</v>
      </c>
      <c r="C64" s="903"/>
      <c r="D64" s="903"/>
      <c r="E64" s="903"/>
      <c r="F64" s="927"/>
      <c r="G64" s="929"/>
      <c r="H64" s="903"/>
    </row>
    <row r="65">
      <c r="A65" s="906">
        <v>3.0</v>
      </c>
      <c r="B65" s="937" t="s">
        <v>86</v>
      </c>
      <c r="C65" s="903"/>
      <c r="D65" s="903"/>
      <c r="E65" s="903"/>
      <c r="F65" s="903"/>
      <c r="G65" s="927"/>
      <c r="H65" s="903"/>
    </row>
    <row r="66">
      <c r="A66" s="906">
        <v>4.0</v>
      </c>
      <c r="B66" s="937" t="s">
        <v>436</v>
      </c>
      <c r="C66" s="903"/>
      <c r="D66" s="903"/>
      <c r="E66" s="903"/>
      <c r="F66" s="938"/>
      <c r="G66" s="929"/>
      <c r="H66" s="903"/>
    </row>
    <row r="67">
      <c r="A67" s="906">
        <v>5.0</v>
      </c>
      <c r="B67" s="937" t="s">
        <v>77</v>
      </c>
      <c r="C67" s="930"/>
      <c r="D67" s="930"/>
      <c r="E67" s="941"/>
      <c r="F67" s="916"/>
      <c r="G67" s="916"/>
      <c r="H67" s="930"/>
    </row>
    <row r="68">
      <c r="A68" s="906">
        <v>6.0</v>
      </c>
      <c r="B68" s="928" t="s">
        <v>71</v>
      </c>
      <c r="C68" s="930"/>
      <c r="D68" s="930"/>
      <c r="E68" s="939"/>
      <c r="F68" s="930"/>
      <c r="G68" s="916"/>
      <c r="H68" s="916"/>
    </row>
    <row r="69">
      <c r="B69" s="917"/>
      <c r="C69" s="918">
        <f t="shared" ref="C69:H69" si="5">SUM(C63:C68)</f>
        <v>0</v>
      </c>
      <c r="D69" s="918">
        <f t="shared" si="5"/>
        <v>0</v>
      </c>
      <c r="E69" s="918">
        <f t="shared" si="5"/>
        <v>0</v>
      </c>
      <c r="F69" s="918">
        <f t="shared" si="5"/>
        <v>0</v>
      </c>
      <c r="G69" s="918">
        <f t="shared" si="5"/>
        <v>0</v>
      </c>
      <c r="H69" s="918">
        <f t="shared" si="5"/>
        <v>0</v>
      </c>
    </row>
    <row r="70">
      <c r="B70" s="917"/>
    </row>
    <row r="71">
      <c r="B71" s="917"/>
    </row>
    <row r="72">
      <c r="B72" s="942" t="s">
        <v>397</v>
      </c>
      <c r="C72" s="942" t="str">
        <f>C3+C4+C5+C6+C7+C8+C9+C10+C11+C12+C13+C14+C15+C16+C17+C18+C19+C20+C21+C22+C23+C24+#REF!+C25+C26+#REF!+#REF!+C27+C28+C29+C30+C31+C37+C38+C39+C41+C49+C50+C51+C52+C53+C54+C55+C56+C63+C64+C65+C66+C68</f>
        <v>#REF!</v>
      </c>
      <c r="D72" s="942" t="str">
        <f>'Plan de mise à quai Alfortville'!E49+D4+D5+D6+D7+D8+D9+D10+D11+D12+D13+D14+D15+D16+D17+D18+D19+D20+D21+D22+D23+D24+#REF!+D25+D26+#REF!+#REF!+D27+D28+D29+D30+D31+D37+D38+D39+D41+D49+D50+D51+D52+D53+D54+D55+D56+D63+D64+D65+D66+D68</f>
        <v>#REF!</v>
      </c>
      <c r="E72" s="942" t="str">
        <f t="shared" ref="E72:H72" si="6">E3+E4+E5+E6+E7+E8+E9+E10+E11+E12+E13+E14+E15+E16+E17+E18+E19+E20+E21+E22+E23+E24+#REF!+E25+E26+#REF!+#REF!+E27+E28+E29+E30+E31+E37+E38+E39+E41+E49+E50+E51+E52+E53+E54+E55+E56+E63+E64+E65+E66+E68</f>
        <v>#REF!</v>
      </c>
      <c r="F72" s="942" t="str">
        <f t="shared" si="6"/>
        <v>#REF!</v>
      </c>
      <c r="G72" s="942" t="str">
        <f t="shared" si="6"/>
        <v>#REF!</v>
      </c>
      <c r="H72" s="942" t="str">
        <f t="shared" si="6"/>
        <v>#REF!</v>
      </c>
    </row>
    <row r="73">
      <c r="B73" s="943"/>
      <c r="C73" s="943"/>
      <c r="D73" s="943"/>
      <c r="E73" s="943"/>
      <c r="F73" s="943"/>
      <c r="G73" s="943"/>
      <c r="H73" s="943"/>
    </row>
    <row r="74">
      <c r="B74" s="944"/>
      <c r="C74" s="944"/>
      <c r="D74" s="944"/>
      <c r="E74" s="944"/>
      <c r="F74" s="944"/>
      <c r="G74" s="944"/>
      <c r="H74" s="944"/>
    </row>
    <row r="75">
      <c r="B75" s="917"/>
    </row>
    <row r="76">
      <c r="B76" s="917"/>
    </row>
    <row r="77">
      <c r="B77" s="917"/>
    </row>
    <row r="78">
      <c r="B78" s="917"/>
    </row>
    <row r="79">
      <c r="B79" s="917"/>
    </row>
    <row r="80">
      <c r="B80" s="917"/>
    </row>
    <row r="81">
      <c r="B81" s="917"/>
    </row>
    <row r="82">
      <c r="B82" s="917"/>
    </row>
    <row r="83">
      <c r="B83" s="917"/>
    </row>
    <row r="84">
      <c r="B84" s="917"/>
    </row>
    <row r="85">
      <c r="B85" s="917"/>
    </row>
    <row r="86">
      <c r="B86" s="917"/>
    </row>
    <row r="87">
      <c r="B87" s="917"/>
    </row>
    <row r="88">
      <c r="B88" s="917"/>
    </row>
    <row r="89">
      <c r="B89" s="917"/>
    </row>
    <row r="90">
      <c r="B90" s="917"/>
    </row>
    <row r="91">
      <c r="B91" s="917"/>
    </row>
    <row r="92">
      <c r="B92" s="917"/>
    </row>
    <row r="93">
      <c r="B93" s="917"/>
    </row>
    <row r="94">
      <c r="B94" s="917"/>
    </row>
    <row r="95">
      <c r="B95" s="917"/>
    </row>
    <row r="96">
      <c r="B96" s="917"/>
    </row>
    <row r="97">
      <c r="B97" s="917"/>
    </row>
    <row r="98">
      <c r="B98" s="917"/>
    </row>
    <row r="99">
      <c r="B99" s="917"/>
    </row>
    <row r="100">
      <c r="B100" s="917"/>
    </row>
    <row r="101">
      <c r="B101" s="917"/>
    </row>
    <row r="102">
      <c r="B102" s="917"/>
    </row>
    <row r="103">
      <c r="B103" s="917"/>
    </row>
    <row r="104">
      <c r="B104" s="917"/>
    </row>
    <row r="105">
      <c r="B105" s="917"/>
    </row>
    <row r="106">
      <c r="B106" s="917"/>
    </row>
    <row r="107">
      <c r="B107" s="917"/>
    </row>
    <row r="108">
      <c r="B108" s="917"/>
    </row>
    <row r="109">
      <c r="B109" s="917"/>
    </row>
    <row r="110">
      <c r="B110" s="917"/>
    </row>
    <row r="111">
      <c r="B111" s="917"/>
    </row>
    <row r="112">
      <c r="B112" s="917"/>
    </row>
    <row r="113">
      <c r="B113" s="917"/>
    </row>
    <row r="114">
      <c r="B114" s="917"/>
    </row>
    <row r="115">
      <c r="B115" s="917"/>
    </row>
    <row r="116">
      <c r="B116" s="917"/>
    </row>
    <row r="117">
      <c r="B117" s="917"/>
    </row>
    <row r="118">
      <c r="B118" s="917"/>
    </row>
    <row r="119">
      <c r="B119" s="917"/>
    </row>
    <row r="120">
      <c r="B120" s="917"/>
    </row>
    <row r="121">
      <c r="B121" s="917"/>
    </row>
    <row r="122">
      <c r="B122" s="917"/>
    </row>
    <row r="123">
      <c r="B123" s="917"/>
    </row>
    <row r="124">
      <c r="B124" s="917"/>
    </row>
    <row r="125">
      <c r="B125" s="917"/>
    </row>
    <row r="126">
      <c r="B126" s="917"/>
    </row>
    <row r="127">
      <c r="B127" s="917"/>
    </row>
    <row r="128">
      <c r="B128" s="917"/>
    </row>
    <row r="129">
      <c r="B129" s="917"/>
    </row>
    <row r="130">
      <c r="B130" s="917"/>
    </row>
    <row r="131">
      <c r="B131" s="917"/>
    </row>
    <row r="132">
      <c r="B132" s="917"/>
    </row>
    <row r="133">
      <c r="B133" s="917"/>
    </row>
    <row r="134">
      <c r="B134" s="917"/>
    </row>
    <row r="135">
      <c r="B135" s="917"/>
    </row>
    <row r="136">
      <c r="B136" s="917"/>
    </row>
    <row r="137">
      <c r="B137" s="917"/>
    </row>
    <row r="138">
      <c r="B138" s="917"/>
    </row>
    <row r="139">
      <c r="B139" s="917"/>
    </row>
    <row r="140">
      <c r="B140" s="917"/>
    </row>
    <row r="141">
      <c r="B141" s="917"/>
    </row>
    <row r="142">
      <c r="B142" s="917"/>
    </row>
    <row r="143">
      <c r="B143" s="917"/>
    </row>
    <row r="144">
      <c r="B144" s="917"/>
    </row>
    <row r="145">
      <c r="B145" s="917"/>
    </row>
    <row r="146">
      <c r="B146" s="917"/>
    </row>
    <row r="147">
      <c r="B147" s="917"/>
    </row>
    <row r="148">
      <c r="B148" s="917"/>
    </row>
    <row r="149">
      <c r="B149" s="917"/>
    </row>
    <row r="150">
      <c r="B150" s="917"/>
    </row>
    <row r="151">
      <c r="B151" s="917"/>
    </row>
    <row r="152">
      <c r="B152" s="917"/>
    </row>
    <row r="153">
      <c r="B153" s="917"/>
    </row>
    <row r="154">
      <c r="B154" s="917"/>
    </row>
    <row r="155">
      <c r="B155" s="917"/>
    </row>
    <row r="156">
      <c r="B156" s="917"/>
    </row>
    <row r="157">
      <c r="B157" s="917"/>
    </row>
    <row r="158">
      <c r="B158" s="917"/>
    </row>
    <row r="159">
      <c r="B159" s="917"/>
    </row>
    <row r="160">
      <c r="B160" s="917"/>
    </row>
    <row r="161">
      <c r="B161" s="917"/>
    </row>
    <row r="162">
      <c r="B162" s="917"/>
    </row>
    <row r="163">
      <c r="B163" s="917"/>
    </row>
    <row r="164">
      <c r="B164" s="917"/>
    </row>
    <row r="165">
      <c r="B165" s="917"/>
    </row>
    <row r="166">
      <c r="B166" s="917"/>
    </row>
    <row r="167">
      <c r="B167" s="917"/>
    </row>
    <row r="168">
      <c r="B168" s="917"/>
    </row>
    <row r="169">
      <c r="B169" s="917"/>
    </row>
    <row r="170">
      <c r="B170" s="917"/>
    </row>
    <row r="171">
      <c r="B171" s="917"/>
    </row>
    <row r="172">
      <c r="B172" s="917"/>
    </row>
    <row r="173">
      <c r="B173" s="917"/>
    </row>
    <row r="174">
      <c r="B174" s="917"/>
    </row>
    <row r="175">
      <c r="B175" s="917"/>
    </row>
    <row r="176">
      <c r="B176" s="917"/>
    </row>
    <row r="177">
      <c r="B177" s="917"/>
    </row>
    <row r="178">
      <c r="B178" s="917"/>
    </row>
    <row r="179">
      <c r="B179" s="917"/>
    </row>
    <row r="180">
      <c r="B180" s="917"/>
    </row>
    <row r="181">
      <c r="B181" s="917"/>
    </row>
    <row r="182">
      <c r="B182" s="917"/>
    </row>
    <row r="183">
      <c r="B183" s="917"/>
    </row>
    <row r="184">
      <c r="B184" s="917"/>
    </row>
    <row r="185">
      <c r="B185" s="917"/>
    </row>
    <row r="186">
      <c r="B186" s="917"/>
    </row>
    <row r="187">
      <c r="B187" s="917"/>
    </row>
    <row r="188">
      <c r="B188" s="917"/>
    </row>
    <row r="189">
      <c r="B189" s="917"/>
    </row>
    <row r="190">
      <c r="B190" s="917"/>
    </row>
    <row r="191">
      <c r="B191" s="917"/>
    </row>
    <row r="192">
      <c r="B192" s="917"/>
    </row>
    <row r="193">
      <c r="B193" s="917"/>
    </row>
    <row r="194">
      <c r="B194" s="917"/>
    </row>
    <row r="195">
      <c r="B195" s="917"/>
    </row>
    <row r="196">
      <c r="B196" s="917"/>
    </row>
    <row r="197">
      <c r="B197" s="917"/>
    </row>
    <row r="198">
      <c r="B198" s="917"/>
    </row>
    <row r="199">
      <c r="B199" s="917"/>
    </row>
    <row r="200">
      <c r="B200" s="917"/>
    </row>
    <row r="201">
      <c r="B201" s="917"/>
    </row>
    <row r="202">
      <c r="B202" s="917"/>
    </row>
    <row r="203">
      <c r="B203" s="917"/>
    </row>
    <row r="204">
      <c r="B204" s="917"/>
    </row>
    <row r="205">
      <c r="B205" s="917"/>
    </row>
    <row r="206">
      <c r="B206" s="917"/>
    </row>
    <row r="207">
      <c r="B207" s="917"/>
    </row>
    <row r="208">
      <c r="B208" s="917"/>
    </row>
    <row r="209">
      <c r="B209" s="917"/>
    </row>
    <row r="210">
      <c r="B210" s="917"/>
    </row>
    <row r="211">
      <c r="B211" s="917"/>
    </row>
    <row r="212">
      <c r="B212" s="917"/>
    </row>
    <row r="213">
      <c r="B213" s="917"/>
    </row>
    <row r="214">
      <c r="B214" s="917"/>
    </row>
    <row r="215">
      <c r="B215" s="917"/>
    </row>
    <row r="216">
      <c r="B216" s="917"/>
    </row>
    <row r="217">
      <c r="B217" s="917"/>
    </row>
    <row r="218">
      <c r="B218" s="917"/>
    </row>
    <row r="219">
      <c r="B219" s="917"/>
    </row>
    <row r="220">
      <c r="B220" s="917"/>
    </row>
    <row r="221">
      <c r="B221" s="917"/>
    </row>
    <row r="222">
      <c r="B222" s="917"/>
    </row>
    <row r="223">
      <c r="B223" s="917"/>
    </row>
    <row r="224">
      <c r="B224" s="917"/>
    </row>
    <row r="225">
      <c r="B225" s="917"/>
    </row>
    <row r="226">
      <c r="B226" s="917"/>
    </row>
    <row r="227">
      <c r="B227" s="917"/>
    </row>
    <row r="228">
      <c r="B228" s="917"/>
    </row>
    <row r="229">
      <c r="B229" s="917"/>
    </row>
    <row r="230">
      <c r="B230" s="917"/>
    </row>
    <row r="231">
      <c r="B231" s="917"/>
    </row>
    <row r="232">
      <c r="B232" s="917"/>
    </row>
    <row r="233">
      <c r="B233" s="917"/>
    </row>
    <row r="234">
      <c r="B234" s="917"/>
    </row>
    <row r="235">
      <c r="B235" s="917"/>
    </row>
    <row r="236">
      <c r="B236" s="917"/>
    </row>
    <row r="237">
      <c r="B237" s="917"/>
    </row>
    <row r="238">
      <c r="B238" s="917"/>
    </row>
    <row r="239">
      <c r="B239" s="917"/>
    </row>
    <row r="240">
      <c r="B240" s="917"/>
    </row>
    <row r="241">
      <c r="B241" s="917"/>
    </row>
    <row r="242">
      <c r="B242" s="917"/>
    </row>
    <row r="243">
      <c r="B243" s="917"/>
    </row>
    <row r="244">
      <c r="B244" s="917"/>
    </row>
    <row r="245">
      <c r="B245" s="917"/>
    </row>
    <row r="246">
      <c r="B246" s="917"/>
    </row>
    <row r="247">
      <c r="B247" s="917"/>
    </row>
    <row r="248">
      <c r="B248" s="917"/>
    </row>
    <row r="249">
      <c r="B249" s="917"/>
    </row>
    <row r="250">
      <c r="B250" s="917"/>
    </row>
    <row r="251">
      <c r="B251" s="917"/>
    </row>
    <row r="252">
      <c r="B252" s="917"/>
    </row>
    <row r="253">
      <c r="B253" s="917"/>
    </row>
    <row r="254">
      <c r="B254" s="917"/>
    </row>
    <row r="255">
      <c r="B255" s="917"/>
    </row>
    <row r="256">
      <c r="B256" s="917"/>
    </row>
    <row r="257">
      <c r="B257" s="917"/>
    </row>
    <row r="258">
      <c r="B258" s="917"/>
    </row>
    <row r="259">
      <c r="B259" s="917"/>
    </row>
    <row r="260">
      <c r="B260" s="917"/>
    </row>
    <row r="261">
      <c r="B261" s="917"/>
    </row>
    <row r="262">
      <c r="B262" s="917"/>
    </row>
    <row r="263">
      <c r="B263" s="917"/>
    </row>
    <row r="264">
      <c r="B264" s="917"/>
    </row>
    <row r="265">
      <c r="B265" s="917"/>
    </row>
    <row r="266">
      <c r="B266" s="917"/>
    </row>
    <row r="267">
      <c r="B267" s="917"/>
    </row>
    <row r="268">
      <c r="B268" s="917"/>
    </row>
    <row r="269">
      <c r="B269" s="917"/>
    </row>
    <row r="270">
      <c r="B270" s="917"/>
    </row>
    <row r="271">
      <c r="B271" s="917"/>
    </row>
    <row r="272">
      <c r="B272" s="917"/>
    </row>
    <row r="273">
      <c r="B273" s="917"/>
    </row>
    <row r="274">
      <c r="B274" s="917"/>
    </row>
    <row r="275">
      <c r="B275" s="917"/>
    </row>
    <row r="276">
      <c r="B276" s="917"/>
    </row>
    <row r="277">
      <c r="B277" s="917"/>
    </row>
    <row r="278">
      <c r="B278" s="917"/>
    </row>
    <row r="279">
      <c r="B279" s="917"/>
    </row>
    <row r="280">
      <c r="B280" s="917"/>
    </row>
    <row r="281">
      <c r="B281" s="917"/>
    </row>
    <row r="282">
      <c r="B282" s="917"/>
    </row>
    <row r="283">
      <c r="B283" s="917"/>
    </row>
    <row r="284">
      <c r="B284" s="917"/>
    </row>
    <row r="285">
      <c r="B285" s="917"/>
    </row>
    <row r="286">
      <c r="B286" s="917"/>
    </row>
    <row r="287">
      <c r="B287" s="917"/>
    </row>
    <row r="288">
      <c r="B288" s="917"/>
    </row>
    <row r="289">
      <c r="B289" s="917"/>
    </row>
    <row r="290">
      <c r="B290" s="917"/>
    </row>
    <row r="291">
      <c r="B291" s="917"/>
    </row>
    <row r="292">
      <c r="B292" s="917"/>
    </row>
    <row r="293">
      <c r="B293" s="917"/>
    </row>
    <row r="294">
      <c r="B294" s="917"/>
    </row>
    <row r="295">
      <c r="B295" s="917"/>
    </row>
    <row r="296">
      <c r="B296" s="917"/>
    </row>
    <row r="297">
      <c r="B297" s="917"/>
    </row>
    <row r="298">
      <c r="B298" s="917"/>
    </row>
    <row r="299">
      <c r="B299" s="917"/>
    </row>
    <row r="300">
      <c r="B300" s="917"/>
    </row>
    <row r="301">
      <c r="B301" s="917"/>
    </row>
    <row r="302">
      <c r="B302" s="917"/>
    </row>
    <row r="303">
      <c r="B303" s="917"/>
    </row>
    <row r="304">
      <c r="B304" s="917"/>
    </row>
    <row r="305">
      <c r="B305" s="917"/>
    </row>
    <row r="306">
      <c r="B306" s="917"/>
    </row>
    <row r="307">
      <c r="B307" s="917"/>
    </row>
    <row r="308">
      <c r="B308" s="917"/>
    </row>
    <row r="309">
      <c r="B309" s="917"/>
    </row>
    <row r="310">
      <c r="B310" s="917"/>
    </row>
    <row r="311">
      <c r="B311" s="917"/>
    </row>
    <row r="312">
      <c r="B312" s="917"/>
    </row>
    <row r="313">
      <c r="B313" s="917"/>
    </row>
    <row r="314">
      <c r="B314" s="917"/>
    </row>
    <row r="315">
      <c r="B315" s="917"/>
    </row>
    <row r="316">
      <c r="B316" s="917"/>
    </row>
    <row r="317">
      <c r="B317" s="917"/>
    </row>
    <row r="318">
      <c r="B318" s="917"/>
    </row>
    <row r="319">
      <c r="B319" s="917"/>
    </row>
    <row r="320">
      <c r="B320" s="917"/>
    </row>
    <row r="321">
      <c r="B321" s="917"/>
    </row>
    <row r="322">
      <c r="B322" s="917"/>
    </row>
    <row r="323">
      <c r="B323" s="917"/>
    </row>
    <row r="324">
      <c r="B324" s="917"/>
    </row>
    <row r="325">
      <c r="B325" s="917"/>
    </row>
    <row r="326">
      <c r="B326" s="917"/>
    </row>
    <row r="327">
      <c r="B327" s="917"/>
    </row>
    <row r="328">
      <c r="B328" s="917"/>
    </row>
    <row r="329">
      <c r="B329" s="917"/>
    </row>
    <row r="330">
      <c r="B330" s="917"/>
    </row>
    <row r="331">
      <c r="B331" s="917"/>
    </row>
    <row r="332">
      <c r="B332" s="917"/>
    </row>
    <row r="333">
      <c r="B333" s="917"/>
    </row>
    <row r="334">
      <c r="B334" s="917"/>
    </row>
    <row r="335">
      <c r="B335" s="917"/>
    </row>
    <row r="336">
      <c r="B336" s="917"/>
    </row>
    <row r="337">
      <c r="B337" s="917"/>
    </row>
    <row r="338">
      <c r="B338" s="917"/>
    </row>
    <row r="339">
      <c r="B339" s="917"/>
    </row>
    <row r="340">
      <c r="B340" s="917"/>
    </row>
    <row r="341">
      <c r="B341" s="917"/>
    </row>
    <row r="342">
      <c r="B342" s="917"/>
    </row>
    <row r="343">
      <c r="B343" s="917"/>
    </row>
    <row r="344">
      <c r="B344" s="917"/>
    </row>
    <row r="345">
      <c r="B345" s="917"/>
    </row>
    <row r="346">
      <c r="B346" s="917"/>
    </row>
    <row r="347">
      <c r="B347" s="917"/>
    </row>
    <row r="348">
      <c r="B348" s="917"/>
    </row>
    <row r="349">
      <c r="B349" s="917"/>
    </row>
    <row r="350">
      <c r="B350" s="917"/>
    </row>
    <row r="351">
      <c r="B351" s="917"/>
    </row>
    <row r="352">
      <c r="B352" s="917"/>
    </row>
    <row r="353">
      <c r="B353" s="917"/>
    </row>
    <row r="354">
      <c r="B354" s="917"/>
    </row>
    <row r="355">
      <c r="B355" s="917"/>
    </row>
    <row r="356">
      <c r="B356" s="917"/>
    </row>
    <row r="357">
      <c r="B357" s="917"/>
    </row>
    <row r="358">
      <c r="B358" s="917"/>
    </row>
    <row r="359">
      <c r="B359" s="917"/>
    </row>
    <row r="360">
      <c r="B360" s="917"/>
    </row>
    <row r="361">
      <c r="B361" s="917"/>
    </row>
    <row r="362">
      <c r="B362" s="917"/>
    </row>
    <row r="363">
      <c r="B363" s="917"/>
    </row>
    <row r="364">
      <c r="B364" s="917"/>
    </row>
    <row r="365">
      <c r="B365" s="917"/>
    </row>
    <row r="366">
      <c r="B366" s="917"/>
    </row>
    <row r="367">
      <c r="B367" s="917"/>
    </row>
    <row r="368">
      <c r="B368" s="917"/>
    </row>
    <row r="369">
      <c r="B369" s="917"/>
    </row>
    <row r="370">
      <c r="B370" s="917"/>
    </row>
    <row r="371">
      <c r="B371" s="917"/>
    </row>
    <row r="372">
      <c r="B372" s="917"/>
    </row>
    <row r="373">
      <c r="B373" s="917"/>
    </row>
    <row r="374">
      <c r="B374" s="917"/>
    </row>
    <row r="375">
      <c r="B375" s="917"/>
    </row>
    <row r="376">
      <c r="B376" s="917"/>
    </row>
    <row r="377">
      <c r="B377" s="917"/>
    </row>
    <row r="378">
      <c r="B378" s="917"/>
    </row>
    <row r="379">
      <c r="B379" s="917"/>
    </row>
    <row r="380">
      <c r="B380" s="917"/>
    </row>
    <row r="381">
      <c r="B381" s="917"/>
    </row>
    <row r="382">
      <c r="B382" s="917"/>
    </row>
    <row r="383">
      <c r="B383" s="917"/>
    </row>
    <row r="384">
      <c r="B384" s="917"/>
    </row>
    <row r="385">
      <c r="B385" s="917"/>
    </row>
    <row r="386">
      <c r="B386" s="917"/>
    </row>
    <row r="387">
      <c r="B387" s="917"/>
    </row>
    <row r="388">
      <c r="B388" s="917"/>
    </row>
    <row r="389">
      <c r="B389" s="917"/>
    </row>
    <row r="390">
      <c r="B390" s="917"/>
    </row>
    <row r="391">
      <c r="B391" s="917"/>
    </row>
    <row r="392">
      <c r="B392" s="917"/>
    </row>
    <row r="393">
      <c r="B393" s="917"/>
    </row>
    <row r="394">
      <c r="B394" s="917"/>
    </row>
    <row r="395">
      <c r="B395" s="917"/>
    </row>
    <row r="396">
      <c r="B396" s="917"/>
    </row>
    <row r="397">
      <c r="B397" s="917"/>
    </row>
    <row r="398">
      <c r="B398" s="917"/>
    </row>
    <row r="399">
      <c r="B399" s="917"/>
    </row>
    <row r="400">
      <c r="B400" s="917"/>
    </row>
    <row r="401">
      <c r="B401" s="917"/>
    </row>
    <row r="402">
      <c r="B402" s="917"/>
    </row>
    <row r="403">
      <c r="B403" s="917"/>
    </row>
    <row r="404">
      <c r="B404" s="917"/>
    </row>
    <row r="405">
      <c r="B405" s="917"/>
    </row>
    <row r="406">
      <c r="B406" s="917"/>
    </row>
    <row r="407">
      <c r="B407" s="917"/>
    </row>
    <row r="408">
      <c r="B408" s="917"/>
    </row>
    <row r="409">
      <c r="B409" s="917"/>
    </row>
    <row r="410">
      <c r="B410" s="917"/>
    </row>
    <row r="411">
      <c r="B411" s="917"/>
    </row>
    <row r="412">
      <c r="B412" s="917"/>
    </row>
    <row r="413">
      <c r="B413" s="917"/>
    </row>
    <row r="414">
      <c r="B414" s="917"/>
    </row>
    <row r="415">
      <c r="B415" s="917"/>
    </row>
    <row r="416">
      <c r="B416" s="917"/>
    </row>
    <row r="417">
      <c r="B417" s="917"/>
    </row>
    <row r="418">
      <c r="B418" s="917"/>
    </row>
    <row r="419">
      <c r="B419" s="917"/>
    </row>
    <row r="420">
      <c r="B420" s="917"/>
    </row>
    <row r="421">
      <c r="B421" s="917"/>
    </row>
    <row r="422">
      <c r="B422" s="917"/>
    </row>
    <row r="423">
      <c r="B423" s="917"/>
    </row>
    <row r="424">
      <c r="B424" s="917"/>
    </row>
    <row r="425">
      <c r="B425" s="917"/>
    </row>
    <row r="426">
      <c r="B426" s="917"/>
    </row>
    <row r="427">
      <c r="B427" s="917"/>
    </row>
    <row r="428">
      <c r="B428" s="917"/>
    </row>
    <row r="429">
      <c r="B429" s="917"/>
    </row>
    <row r="430">
      <c r="B430" s="917"/>
    </row>
    <row r="431">
      <c r="B431" s="917"/>
    </row>
    <row r="432">
      <c r="B432" s="917"/>
    </row>
    <row r="433">
      <c r="B433" s="917"/>
    </row>
    <row r="434">
      <c r="B434" s="917"/>
    </row>
    <row r="435">
      <c r="B435" s="917"/>
    </row>
    <row r="436">
      <c r="B436" s="917"/>
    </row>
    <row r="437">
      <c r="B437" s="917"/>
    </row>
    <row r="438">
      <c r="B438" s="917"/>
    </row>
    <row r="439">
      <c r="B439" s="917"/>
    </row>
    <row r="440">
      <c r="B440" s="917"/>
    </row>
    <row r="441">
      <c r="B441" s="917"/>
    </row>
    <row r="442">
      <c r="B442" s="917"/>
    </row>
    <row r="443">
      <c r="B443" s="917"/>
    </row>
    <row r="444">
      <c r="B444" s="917"/>
    </row>
    <row r="445">
      <c r="B445" s="917"/>
    </row>
    <row r="446">
      <c r="B446" s="917"/>
    </row>
    <row r="447">
      <c r="B447" s="917"/>
    </row>
    <row r="448">
      <c r="B448" s="917"/>
    </row>
    <row r="449">
      <c r="B449" s="917"/>
    </row>
    <row r="450">
      <c r="B450" s="917"/>
    </row>
    <row r="451">
      <c r="B451" s="917"/>
    </row>
    <row r="452">
      <c r="B452" s="917"/>
    </row>
    <row r="453">
      <c r="B453" s="917"/>
    </row>
    <row r="454">
      <c r="B454" s="917"/>
    </row>
    <row r="455">
      <c r="B455" s="917"/>
    </row>
    <row r="456">
      <c r="B456" s="917"/>
    </row>
    <row r="457">
      <c r="B457" s="917"/>
    </row>
    <row r="458">
      <c r="B458" s="917"/>
    </row>
    <row r="459">
      <c r="B459" s="917"/>
    </row>
    <row r="460">
      <c r="B460" s="917"/>
    </row>
    <row r="461">
      <c r="B461" s="917"/>
    </row>
    <row r="462">
      <c r="B462" s="917"/>
    </row>
    <row r="463">
      <c r="B463" s="917"/>
    </row>
    <row r="464">
      <c r="B464" s="917"/>
    </row>
    <row r="465">
      <c r="B465" s="917"/>
    </row>
    <row r="466">
      <c r="B466" s="917"/>
    </row>
    <row r="467">
      <c r="B467" s="917"/>
    </row>
    <row r="468">
      <c r="B468" s="917"/>
    </row>
    <row r="469">
      <c r="B469" s="917"/>
    </row>
    <row r="470">
      <c r="B470" s="917"/>
    </row>
    <row r="471">
      <c r="B471" s="917"/>
    </row>
    <row r="472">
      <c r="B472" s="917"/>
    </row>
    <row r="473">
      <c r="B473" s="917"/>
    </row>
    <row r="474">
      <c r="B474" s="917"/>
    </row>
    <row r="475">
      <c r="B475" s="917"/>
    </row>
    <row r="476">
      <c r="B476" s="917"/>
    </row>
    <row r="477">
      <c r="B477" s="917"/>
    </row>
    <row r="478">
      <c r="B478" s="917"/>
    </row>
    <row r="479">
      <c r="B479" s="917"/>
    </row>
    <row r="480">
      <c r="B480" s="917"/>
    </row>
    <row r="481">
      <c r="B481" s="917"/>
    </row>
    <row r="482">
      <c r="B482" s="917"/>
    </row>
    <row r="483">
      <c r="B483" s="917"/>
    </row>
    <row r="484">
      <c r="B484" s="917"/>
    </row>
    <row r="485">
      <c r="B485" s="917"/>
    </row>
    <row r="486">
      <c r="B486" s="917"/>
    </row>
    <row r="487">
      <c r="B487" s="917"/>
    </row>
    <row r="488">
      <c r="B488" s="917"/>
    </row>
    <row r="489">
      <c r="B489" s="917"/>
    </row>
    <row r="490">
      <c r="B490" s="917"/>
    </row>
    <row r="491">
      <c r="B491" s="917"/>
    </row>
    <row r="492">
      <c r="B492" s="917"/>
    </row>
    <row r="493">
      <c r="B493" s="917"/>
    </row>
    <row r="494">
      <c r="B494" s="917"/>
    </row>
    <row r="495">
      <c r="B495" s="917"/>
    </row>
    <row r="496">
      <c r="B496" s="917"/>
    </row>
    <row r="497">
      <c r="B497" s="917"/>
    </row>
    <row r="498">
      <c r="B498" s="917"/>
    </row>
    <row r="499">
      <c r="B499" s="917"/>
    </row>
    <row r="500">
      <c r="B500" s="917"/>
    </row>
    <row r="501">
      <c r="B501" s="917"/>
    </row>
    <row r="502">
      <c r="B502" s="917"/>
    </row>
    <row r="503">
      <c r="B503" s="917"/>
    </row>
    <row r="504">
      <c r="B504" s="917"/>
    </row>
    <row r="505">
      <c r="B505" s="917"/>
    </row>
    <row r="506">
      <c r="B506" s="917"/>
    </row>
    <row r="507">
      <c r="B507" s="917"/>
    </row>
    <row r="508">
      <c r="B508" s="917"/>
    </row>
    <row r="509">
      <c r="B509" s="917"/>
    </row>
    <row r="510">
      <c r="B510" s="917"/>
    </row>
    <row r="511">
      <c r="B511" s="917"/>
    </row>
    <row r="512">
      <c r="B512" s="917"/>
    </row>
    <row r="513">
      <c r="B513" s="917"/>
    </row>
    <row r="514">
      <c r="B514" s="917"/>
    </row>
    <row r="515">
      <c r="B515" s="917"/>
    </row>
    <row r="516">
      <c r="B516" s="917"/>
    </row>
    <row r="517">
      <c r="B517" s="917"/>
    </row>
    <row r="518">
      <c r="B518" s="917"/>
    </row>
    <row r="519">
      <c r="B519" s="917"/>
    </row>
    <row r="520">
      <c r="B520" s="917"/>
    </row>
    <row r="521">
      <c r="B521" s="917"/>
    </row>
    <row r="522">
      <c r="B522" s="917"/>
    </row>
    <row r="523">
      <c r="B523" s="917"/>
    </row>
    <row r="524">
      <c r="B524" s="917"/>
    </row>
    <row r="525">
      <c r="B525" s="917"/>
    </row>
    <row r="526">
      <c r="B526" s="917"/>
    </row>
    <row r="527">
      <c r="B527" s="917"/>
    </row>
    <row r="528">
      <c r="B528" s="917"/>
    </row>
    <row r="529">
      <c r="B529" s="917"/>
    </row>
    <row r="530">
      <c r="B530" s="917"/>
    </row>
    <row r="531">
      <c r="B531" s="917"/>
    </row>
    <row r="532">
      <c r="B532" s="917"/>
    </row>
    <row r="533">
      <c r="B533" s="917"/>
    </row>
    <row r="534">
      <c r="B534" s="917"/>
    </row>
    <row r="535">
      <c r="B535" s="917"/>
    </row>
    <row r="536">
      <c r="B536" s="917"/>
    </row>
    <row r="537">
      <c r="B537" s="917"/>
    </row>
    <row r="538">
      <c r="B538" s="917"/>
    </row>
    <row r="539">
      <c r="B539" s="917"/>
    </row>
    <row r="540">
      <c r="B540" s="917"/>
    </row>
    <row r="541">
      <c r="B541" s="917"/>
    </row>
    <row r="542">
      <c r="B542" s="917"/>
    </row>
    <row r="543">
      <c r="B543" s="917"/>
    </row>
    <row r="544">
      <c r="B544" s="917"/>
    </row>
    <row r="545">
      <c r="B545" s="917"/>
    </row>
    <row r="546">
      <c r="B546" s="917"/>
    </row>
    <row r="547">
      <c r="B547" s="917"/>
    </row>
    <row r="548">
      <c r="B548" s="917"/>
    </row>
    <row r="549">
      <c r="B549" s="917"/>
    </row>
    <row r="550">
      <c r="B550" s="917"/>
    </row>
    <row r="551">
      <c r="B551" s="917"/>
    </row>
    <row r="552">
      <c r="B552" s="917"/>
    </row>
    <row r="553">
      <c r="B553" s="917"/>
    </row>
    <row r="554">
      <c r="B554" s="917"/>
    </row>
    <row r="555">
      <c r="B555" s="917"/>
    </row>
    <row r="556">
      <c r="B556" s="917"/>
    </row>
    <row r="557">
      <c r="B557" s="917"/>
    </row>
    <row r="558">
      <c r="B558" s="917"/>
    </row>
    <row r="559">
      <c r="B559" s="917"/>
    </row>
    <row r="560">
      <c r="B560" s="917"/>
    </row>
    <row r="561">
      <c r="B561" s="917"/>
    </row>
    <row r="562">
      <c r="B562" s="917"/>
    </row>
    <row r="563">
      <c r="B563" s="917"/>
    </row>
    <row r="564">
      <c r="B564" s="917"/>
    </row>
    <row r="565">
      <c r="B565" s="917"/>
    </row>
    <row r="566">
      <c r="B566" s="917"/>
    </row>
    <row r="567">
      <c r="B567" s="917"/>
    </row>
    <row r="568">
      <c r="B568" s="917"/>
    </row>
    <row r="569">
      <c r="B569" s="917"/>
    </row>
    <row r="570">
      <c r="B570" s="917"/>
    </row>
    <row r="571">
      <c r="B571" s="917"/>
    </row>
    <row r="572">
      <c r="B572" s="917"/>
    </row>
    <row r="573">
      <c r="B573" s="917"/>
    </row>
    <row r="574">
      <c r="B574" s="917"/>
    </row>
    <row r="575">
      <c r="B575" s="917"/>
    </row>
    <row r="576">
      <c r="B576" s="917"/>
    </row>
    <row r="577">
      <c r="B577" s="917"/>
    </row>
    <row r="578">
      <c r="B578" s="917"/>
    </row>
    <row r="579">
      <c r="B579" s="917"/>
    </row>
    <row r="580">
      <c r="B580" s="917"/>
    </row>
    <row r="581">
      <c r="B581" s="917"/>
    </row>
    <row r="582">
      <c r="B582" s="917"/>
    </row>
    <row r="583">
      <c r="B583" s="917"/>
    </row>
    <row r="584">
      <c r="B584" s="917"/>
    </row>
    <row r="585">
      <c r="B585" s="917"/>
    </row>
    <row r="586">
      <c r="B586" s="917"/>
    </row>
    <row r="587">
      <c r="B587" s="917"/>
    </row>
    <row r="588">
      <c r="B588" s="917"/>
    </row>
    <row r="589">
      <c r="B589" s="917"/>
    </row>
    <row r="590">
      <c r="B590" s="917"/>
    </row>
    <row r="591">
      <c r="B591" s="917"/>
    </row>
    <row r="592">
      <c r="B592" s="917"/>
    </row>
    <row r="593">
      <c r="B593" s="917"/>
    </row>
    <row r="594">
      <c r="B594" s="917"/>
    </row>
    <row r="595">
      <c r="B595" s="917"/>
    </row>
    <row r="596">
      <c r="B596" s="917"/>
    </row>
    <row r="597">
      <c r="B597" s="917"/>
    </row>
    <row r="598">
      <c r="B598" s="917"/>
    </row>
    <row r="599">
      <c r="B599" s="917"/>
    </row>
    <row r="600">
      <c r="B600" s="917"/>
    </row>
    <row r="601">
      <c r="B601" s="917"/>
    </row>
    <row r="602">
      <c r="B602" s="917"/>
    </row>
    <row r="603">
      <c r="B603" s="917"/>
    </row>
    <row r="604">
      <c r="B604" s="917"/>
    </row>
    <row r="605">
      <c r="B605" s="917"/>
    </row>
    <row r="606">
      <c r="B606" s="917"/>
    </row>
    <row r="607">
      <c r="B607" s="917"/>
    </row>
    <row r="608">
      <c r="B608" s="917"/>
    </row>
    <row r="609">
      <c r="B609" s="917"/>
    </row>
    <row r="610">
      <c r="B610" s="917"/>
    </row>
    <row r="611">
      <c r="B611" s="917"/>
    </row>
    <row r="612">
      <c r="B612" s="917"/>
    </row>
    <row r="613">
      <c r="B613" s="917"/>
    </row>
    <row r="614">
      <c r="B614" s="917"/>
    </row>
    <row r="615">
      <c r="B615" s="917"/>
    </row>
    <row r="616">
      <c r="B616" s="917"/>
    </row>
    <row r="617">
      <c r="B617" s="917"/>
    </row>
    <row r="618">
      <c r="B618" s="917"/>
    </row>
    <row r="619">
      <c r="B619" s="917"/>
    </row>
    <row r="620">
      <c r="B620" s="917"/>
    </row>
    <row r="621">
      <c r="B621" s="917"/>
    </row>
    <row r="622">
      <c r="B622" s="917"/>
    </row>
    <row r="623">
      <c r="B623" s="917"/>
    </row>
    <row r="624">
      <c r="B624" s="917"/>
    </row>
    <row r="625">
      <c r="B625" s="917"/>
    </row>
    <row r="626">
      <c r="B626" s="917"/>
    </row>
    <row r="627">
      <c r="B627" s="917"/>
    </row>
    <row r="628">
      <c r="B628" s="917"/>
    </row>
    <row r="629">
      <c r="B629" s="917"/>
    </row>
    <row r="630">
      <c r="B630" s="917"/>
    </row>
    <row r="631">
      <c r="B631" s="917"/>
    </row>
    <row r="632">
      <c r="B632" s="917"/>
    </row>
    <row r="633">
      <c r="B633" s="917"/>
    </row>
    <row r="634">
      <c r="B634" s="917"/>
    </row>
    <row r="635">
      <c r="B635" s="917"/>
    </row>
    <row r="636">
      <c r="B636" s="917"/>
    </row>
    <row r="637">
      <c r="B637" s="917"/>
    </row>
    <row r="638">
      <c r="B638" s="917"/>
    </row>
    <row r="639">
      <c r="B639" s="917"/>
    </row>
    <row r="640">
      <c r="B640" s="917"/>
    </row>
    <row r="641">
      <c r="B641" s="917"/>
    </row>
    <row r="642">
      <c r="B642" s="917"/>
    </row>
    <row r="643">
      <c r="B643" s="917"/>
    </row>
    <row r="644">
      <c r="B644" s="917"/>
    </row>
    <row r="645">
      <c r="B645" s="917"/>
    </row>
    <row r="646">
      <c r="B646" s="917"/>
    </row>
    <row r="647">
      <c r="B647" s="917"/>
    </row>
    <row r="648">
      <c r="B648" s="917"/>
    </row>
    <row r="649">
      <c r="B649" s="917"/>
    </row>
    <row r="650">
      <c r="B650" s="917"/>
    </row>
    <row r="651">
      <c r="B651" s="917"/>
    </row>
    <row r="652">
      <c r="B652" s="917"/>
    </row>
    <row r="653">
      <c r="B653" s="917"/>
    </row>
    <row r="654">
      <c r="B654" s="917"/>
    </row>
    <row r="655">
      <c r="B655" s="917"/>
    </row>
    <row r="656">
      <c r="B656" s="917"/>
    </row>
    <row r="657">
      <c r="B657" s="917"/>
    </row>
    <row r="658">
      <c r="B658" s="917"/>
    </row>
    <row r="659">
      <c r="B659" s="917"/>
    </row>
    <row r="660">
      <c r="B660" s="917"/>
    </row>
    <row r="661">
      <c r="B661" s="917"/>
    </row>
    <row r="662">
      <c r="B662" s="917"/>
    </row>
    <row r="663">
      <c r="B663" s="917"/>
    </row>
    <row r="664">
      <c r="B664" s="917"/>
    </row>
    <row r="665">
      <c r="B665" s="917"/>
    </row>
    <row r="666">
      <c r="B666" s="917"/>
    </row>
    <row r="667">
      <c r="B667" s="917"/>
    </row>
    <row r="668">
      <c r="B668" s="917"/>
    </row>
    <row r="669">
      <c r="B669" s="917"/>
    </row>
    <row r="670">
      <c r="B670" s="917"/>
    </row>
    <row r="671">
      <c r="B671" s="917"/>
    </row>
    <row r="672">
      <c r="B672" s="917"/>
    </row>
    <row r="673">
      <c r="B673" s="917"/>
    </row>
    <row r="674">
      <c r="B674" s="917"/>
    </row>
    <row r="675">
      <c r="B675" s="917"/>
    </row>
    <row r="676">
      <c r="B676" s="917"/>
    </row>
    <row r="677">
      <c r="B677" s="917"/>
    </row>
    <row r="678">
      <c r="B678" s="917"/>
    </row>
    <row r="679">
      <c r="B679" s="917"/>
    </row>
    <row r="680">
      <c r="B680" s="917"/>
    </row>
    <row r="681">
      <c r="B681" s="917"/>
    </row>
    <row r="682">
      <c r="B682" s="917"/>
    </row>
    <row r="683">
      <c r="B683" s="917"/>
    </row>
    <row r="684">
      <c r="B684" s="917"/>
    </row>
    <row r="685">
      <c r="B685" s="917"/>
    </row>
    <row r="686">
      <c r="B686" s="917"/>
    </row>
    <row r="687">
      <c r="B687" s="917"/>
    </row>
    <row r="688">
      <c r="B688" s="917"/>
    </row>
    <row r="689">
      <c r="B689" s="917"/>
    </row>
    <row r="690">
      <c r="B690" s="917"/>
    </row>
    <row r="691">
      <c r="B691" s="917"/>
    </row>
    <row r="692">
      <c r="B692" s="917"/>
    </row>
    <row r="693">
      <c r="B693" s="917"/>
    </row>
    <row r="694">
      <c r="B694" s="917"/>
    </row>
    <row r="695">
      <c r="B695" s="917"/>
    </row>
    <row r="696">
      <c r="B696" s="917"/>
    </row>
    <row r="697">
      <c r="B697" s="917"/>
    </row>
    <row r="698">
      <c r="B698" s="917"/>
    </row>
    <row r="699">
      <c r="B699" s="917"/>
    </row>
    <row r="700">
      <c r="B700" s="917"/>
    </row>
    <row r="701">
      <c r="B701" s="917"/>
    </row>
    <row r="702">
      <c r="B702" s="917"/>
    </row>
    <row r="703">
      <c r="B703" s="917"/>
    </row>
    <row r="704">
      <c r="B704" s="917"/>
    </row>
    <row r="705">
      <c r="B705" s="917"/>
    </row>
    <row r="706">
      <c r="B706" s="917"/>
    </row>
    <row r="707">
      <c r="B707" s="917"/>
    </row>
    <row r="708">
      <c r="B708" s="917"/>
    </row>
    <row r="709">
      <c r="B709" s="917"/>
    </row>
    <row r="710">
      <c r="B710" s="917"/>
    </row>
    <row r="711">
      <c r="B711" s="917"/>
    </row>
    <row r="712">
      <c r="B712" s="917"/>
    </row>
    <row r="713">
      <c r="B713" s="917"/>
    </row>
    <row r="714">
      <c r="B714" s="917"/>
    </row>
    <row r="715">
      <c r="B715" s="917"/>
    </row>
    <row r="716">
      <c r="B716" s="917"/>
    </row>
    <row r="717">
      <c r="B717" s="917"/>
    </row>
    <row r="718">
      <c r="B718" s="917"/>
    </row>
    <row r="719">
      <c r="B719" s="917"/>
    </row>
    <row r="720">
      <c r="B720" s="917"/>
    </row>
    <row r="721">
      <c r="B721" s="917"/>
    </row>
    <row r="722">
      <c r="B722" s="917"/>
    </row>
    <row r="723">
      <c r="B723" s="917"/>
    </row>
    <row r="724">
      <c r="B724" s="917"/>
    </row>
    <row r="725">
      <c r="B725" s="917"/>
    </row>
    <row r="726">
      <c r="B726" s="917"/>
    </row>
    <row r="727">
      <c r="B727" s="917"/>
    </row>
    <row r="728">
      <c r="B728" s="917"/>
    </row>
    <row r="729">
      <c r="B729" s="917"/>
    </row>
    <row r="730">
      <c r="B730" s="917"/>
    </row>
    <row r="731">
      <c r="B731" s="917"/>
    </row>
    <row r="732">
      <c r="B732" s="917"/>
    </row>
    <row r="733">
      <c r="B733" s="917"/>
    </row>
    <row r="734">
      <c r="B734" s="917"/>
    </row>
    <row r="735">
      <c r="B735" s="917"/>
    </row>
    <row r="736">
      <c r="B736" s="917"/>
    </row>
    <row r="737">
      <c r="B737" s="917"/>
    </row>
    <row r="738">
      <c r="B738" s="917"/>
    </row>
    <row r="739">
      <c r="B739" s="917"/>
    </row>
    <row r="740">
      <c r="B740" s="917"/>
    </row>
    <row r="741">
      <c r="B741" s="917"/>
    </row>
    <row r="742">
      <c r="B742" s="917"/>
    </row>
    <row r="743">
      <c r="B743" s="917"/>
    </row>
    <row r="744">
      <c r="B744" s="917"/>
    </row>
    <row r="745">
      <c r="B745" s="917"/>
    </row>
    <row r="746">
      <c r="B746" s="917"/>
    </row>
    <row r="747">
      <c r="B747" s="917"/>
    </row>
    <row r="748">
      <c r="B748" s="917"/>
    </row>
    <row r="749">
      <c r="B749" s="917"/>
    </row>
    <row r="750">
      <c r="B750" s="917"/>
    </row>
    <row r="751">
      <c r="B751" s="917"/>
    </row>
    <row r="752">
      <c r="B752" s="917"/>
    </row>
    <row r="753">
      <c r="B753" s="917"/>
    </row>
    <row r="754">
      <c r="B754" s="917"/>
    </row>
    <row r="755">
      <c r="B755" s="917"/>
    </row>
    <row r="756">
      <c r="B756" s="917"/>
    </row>
    <row r="757">
      <c r="B757" s="917"/>
    </row>
    <row r="758">
      <c r="B758" s="917"/>
    </row>
    <row r="759">
      <c r="B759" s="917"/>
    </row>
    <row r="760">
      <c r="B760" s="917"/>
    </row>
    <row r="761">
      <c r="B761" s="917"/>
    </row>
    <row r="762">
      <c r="B762" s="917"/>
    </row>
    <row r="763">
      <c r="B763" s="917"/>
    </row>
    <row r="764">
      <c r="B764" s="917"/>
    </row>
    <row r="765">
      <c r="B765" s="917"/>
    </row>
    <row r="766">
      <c r="B766" s="917"/>
    </row>
    <row r="767">
      <c r="B767" s="917"/>
    </row>
    <row r="768">
      <c r="B768" s="917"/>
    </row>
    <row r="769">
      <c r="B769" s="917"/>
    </row>
    <row r="770">
      <c r="B770" s="917"/>
    </row>
    <row r="771">
      <c r="B771" s="917"/>
    </row>
    <row r="772">
      <c r="B772" s="917"/>
    </row>
    <row r="773">
      <c r="B773" s="917"/>
    </row>
    <row r="774">
      <c r="B774" s="917"/>
    </row>
    <row r="775">
      <c r="B775" s="917"/>
    </row>
    <row r="776">
      <c r="B776" s="917"/>
    </row>
    <row r="777">
      <c r="B777" s="917"/>
    </row>
    <row r="778">
      <c r="B778" s="917"/>
    </row>
    <row r="779">
      <c r="B779" s="917"/>
    </row>
    <row r="780">
      <c r="B780" s="917"/>
    </row>
    <row r="781">
      <c r="B781" s="917"/>
    </row>
    <row r="782">
      <c r="B782" s="917"/>
    </row>
    <row r="783">
      <c r="B783" s="917"/>
    </row>
    <row r="784">
      <c r="B784" s="917"/>
    </row>
    <row r="785">
      <c r="B785" s="917"/>
    </row>
    <row r="786">
      <c r="B786" s="917"/>
    </row>
    <row r="787">
      <c r="B787" s="917"/>
    </row>
    <row r="788">
      <c r="B788" s="917"/>
    </row>
    <row r="789">
      <c r="B789" s="917"/>
    </row>
    <row r="790">
      <c r="B790" s="917"/>
    </row>
    <row r="791">
      <c r="B791" s="917"/>
    </row>
    <row r="792">
      <c r="B792" s="917"/>
    </row>
    <row r="793">
      <c r="B793" s="917"/>
    </row>
    <row r="794">
      <c r="B794" s="917"/>
    </row>
    <row r="795">
      <c r="B795" s="917"/>
    </row>
    <row r="796">
      <c r="B796" s="917"/>
    </row>
    <row r="797">
      <c r="B797" s="917"/>
    </row>
    <row r="798">
      <c r="B798" s="917"/>
    </row>
    <row r="799">
      <c r="B799" s="917"/>
    </row>
    <row r="800">
      <c r="B800" s="917"/>
    </row>
    <row r="801">
      <c r="B801" s="917"/>
    </row>
    <row r="802">
      <c r="B802" s="917"/>
    </row>
    <row r="803">
      <c r="B803" s="917"/>
    </row>
    <row r="804">
      <c r="B804" s="917"/>
    </row>
    <row r="805">
      <c r="B805" s="917"/>
    </row>
    <row r="806">
      <c r="B806" s="917"/>
    </row>
    <row r="807">
      <c r="B807" s="917"/>
    </row>
    <row r="808">
      <c r="B808" s="917"/>
    </row>
    <row r="809">
      <c r="B809" s="917"/>
    </row>
    <row r="810">
      <c r="B810" s="917"/>
    </row>
    <row r="811">
      <c r="B811" s="917"/>
    </row>
    <row r="812">
      <c r="B812" s="917"/>
    </row>
    <row r="813">
      <c r="B813" s="917"/>
    </row>
    <row r="814">
      <c r="B814" s="917"/>
    </row>
    <row r="815">
      <c r="B815" s="917"/>
    </row>
    <row r="816">
      <c r="B816" s="917"/>
    </row>
    <row r="817">
      <c r="B817" s="917"/>
    </row>
    <row r="818">
      <c r="B818" s="917"/>
    </row>
    <row r="819">
      <c r="B819" s="917"/>
    </row>
    <row r="820">
      <c r="B820" s="917"/>
    </row>
    <row r="821">
      <c r="B821" s="917"/>
    </row>
    <row r="822">
      <c r="B822" s="917"/>
    </row>
    <row r="823">
      <c r="B823" s="917"/>
    </row>
    <row r="824">
      <c r="B824" s="917"/>
    </row>
    <row r="825">
      <c r="B825" s="917"/>
    </row>
    <row r="826">
      <c r="B826" s="917"/>
    </row>
    <row r="827">
      <c r="B827" s="917"/>
    </row>
    <row r="828">
      <c r="B828" s="917"/>
    </row>
    <row r="829">
      <c r="B829" s="917"/>
    </row>
    <row r="830">
      <c r="B830" s="917"/>
    </row>
    <row r="831">
      <c r="B831" s="917"/>
    </row>
    <row r="832">
      <c r="B832" s="917"/>
    </row>
    <row r="833">
      <c r="B833" s="917"/>
    </row>
    <row r="834">
      <c r="B834" s="917"/>
    </row>
    <row r="835">
      <c r="B835" s="917"/>
    </row>
    <row r="836">
      <c r="B836" s="917"/>
    </row>
    <row r="837">
      <c r="B837" s="917"/>
    </row>
    <row r="838">
      <c r="B838" s="917"/>
    </row>
    <row r="839">
      <c r="B839" s="917"/>
    </row>
    <row r="840">
      <c r="B840" s="917"/>
    </row>
    <row r="841">
      <c r="B841" s="917"/>
    </row>
    <row r="842">
      <c r="B842" s="917"/>
    </row>
    <row r="843">
      <c r="B843" s="917"/>
    </row>
    <row r="844">
      <c r="B844" s="917"/>
    </row>
    <row r="845">
      <c r="B845" s="917"/>
    </row>
    <row r="846">
      <c r="B846" s="917"/>
    </row>
    <row r="847">
      <c r="B847" s="917"/>
    </row>
    <row r="848">
      <c r="B848" s="917"/>
    </row>
    <row r="849">
      <c r="B849" s="917"/>
    </row>
    <row r="850">
      <c r="B850" s="917"/>
    </row>
    <row r="851">
      <c r="B851" s="917"/>
    </row>
    <row r="852">
      <c r="B852" s="917"/>
    </row>
    <row r="853">
      <c r="B853" s="917"/>
    </row>
    <row r="854">
      <c r="B854" s="917"/>
    </row>
    <row r="855">
      <c r="B855" s="917"/>
    </row>
    <row r="856">
      <c r="B856" s="917"/>
    </row>
    <row r="857">
      <c r="B857" s="917"/>
    </row>
    <row r="858">
      <c r="B858" s="917"/>
    </row>
    <row r="859">
      <c r="B859" s="917"/>
    </row>
    <row r="860">
      <c r="B860" s="917"/>
    </row>
    <row r="861">
      <c r="B861" s="917"/>
    </row>
    <row r="862">
      <c r="B862" s="917"/>
    </row>
    <row r="863">
      <c r="B863" s="917"/>
    </row>
    <row r="864">
      <c r="B864" s="917"/>
    </row>
    <row r="865">
      <c r="B865" s="917"/>
    </row>
    <row r="866">
      <c r="B866" s="917"/>
    </row>
    <row r="867">
      <c r="B867" s="917"/>
    </row>
    <row r="868">
      <c r="B868" s="917"/>
    </row>
    <row r="869">
      <c r="B869" s="917"/>
    </row>
    <row r="870">
      <c r="B870" s="917"/>
    </row>
    <row r="871">
      <c r="B871" s="917"/>
    </row>
    <row r="872">
      <c r="B872" s="917"/>
    </row>
    <row r="873">
      <c r="B873" s="917"/>
    </row>
    <row r="874">
      <c r="B874" s="917"/>
    </row>
    <row r="875">
      <c r="B875" s="917"/>
    </row>
    <row r="876">
      <c r="B876" s="917"/>
    </row>
    <row r="877">
      <c r="B877" s="917"/>
    </row>
    <row r="878">
      <c r="B878" s="917"/>
    </row>
    <row r="879">
      <c r="B879" s="917"/>
    </row>
    <row r="880">
      <c r="B880" s="917"/>
    </row>
    <row r="881">
      <c r="B881" s="917"/>
    </row>
    <row r="882">
      <c r="B882" s="917"/>
    </row>
    <row r="883">
      <c r="B883" s="917"/>
    </row>
    <row r="884">
      <c r="B884" s="917"/>
    </row>
    <row r="885">
      <c r="B885" s="917"/>
    </row>
    <row r="886">
      <c r="B886" s="917"/>
    </row>
    <row r="887">
      <c r="B887" s="917"/>
    </row>
    <row r="888">
      <c r="B888" s="917"/>
    </row>
    <row r="889">
      <c r="B889" s="917"/>
    </row>
    <row r="890">
      <c r="B890" s="917"/>
    </row>
    <row r="891">
      <c r="B891" s="917"/>
    </row>
    <row r="892">
      <c r="B892" s="917"/>
    </row>
    <row r="893">
      <c r="B893" s="917"/>
    </row>
    <row r="894">
      <c r="B894" s="917"/>
    </row>
    <row r="895">
      <c r="B895" s="917"/>
    </row>
    <row r="896">
      <c r="B896" s="917"/>
    </row>
    <row r="897">
      <c r="B897" s="917"/>
    </row>
    <row r="898">
      <c r="B898" s="917"/>
    </row>
    <row r="899">
      <c r="B899" s="917"/>
    </row>
    <row r="900">
      <c r="B900" s="917"/>
    </row>
    <row r="901">
      <c r="B901" s="917"/>
    </row>
    <row r="902">
      <c r="B902" s="917"/>
    </row>
    <row r="903">
      <c r="B903" s="917"/>
    </row>
    <row r="904">
      <c r="B904" s="917"/>
    </row>
    <row r="905">
      <c r="B905" s="917"/>
    </row>
    <row r="906">
      <c r="B906" s="917"/>
    </row>
    <row r="907">
      <c r="B907" s="917"/>
    </row>
    <row r="908">
      <c r="B908" s="917"/>
    </row>
    <row r="909">
      <c r="B909" s="917"/>
    </row>
    <row r="910">
      <c r="B910" s="917"/>
    </row>
    <row r="911">
      <c r="B911" s="917"/>
    </row>
    <row r="912">
      <c r="B912" s="917"/>
    </row>
    <row r="913">
      <c r="B913" s="917"/>
    </row>
    <row r="914">
      <c r="B914" s="917"/>
    </row>
    <row r="915">
      <c r="B915" s="917"/>
    </row>
    <row r="916">
      <c r="B916" s="917"/>
    </row>
    <row r="917">
      <c r="B917" s="917"/>
    </row>
    <row r="918">
      <c r="B918" s="917"/>
    </row>
    <row r="919">
      <c r="B919" s="917"/>
    </row>
    <row r="920">
      <c r="B920" s="917"/>
    </row>
    <row r="921">
      <c r="B921" s="917"/>
    </row>
    <row r="922">
      <c r="B922" s="917"/>
    </row>
    <row r="923">
      <c r="B923" s="917"/>
    </row>
    <row r="924">
      <c r="B924" s="917"/>
    </row>
    <row r="925">
      <c r="B925" s="917"/>
    </row>
    <row r="926">
      <c r="B926" s="917"/>
    </row>
    <row r="927">
      <c r="B927" s="917"/>
    </row>
    <row r="928">
      <c r="B928" s="917"/>
    </row>
    <row r="929">
      <c r="B929" s="917"/>
    </row>
    <row r="930">
      <c r="B930" s="917"/>
    </row>
    <row r="931">
      <c r="B931" s="917"/>
    </row>
    <row r="932">
      <c r="B932" s="917"/>
    </row>
    <row r="933">
      <c r="B933" s="917"/>
    </row>
    <row r="934">
      <c r="B934" s="917"/>
    </row>
    <row r="935">
      <c r="B935" s="917"/>
    </row>
    <row r="936">
      <c r="B936" s="917"/>
    </row>
    <row r="937">
      <c r="B937" s="917"/>
    </row>
    <row r="938">
      <c r="B938" s="917"/>
    </row>
    <row r="939">
      <c r="B939" s="917"/>
    </row>
    <row r="940">
      <c r="B940" s="917"/>
    </row>
    <row r="941">
      <c r="B941" s="917"/>
    </row>
    <row r="942">
      <c r="B942" s="917"/>
    </row>
    <row r="943">
      <c r="B943" s="917"/>
    </row>
    <row r="944">
      <c r="B944" s="917"/>
    </row>
    <row r="945">
      <c r="B945" s="917"/>
    </row>
    <row r="946">
      <c r="B946" s="917"/>
    </row>
    <row r="947">
      <c r="B947" s="917"/>
    </row>
    <row r="948">
      <c r="B948" s="917"/>
    </row>
    <row r="949">
      <c r="B949" s="917"/>
    </row>
    <row r="950">
      <c r="B950" s="917"/>
    </row>
    <row r="951">
      <c r="B951" s="917"/>
    </row>
    <row r="952">
      <c r="B952" s="917"/>
    </row>
    <row r="953">
      <c r="B953" s="917"/>
    </row>
    <row r="954">
      <c r="B954" s="917"/>
    </row>
    <row r="955">
      <c r="B955" s="917"/>
    </row>
    <row r="956">
      <c r="B956" s="917"/>
    </row>
    <row r="957">
      <c r="B957" s="917"/>
    </row>
    <row r="958">
      <c r="B958" s="917"/>
    </row>
    <row r="959">
      <c r="B959" s="917"/>
    </row>
    <row r="960">
      <c r="B960" s="917"/>
    </row>
    <row r="961">
      <c r="B961" s="917"/>
    </row>
    <row r="962">
      <c r="B962" s="917"/>
    </row>
    <row r="963">
      <c r="B963" s="917"/>
    </row>
    <row r="964">
      <c r="B964" s="917"/>
    </row>
    <row r="965">
      <c r="B965" s="917"/>
    </row>
    <row r="966">
      <c r="B966" s="917"/>
    </row>
    <row r="967">
      <c r="B967" s="917"/>
    </row>
    <row r="968">
      <c r="B968" s="917"/>
    </row>
    <row r="969">
      <c r="B969" s="917"/>
    </row>
    <row r="970">
      <c r="B970" s="917"/>
    </row>
    <row r="971">
      <c r="B971" s="917"/>
    </row>
    <row r="972">
      <c r="B972" s="917"/>
    </row>
    <row r="973">
      <c r="B973" s="917"/>
    </row>
    <row r="974">
      <c r="B974" s="917"/>
    </row>
    <row r="975">
      <c r="B975" s="917"/>
    </row>
    <row r="976">
      <c r="B976" s="917"/>
    </row>
    <row r="977">
      <c r="B977" s="917"/>
    </row>
    <row r="978">
      <c r="B978" s="917"/>
    </row>
    <row r="979">
      <c r="B979" s="917"/>
    </row>
    <row r="980">
      <c r="B980" s="917"/>
    </row>
    <row r="981">
      <c r="B981" s="917"/>
    </row>
    <row r="982">
      <c r="B982" s="917"/>
    </row>
    <row r="983">
      <c r="B983" s="917"/>
    </row>
    <row r="984">
      <c r="B984" s="917"/>
    </row>
    <row r="985">
      <c r="B985" s="917"/>
    </row>
    <row r="986">
      <c r="B986" s="917"/>
    </row>
    <row r="987">
      <c r="B987" s="917"/>
    </row>
    <row r="988">
      <c r="B988" s="917"/>
    </row>
    <row r="989">
      <c r="B989" s="917"/>
    </row>
    <row r="990">
      <c r="B990" s="917"/>
    </row>
    <row r="991">
      <c r="B991" s="917"/>
    </row>
    <row r="992">
      <c r="B992" s="917"/>
    </row>
    <row r="993">
      <c r="B993" s="917"/>
    </row>
    <row r="994">
      <c r="B994" s="917"/>
    </row>
    <row r="995">
      <c r="B995" s="917"/>
    </row>
    <row r="996">
      <c r="B996" s="917"/>
    </row>
    <row r="997">
      <c r="B997" s="917"/>
    </row>
    <row r="998">
      <c r="B998" s="917"/>
    </row>
    <row r="999">
      <c r="B999" s="917"/>
    </row>
    <row r="1000">
      <c r="B1000" s="917"/>
    </row>
    <row r="1001">
      <c r="B1001" s="917"/>
    </row>
    <row r="1002">
      <c r="B1002" s="917"/>
    </row>
    <row r="1003">
      <c r="B1003" s="917"/>
    </row>
  </sheetData>
  <mergeCells count="25">
    <mergeCell ref="F47:F48"/>
    <mergeCell ref="G47:G48"/>
    <mergeCell ref="B1:H1"/>
    <mergeCell ref="B34:H35"/>
    <mergeCell ref="B45:H46"/>
    <mergeCell ref="B47:B48"/>
    <mergeCell ref="C47:C48"/>
    <mergeCell ref="D47:D48"/>
    <mergeCell ref="E47:E48"/>
    <mergeCell ref="G61:G62"/>
    <mergeCell ref="H61:H62"/>
    <mergeCell ref="B72:B74"/>
    <mergeCell ref="C72:C74"/>
    <mergeCell ref="D72:D74"/>
    <mergeCell ref="E72:E74"/>
    <mergeCell ref="F72:F74"/>
    <mergeCell ref="G72:G74"/>
    <mergeCell ref="H72:H74"/>
    <mergeCell ref="H47:H48"/>
    <mergeCell ref="B59:H60"/>
    <mergeCell ref="B61:B62"/>
    <mergeCell ref="C61:C62"/>
    <mergeCell ref="D61:D62"/>
    <mergeCell ref="E61:E62"/>
    <mergeCell ref="F61:F6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4.43" defaultRowHeight="15.0"/>
  <cols>
    <col customWidth="1" min="2" max="32" width="4.43"/>
  </cols>
  <sheetData>
    <row r="1">
      <c r="A1" s="945"/>
      <c r="B1" s="946">
        <v>45658.0</v>
      </c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  <c r="N1" s="502"/>
      <c r="O1" s="502"/>
      <c r="P1" s="502"/>
      <c r="Q1" s="502"/>
      <c r="R1" s="502"/>
      <c r="S1" s="502"/>
      <c r="T1" s="502"/>
      <c r="U1" s="502"/>
      <c r="V1" s="502"/>
      <c r="W1" s="502"/>
      <c r="X1" s="502"/>
      <c r="Y1" s="502"/>
      <c r="Z1" s="502"/>
      <c r="AA1" s="502"/>
      <c r="AB1" s="502"/>
      <c r="AC1" s="502"/>
      <c r="AD1" s="502"/>
      <c r="AE1" s="502"/>
      <c r="AF1" s="334"/>
    </row>
    <row r="2">
      <c r="A2" s="945"/>
      <c r="B2" s="947" t="s">
        <v>569</v>
      </c>
      <c r="C2" s="947" t="s">
        <v>570</v>
      </c>
      <c r="D2" s="947" t="s">
        <v>571</v>
      </c>
      <c r="E2" s="947" t="s">
        <v>572</v>
      </c>
      <c r="F2" s="947" t="s">
        <v>573</v>
      </c>
      <c r="G2" s="947" t="s">
        <v>574</v>
      </c>
      <c r="H2" s="947" t="s">
        <v>575</v>
      </c>
      <c r="I2" s="947" t="s">
        <v>569</v>
      </c>
      <c r="J2" s="947" t="s">
        <v>570</v>
      </c>
      <c r="K2" s="947" t="s">
        <v>571</v>
      </c>
      <c r="L2" s="947" t="s">
        <v>572</v>
      </c>
      <c r="M2" s="947" t="s">
        <v>573</v>
      </c>
      <c r="N2" s="947" t="s">
        <v>574</v>
      </c>
      <c r="O2" s="947" t="s">
        <v>575</v>
      </c>
      <c r="P2" s="947" t="s">
        <v>569</v>
      </c>
      <c r="Q2" s="947" t="s">
        <v>570</v>
      </c>
      <c r="R2" s="947" t="s">
        <v>571</v>
      </c>
      <c r="S2" s="947" t="s">
        <v>572</v>
      </c>
      <c r="T2" s="947" t="s">
        <v>573</v>
      </c>
      <c r="U2" s="947" t="s">
        <v>574</v>
      </c>
      <c r="V2" s="947" t="s">
        <v>575</v>
      </c>
      <c r="W2" s="947" t="s">
        <v>569</v>
      </c>
      <c r="X2" s="947" t="s">
        <v>570</v>
      </c>
      <c r="Y2" s="947" t="s">
        <v>571</v>
      </c>
      <c r="Z2" s="947" t="s">
        <v>572</v>
      </c>
      <c r="AA2" s="947" t="s">
        <v>573</v>
      </c>
      <c r="AB2" s="947" t="s">
        <v>574</v>
      </c>
      <c r="AC2" s="947" t="s">
        <v>575</v>
      </c>
      <c r="AD2" s="947" t="s">
        <v>569</v>
      </c>
      <c r="AE2" s="947" t="s">
        <v>570</v>
      </c>
      <c r="AF2" s="947" t="s">
        <v>571</v>
      </c>
    </row>
    <row r="3">
      <c r="A3" s="945"/>
      <c r="B3" s="948">
        <v>1.0</v>
      </c>
      <c r="C3" s="948">
        <v>2.0</v>
      </c>
      <c r="D3" s="948">
        <v>3.0</v>
      </c>
      <c r="E3" s="948">
        <v>4.0</v>
      </c>
      <c r="F3" s="948">
        <v>5.0</v>
      </c>
      <c r="G3" s="947">
        <v>6.0</v>
      </c>
      <c r="H3" s="947">
        <v>7.0</v>
      </c>
      <c r="I3" s="947">
        <v>8.0</v>
      </c>
      <c r="J3" s="947">
        <v>9.0</v>
      </c>
      <c r="K3" s="947">
        <v>10.0</v>
      </c>
      <c r="L3" s="947">
        <v>11.0</v>
      </c>
      <c r="M3" s="947">
        <v>12.0</v>
      </c>
      <c r="N3" s="947">
        <v>13.0</v>
      </c>
      <c r="O3" s="947">
        <v>14.0</v>
      </c>
      <c r="P3" s="947">
        <v>15.0</v>
      </c>
      <c r="Q3" s="947">
        <v>16.0</v>
      </c>
      <c r="R3" s="947">
        <v>17.0</v>
      </c>
      <c r="S3" s="947">
        <v>18.0</v>
      </c>
      <c r="T3" s="947">
        <v>19.0</v>
      </c>
      <c r="U3" s="947">
        <v>20.0</v>
      </c>
      <c r="V3" s="947">
        <v>21.0</v>
      </c>
      <c r="W3" s="947">
        <v>22.0</v>
      </c>
      <c r="X3" s="947">
        <v>23.0</v>
      </c>
      <c r="Y3" s="947">
        <v>24.0</v>
      </c>
      <c r="Z3" s="947">
        <v>25.0</v>
      </c>
      <c r="AA3" s="947">
        <v>26.0</v>
      </c>
      <c r="AB3" s="947">
        <v>27.0</v>
      </c>
      <c r="AC3" s="947">
        <v>28.0</v>
      </c>
      <c r="AD3" s="947">
        <v>29.0</v>
      </c>
      <c r="AE3" s="947">
        <v>30.0</v>
      </c>
      <c r="AF3" s="947">
        <v>31.0</v>
      </c>
    </row>
    <row r="4">
      <c r="A4" s="949" t="s">
        <v>576</v>
      </c>
      <c r="B4" s="659"/>
      <c r="C4" s="659"/>
      <c r="D4" s="659"/>
      <c r="E4" s="659"/>
      <c r="F4" s="659"/>
      <c r="G4" s="659"/>
      <c r="H4" s="659"/>
      <c r="I4" s="659"/>
      <c r="J4" s="659"/>
      <c r="K4" s="659"/>
      <c r="L4" s="659"/>
      <c r="M4" s="659"/>
      <c r="N4" s="659"/>
      <c r="O4" s="659"/>
      <c r="P4" s="659"/>
      <c r="Q4" s="659"/>
      <c r="R4" s="659"/>
      <c r="S4" s="659"/>
      <c r="T4" s="659"/>
      <c r="U4" s="659"/>
      <c r="V4" s="659"/>
      <c r="W4" s="950"/>
      <c r="X4" s="659"/>
      <c r="Y4" s="659"/>
      <c r="Z4" s="659"/>
      <c r="AA4" s="659"/>
      <c r="AB4" s="659"/>
      <c r="AC4" s="659"/>
      <c r="AD4" s="950"/>
      <c r="AE4" s="659"/>
      <c r="AF4" s="659"/>
    </row>
    <row r="5">
      <c r="A5" s="949" t="s">
        <v>171</v>
      </c>
      <c r="B5" s="659"/>
      <c r="C5" s="659"/>
      <c r="D5" s="659"/>
      <c r="E5" s="659"/>
      <c r="F5" s="659"/>
      <c r="G5" s="659"/>
      <c r="H5" s="659"/>
      <c r="I5" s="659"/>
      <c r="J5" s="659"/>
      <c r="K5" s="659"/>
      <c r="L5" s="659"/>
      <c r="M5" s="659"/>
      <c r="N5" s="659"/>
      <c r="O5" s="659"/>
      <c r="P5" s="659"/>
      <c r="Q5" s="659"/>
      <c r="R5" s="659"/>
      <c r="S5" s="659"/>
      <c r="T5" s="659"/>
      <c r="U5" s="659"/>
      <c r="V5" s="659"/>
      <c r="W5" s="659"/>
      <c r="X5" s="659"/>
      <c r="Y5" s="659"/>
      <c r="Z5" s="659"/>
      <c r="AA5" s="659"/>
      <c r="AB5" s="659"/>
      <c r="AC5" s="659"/>
      <c r="AD5" s="659"/>
      <c r="AE5" s="659"/>
      <c r="AF5" s="659"/>
    </row>
    <row r="6">
      <c r="A6" s="945" t="s">
        <v>176</v>
      </c>
      <c r="B6" s="659"/>
      <c r="C6" s="659"/>
      <c r="D6" s="659"/>
      <c r="E6" s="659"/>
      <c r="F6" s="659"/>
      <c r="G6" s="659"/>
      <c r="H6" s="659"/>
      <c r="I6" s="659"/>
      <c r="J6" s="659"/>
      <c r="K6" s="659"/>
      <c r="L6" s="659"/>
      <c r="M6" s="659"/>
      <c r="N6" s="659"/>
      <c r="O6" s="659"/>
      <c r="P6" s="659"/>
      <c r="Q6" s="659"/>
      <c r="R6" s="659"/>
      <c r="S6" s="659"/>
      <c r="T6" s="659"/>
      <c r="U6" s="659"/>
      <c r="V6" s="659"/>
      <c r="W6" s="659"/>
      <c r="X6" s="659"/>
      <c r="Y6" s="659"/>
      <c r="Z6" s="659"/>
      <c r="AA6" s="659"/>
      <c r="AB6" s="659"/>
      <c r="AC6" s="659"/>
      <c r="AD6" s="659"/>
      <c r="AE6" s="659"/>
      <c r="AF6" s="659"/>
    </row>
    <row r="7">
      <c r="A7" s="945" t="s">
        <v>113</v>
      </c>
      <c r="B7" s="659"/>
      <c r="C7" s="659"/>
      <c r="D7" s="659"/>
      <c r="E7" s="659"/>
      <c r="F7" s="659"/>
      <c r="G7" s="659"/>
      <c r="H7" s="659"/>
      <c r="I7" s="659"/>
      <c r="J7" s="659"/>
      <c r="K7" s="659"/>
      <c r="L7" s="659"/>
      <c r="M7" s="659"/>
      <c r="N7" s="659"/>
      <c r="O7" s="659"/>
      <c r="P7" s="659"/>
      <c r="Q7" s="659"/>
      <c r="R7" s="659"/>
      <c r="S7" s="659"/>
      <c r="T7" s="659"/>
      <c r="U7" s="659"/>
      <c r="V7" s="659"/>
      <c r="W7" s="659"/>
      <c r="X7" s="659"/>
      <c r="Y7" s="950"/>
    </row>
    <row r="8">
      <c r="A8" s="945" t="s">
        <v>246</v>
      </c>
      <c r="B8" s="659"/>
      <c r="C8" s="659"/>
      <c r="D8" s="659"/>
      <c r="E8" s="659"/>
      <c r="F8" s="659"/>
      <c r="G8" s="659"/>
      <c r="H8" s="659"/>
      <c r="I8" s="659"/>
      <c r="J8" s="659"/>
      <c r="K8" s="659"/>
      <c r="L8" s="659"/>
      <c r="M8" s="659"/>
      <c r="N8" s="659"/>
      <c r="O8" s="659"/>
      <c r="P8" s="659"/>
      <c r="Q8" s="659"/>
      <c r="R8" s="659"/>
      <c r="S8" s="659"/>
      <c r="T8" s="659"/>
      <c r="U8" s="659"/>
      <c r="V8" s="659"/>
      <c r="W8" s="659"/>
      <c r="X8" s="659"/>
      <c r="Y8" s="950"/>
      <c r="Z8" s="659"/>
      <c r="AA8" s="659"/>
      <c r="AB8" s="659"/>
      <c r="AC8" s="659"/>
      <c r="AD8" s="659"/>
      <c r="AE8" s="659"/>
      <c r="AF8" s="659"/>
    </row>
    <row r="9">
      <c r="A9" s="945" t="s">
        <v>208</v>
      </c>
      <c r="B9" s="659"/>
      <c r="C9" s="659"/>
      <c r="D9" s="659"/>
      <c r="E9" s="659"/>
      <c r="F9" s="659"/>
      <c r="G9" s="659"/>
      <c r="H9" s="659"/>
      <c r="I9" s="659"/>
      <c r="J9" s="659"/>
      <c r="K9" s="659"/>
      <c r="L9" s="659"/>
      <c r="M9" s="659"/>
      <c r="N9" s="659"/>
      <c r="O9" s="659"/>
      <c r="P9" s="659"/>
      <c r="Q9" s="659"/>
      <c r="R9" s="659"/>
      <c r="S9" s="659"/>
      <c r="T9" s="659"/>
      <c r="U9" s="659"/>
      <c r="V9" s="659"/>
      <c r="W9" s="659"/>
      <c r="X9" s="659"/>
      <c r="Y9" s="659"/>
      <c r="Z9" s="659"/>
      <c r="AA9" s="659"/>
      <c r="AB9" s="659"/>
      <c r="AC9" s="659"/>
      <c r="AD9" s="659"/>
      <c r="AE9" s="659"/>
      <c r="AF9" s="659"/>
    </row>
    <row r="10">
      <c r="A10" s="945" t="s">
        <v>107</v>
      </c>
      <c r="B10" s="659"/>
      <c r="C10" s="659"/>
      <c r="D10" s="659"/>
      <c r="E10" s="659"/>
      <c r="F10" s="659"/>
      <c r="G10" s="951"/>
      <c r="H10" s="659"/>
      <c r="I10" s="659"/>
      <c r="J10" s="659"/>
      <c r="K10" s="659"/>
      <c r="L10" s="659"/>
      <c r="M10" s="659"/>
      <c r="N10" s="659"/>
      <c r="O10" s="659"/>
      <c r="P10" s="659"/>
      <c r="Q10" s="659"/>
      <c r="R10" s="659"/>
      <c r="S10" s="659"/>
      <c r="T10" s="659"/>
      <c r="U10" s="659"/>
      <c r="V10" s="659"/>
      <c r="W10" s="659"/>
      <c r="X10" s="659"/>
      <c r="Y10" s="659"/>
      <c r="Z10" s="659"/>
      <c r="AA10" s="659"/>
      <c r="AB10" s="659"/>
      <c r="AC10" s="659"/>
      <c r="AD10" s="659"/>
      <c r="AE10" s="659"/>
      <c r="AF10" s="659"/>
    </row>
    <row r="11">
      <c r="A11" s="945" t="s">
        <v>203</v>
      </c>
      <c r="B11" s="659"/>
      <c r="C11" s="659"/>
      <c r="D11" s="659"/>
      <c r="E11" s="659"/>
      <c r="F11" s="659"/>
      <c r="G11" s="659"/>
      <c r="H11" s="659"/>
      <c r="I11" s="659"/>
      <c r="J11" s="659"/>
      <c r="K11" s="659"/>
      <c r="L11" s="659"/>
      <c r="M11" s="659"/>
      <c r="N11" s="659"/>
      <c r="O11" s="659"/>
      <c r="P11" s="659"/>
      <c r="Q11" s="659"/>
      <c r="R11" s="659"/>
      <c r="S11" s="659"/>
      <c r="T11" s="659"/>
      <c r="U11" s="659"/>
      <c r="V11" s="659"/>
      <c r="W11" s="659"/>
      <c r="X11" s="659"/>
      <c r="Y11" s="659"/>
      <c r="Z11" s="659"/>
      <c r="AA11" s="659"/>
      <c r="AB11" s="659"/>
      <c r="AC11" s="659"/>
      <c r="AD11" s="659"/>
      <c r="AE11" s="659"/>
      <c r="AF11" s="659"/>
    </row>
    <row r="12">
      <c r="A12" s="945" t="s">
        <v>337</v>
      </c>
      <c r="B12" s="659"/>
      <c r="C12" s="659"/>
      <c r="D12" s="659"/>
      <c r="E12" s="659"/>
      <c r="F12" s="659"/>
      <c r="G12" s="659"/>
      <c r="H12" s="659"/>
      <c r="I12" s="659"/>
      <c r="J12" s="659"/>
      <c r="K12" s="659"/>
      <c r="L12" s="659"/>
      <c r="M12" s="659"/>
      <c r="N12" s="659"/>
      <c r="O12" s="659"/>
      <c r="P12" s="659"/>
      <c r="Q12" s="659"/>
      <c r="R12" s="659"/>
      <c r="S12" s="659"/>
      <c r="T12" s="659"/>
      <c r="U12" s="659"/>
      <c r="V12" s="659"/>
      <c r="W12" s="659"/>
      <c r="X12" s="659"/>
      <c r="Y12" s="659"/>
      <c r="Z12" s="659"/>
      <c r="AA12" s="659"/>
      <c r="AB12" s="659"/>
      <c r="AC12" s="659"/>
      <c r="AD12" s="659"/>
      <c r="AE12" s="659"/>
      <c r="AF12" s="659"/>
    </row>
    <row r="13">
      <c r="A13" s="945" t="s">
        <v>278</v>
      </c>
      <c r="B13" s="659"/>
      <c r="C13" s="659"/>
      <c r="D13" s="659"/>
      <c r="E13" s="659"/>
      <c r="F13" s="659"/>
      <c r="G13" s="659"/>
      <c r="H13" s="659"/>
      <c r="I13" s="659"/>
      <c r="J13" s="659"/>
      <c r="K13" s="659"/>
      <c r="L13" s="659"/>
      <c r="M13" s="659"/>
      <c r="N13" s="659"/>
      <c r="O13" s="659"/>
      <c r="P13" s="659"/>
      <c r="Q13" s="659"/>
      <c r="R13" s="659"/>
      <c r="S13" s="659"/>
      <c r="T13" s="659"/>
      <c r="U13" s="659"/>
      <c r="V13" s="659"/>
      <c r="W13" s="659"/>
      <c r="X13" s="659"/>
      <c r="Y13" s="659"/>
      <c r="Z13" s="659"/>
      <c r="AA13" s="659"/>
      <c r="AB13" s="659"/>
      <c r="AC13" s="659"/>
      <c r="AD13" s="950"/>
      <c r="AE13" s="659"/>
      <c r="AF13" s="659"/>
    </row>
    <row r="14">
      <c r="A14" s="952" t="s">
        <v>435</v>
      </c>
      <c r="B14" s="893"/>
      <c r="C14" s="893"/>
      <c r="D14" s="893"/>
      <c r="E14" s="893"/>
      <c r="F14" s="893"/>
      <c r="G14" s="893"/>
      <c r="H14" s="893"/>
      <c r="I14" s="893"/>
      <c r="J14" s="893"/>
      <c r="K14" s="893"/>
      <c r="L14" s="893"/>
      <c r="M14" s="893"/>
      <c r="N14" s="893"/>
      <c r="O14" s="893"/>
      <c r="P14" s="893"/>
      <c r="Q14" s="893"/>
      <c r="R14" s="893"/>
      <c r="S14" s="893"/>
      <c r="T14" s="893"/>
      <c r="U14" s="893"/>
      <c r="V14" s="893"/>
      <c r="W14" s="893"/>
      <c r="X14" s="893"/>
      <c r="Y14" s="893"/>
      <c r="Z14" s="893"/>
      <c r="AA14" s="893"/>
      <c r="AB14" s="893"/>
      <c r="AC14" s="893"/>
      <c r="AD14" s="893"/>
      <c r="AE14" s="893"/>
      <c r="AF14" s="893"/>
    </row>
    <row r="15">
      <c r="A15" s="952" t="s">
        <v>230</v>
      </c>
    </row>
    <row r="16">
      <c r="A16" s="952" t="s">
        <v>429</v>
      </c>
    </row>
    <row r="17">
      <c r="A17" s="952" t="s">
        <v>100</v>
      </c>
    </row>
    <row r="18">
      <c r="A18" s="952" t="s">
        <v>558</v>
      </c>
    </row>
    <row r="19">
      <c r="A19" s="952" t="s">
        <v>290</v>
      </c>
    </row>
    <row r="20">
      <c r="A20" s="952" t="s">
        <v>577</v>
      </c>
    </row>
    <row r="21">
      <c r="A21" s="952" t="s">
        <v>130</v>
      </c>
      <c r="X21" s="900"/>
    </row>
    <row r="22">
      <c r="A22" s="952" t="s">
        <v>407</v>
      </c>
    </row>
    <row r="23">
      <c r="A23" s="952" t="s">
        <v>559</v>
      </c>
    </row>
    <row r="24">
      <c r="A24" s="952" t="s">
        <v>181</v>
      </c>
    </row>
    <row r="25">
      <c r="A25" s="952" t="s">
        <v>196</v>
      </c>
    </row>
    <row r="26">
      <c r="A26" s="952" t="s">
        <v>578</v>
      </c>
    </row>
    <row r="27">
      <c r="A27" s="952" t="s">
        <v>579</v>
      </c>
    </row>
    <row r="28">
      <c r="A28" s="952" t="s">
        <v>580</v>
      </c>
      <c r="W28" s="900"/>
      <c r="AD28" s="900"/>
    </row>
    <row r="29">
      <c r="A29" s="952" t="s">
        <v>581</v>
      </c>
      <c r="AF29" s="900"/>
    </row>
    <row r="30">
      <c r="A30" s="952" t="s">
        <v>582</v>
      </c>
    </row>
    <row r="31">
      <c r="A31" s="952" t="s">
        <v>164</v>
      </c>
    </row>
    <row r="32">
      <c r="A32" s="952" t="s">
        <v>583</v>
      </c>
      <c r="AE32" s="900"/>
    </row>
    <row r="33">
      <c r="A33" s="952" t="s">
        <v>584</v>
      </c>
      <c r="AB33" s="900"/>
    </row>
    <row r="34">
      <c r="A34" s="952" t="s">
        <v>585</v>
      </c>
    </row>
    <row r="35">
      <c r="A35" s="952" t="s">
        <v>586</v>
      </c>
    </row>
    <row r="36">
      <c r="A36" s="945"/>
      <c r="B36" s="953">
        <v>45689.0</v>
      </c>
      <c r="C36" s="502"/>
      <c r="D36" s="502"/>
      <c r="E36" s="502"/>
      <c r="F36" s="502"/>
      <c r="G36" s="502"/>
      <c r="H36" s="502"/>
      <c r="I36" s="502"/>
      <c r="J36" s="502"/>
      <c r="K36" s="502"/>
      <c r="L36" s="502"/>
      <c r="M36" s="502"/>
      <c r="N36" s="502"/>
      <c r="O36" s="502"/>
      <c r="P36" s="502"/>
      <c r="Q36" s="502"/>
      <c r="R36" s="502"/>
      <c r="S36" s="502"/>
      <c r="T36" s="502"/>
      <c r="U36" s="502"/>
      <c r="V36" s="502"/>
      <c r="W36" s="502"/>
      <c r="X36" s="502"/>
      <c r="Y36" s="502"/>
      <c r="Z36" s="502"/>
      <c r="AA36" s="502"/>
      <c r="AB36" s="502"/>
      <c r="AC36" s="502"/>
      <c r="AD36" s="502"/>
      <c r="AE36" s="502"/>
      <c r="AF36" s="334"/>
    </row>
    <row r="37">
      <c r="A37" s="945"/>
      <c r="B37" s="954">
        <v>1.0</v>
      </c>
      <c r="C37" s="954">
        <v>2.0</v>
      </c>
      <c r="D37" s="954">
        <v>3.0</v>
      </c>
      <c r="E37" s="954">
        <v>4.0</v>
      </c>
      <c r="F37" s="954">
        <v>5.0</v>
      </c>
      <c r="G37" s="954">
        <v>6.0</v>
      </c>
      <c r="H37" s="954">
        <v>7.0</v>
      </c>
      <c r="I37" s="954">
        <v>8.0</v>
      </c>
      <c r="J37" s="954">
        <v>9.0</v>
      </c>
      <c r="K37" s="954">
        <v>10.0</v>
      </c>
      <c r="L37" s="954">
        <v>11.0</v>
      </c>
      <c r="M37" s="954">
        <v>12.0</v>
      </c>
      <c r="N37" s="954">
        <v>13.0</v>
      </c>
      <c r="O37" s="954">
        <v>14.0</v>
      </c>
      <c r="P37" s="954">
        <v>15.0</v>
      </c>
      <c r="Q37" s="954">
        <v>16.0</v>
      </c>
      <c r="R37" s="954">
        <v>17.0</v>
      </c>
      <c r="S37" s="954">
        <v>18.0</v>
      </c>
      <c r="T37" s="954">
        <v>19.0</v>
      </c>
      <c r="U37" s="954">
        <v>20.0</v>
      </c>
      <c r="V37" s="954">
        <v>21.0</v>
      </c>
      <c r="W37" s="954">
        <v>22.0</v>
      </c>
      <c r="X37" s="954">
        <v>23.0</v>
      </c>
      <c r="Y37" s="954">
        <v>24.0</v>
      </c>
      <c r="Z37" s="954">
        <v>25.0</v>
      </c>
      <c r="AA37" s="954">
        <v>26.0</v>
      </c>
      <c r="AB37" s="954">
        <v>27.0</v>
      </c>
      <c r="AC37" s="954">
        <v>28.0</v>
      </c>
      <c r="AD37" s="947"/>
      <c r="AE37" s="947"/>
      <c r="AF37" s="947"/>
    </row>
    <row r="38">
      <c r="A38" s="945"/>
      <c r="B38" s="955" t="s">
        <v>572</v>
      </c>
      <c r="C38" s="955" t="s">
        <v>573</v>
      </c>
      <c r="D38" s="955" t="s">
        <v>574</v>
      </c>
      <c r="E38" s="955" t="s">
        <v>575</v>
      </c>
      <c r="F38" s="955" t="s">
        <v>569</v>
      </c>
      <c r="G38" s="954" t="s">
        <v>570</v>
      </c>
      <c r="H38" s="954" t="s">
        <v>571</v>
      </c>
      <c r="I38" s="954" t="s">
        <v>572</v>
      </c>
      <c r="J38" s="954" t="s">
        <v>573</v>
      </c>
      <c r="K38" s="954" t="s">
        <v>574</v>
      </c>
      <c r="L38" s="954" t="s">
        <v>575</v>
      </c>
      <c r="M38" s="954" t="s">
        <v>569</v>
      </c>
      <c r="N38" s="954" t="s">
        <v>570</v>
      </c>
      <c r="O38" s="954" t="s">
        <v>571</v>
      </c>
      <c r="P38" s="954" t="s">
        <v>572</v>
      </c>
      <c r="Q38" s="954" t="s">
        <v>573</v>
      </c>
      <c r="R38" s="954" t="s">
        <v>574</v>
      </c>
      <c r="S38" s="954" t="s">
        <v>575</v>
      </c>
      <c r="T38" s="954" t="s">
        <v>569</v>
      </c>
      <c r="U38" s="954" t="s">
        <v>570</v>
      </c>
      <c r="V38" s="954" t="s">
        <v>571</v>
      </c>
      <c r="W38" s="954" t="s">
        <v>572</v>
      </c>
      <c r="X38" s="954" t="s">
        <v>573</v>
      </c>
      <c r="Y38" s="954" t="s">
        <v>574</v>
      </c>
      <c r="Z38" s="954" t="s">
        <v>575</v>
      </c>
      <c r="AA38" s="954" t="s">
        <v>569</v>
      </c>
      <c r="AB38" s="954" t="s">
        <v>570</v>
      </c>
      <c r="AC38" s="954" t="s">
        <v>571</v>
      </c>
      <c r="AD38" s="947"/>
      <c r="AE38" s="947"/>
      <c r="AF38" s="947"/>
    </row>
    <row r="39">
      <c r="A39" s="949" t="s">
        <v>576</v>
      </c>
      <c r="B39" s="659"/>
      <c r="C39" s="659"/>
      <c r="D39" s="659"/>
      <c r="E39" s="659"/>
      <c r="F39" s="659"/>
      <c r="G39" s="950"/>
      <c r="H39" s="659"/>
      <c r="I39" s="659"/>
      <c r="J39" s="659"/>
      <c r="K39" s="659"/>
      <c r="L39" s="659"/>
      <c r="M39" s="659"/>
      <c r="N39" s="659"/>
      <c r="O39" s="659"/>
      <c r="P39" s="659"/>
      <c r="Q39" s="659"/>
      <c r="R39" s="659"/>
      <c r="S39" s="659"/>
      <c r="T39" s="659"/>
      <c r="U39" s="659"/>
      <c r="V39" s="659"/>
      <c r="W39" s="659"/>
      <c r="X39" s="659"/>
      <c r="Y39" s="659"/>
      <c r="Z39" s="659"/>
      <c r="AA39" s="659"/>
      <c r="AB39" s="659"/>
      <c r="AC39" s="659"/>
      <c r="AD39" s="659"/>
      <c r="AE39" s="659"/>
      <c r="AF39" s="659"/>
    </row>
    <row r="40">
      <c r="A40" s="949" t="s">
        <v>171</v>
      </c>
      <c r="B40" s="659"/>
      <c r="C40" s="659"/>
      <c r="D40" s="659"/>
      <c r="E40" s="659"/>
      <c r="F40" s="950"/>
      <c r="G40" s="659"/>
      <c r="H40" s="659"/>
      <c r="I40" s="659"/>
      <c r="J40" s="659"/>
      <c r="K40" s="659"/>
      <c r="L40" s="659"/>
      <c r="M40" s="659"/>
      <c r="N40" s="659"/>
      <c r="O40" s="659"/>
      <c r="P40" s="659"/>
      <c r="Q40" s="659"/>
      <c r="R40" s="659"/>
      <c r="S40" s="659"/>
      <c r="T40" s="659"/>
      <c r="U40" s="659"/>
      <c r="V40" s="659"/>
      <c r="W40" s="659"/>
      <c r="X40" s="659"/>
      <c r="Y40" s="659"/>
      <c r="Z40" s="659"/>
      <c r="AA40" s="659"/>
      <c r="AB40" s="659"/>
      <c r="AC40" s="659"/>
      <c r="AD40" s="659"/>
      <c r="AE40" s="659"/>
      <c r="AF40" s="659"/>
    </row>
    <row r="41">
      <c r="A41" s="945" t="s">
        <v>176</v>
      </c>
      <c r="B41" s="659"/>
      <c r="C41" s="659"/>
      <c r="D41" s="659"/>
      <c r="E41" s="659"/>
      <c r="F41" s="659"/>
      <c r="G41" s="659"/>
      <c r="H41" s="659"/>
      <c r="I41" s="659"/>
      <c r="J41" s="659"/>
      <c r="K41" s="659"/>
      <c r="L41" s="659"/>
      <c r="M41" s="659"/>
      <c r="N41" s="659"/>
      <c r="O41" s="659"/>
      <c r="P41" s="659"/>
      <c r="Q41" s="659"/>
      <c r="R41" s="659"/>
      <c r="S41" s="659"/>
      <c r="T41" s="659"/>
      <c r="U41" s="659"/>
      <c r="V41" s="659"/>
      <c r="W41" s="659"/>
      <c r="X41" s="659"/>
      <c r="Y41" s="659"/>
      <c r="Z41" s="659"/>
      <c r="AA41" s="659"/>
      <c r="AB41" s="659"/>
      <c r="AC41" s="659"/>
      <c r="AD41" s="659"/>
      <c r="AE41" s="659"/>
      <c r="AF41" s="659"/>
    </row>
    <row r="42">
      <c r="A42" s="945" t="s">
        <v>113</v>
      </c>
      <c r="B42" s="950"/>
      <c r="D42" s="659"/>
      <c r="E42" s="659"/>
      <c r="F42" s="659"/>
      <c r="G42" s="950"/>
      <c r="H42" s="659"/>
      <c r="I42" s="659"/>
      <c r="J42" s="659"/>
      <c r="K42" s="659"/>
      <c r="L42" s="659"/>
      <c r="M42" s="659"/>
      <c r="N42" s="659"/>
      <c r="O42" s="659"/>
      <c r="P42" s="659"/>
      <c r="Q42" s="659"/>
      <c r="R42" s="659"/>
      <c r="S42" s="659"/>
      <c r="T42" s="659"/>
      <c r="U42" s="659"/>
      <c r="V42" s="659"/>
      <c r="W42" s="659"/>
      <c r="X42" s="659"/>
      <c r="Y42" s="659"/>
      <c r="Z42" s="659"/>
      <c r="AA42" s="659"/>
      <c r="AB42" s="659"/>
      <c r="AC42" s="659"/>
      <c r="AD42" s="659"/>
      <c r="AE42" s="659"/>
      <c r="AF42" s="659"/>
    </row>
    <row r="43">
      <c r="A43" s="945" t="s">
        <v>246</v>
      </c>
      <c r="B43" s="659"/>
      <c r="C43" s="659"/>
      <c r="D43" s="659"/>
      <c r="E43" s="659"/>
      <c r="F43" s="659"/>
      <c r="G43" s="659"/>
      <c r="H43" s="950"/>
      <c r="I43" s="659"/>
      <c r="J43" s="659"/>
      <c r="K43" s="659"/>
      <c r="L43" s="659"/>
      <c r="M43" s="659"/>
      <c r="N43" s="659"/>
      <c r="O43" s="659"/>
      <c r="P43" s="659"/>
      <c r="Q43" s="659"/>
      <c r="R43" s="659"/>
      <c r="S43" s="659"/>
      <c r="T43" s="659"/>
      <c r="U43" s="659"/>
      <c r="V43" s="659"/>
      <c r="W43" s="659"/>
      <c r="X43" s="659"/>
      <c r="Y43" s="659"/>
      <c r="Z43" s="659"/>
      <c r="AA43" s="659"/>
      <c r="AB43" s="659"/>
      <c r="AC43" s="659"/>
      <c r="AD43" s="659"/>
      <c r="AE43" s="659"/>
      <c r="AF43" s="659"/>
    </row>
    <row r="44">
      <c r="A44" s="945" t="s">
        <v>208</v>
      </c>
      <c r="B44" s="659"/>
      <c r="C44" s="659"/>
      <c r="D44" s="659"/>
      <c r="E44" s="659"/>
      <c r="F44" s="659"/>
      <c r="G44" s="950"/>
      <c r="H44" s="659"/>
      <c r="I44" s="659"/>
      <c r="J44" s="659"/>
      <c r="K44" s="659"/>
      <c r="L44" s="659"/>
      <c r="M44" s="659"/>
      <c r="N44" s="659"/>
      <c r="O44" s="659"/>
      <c r="P44" s="659"/>
      <c r="Q44" s="659"/>
      <c r="R44" s="659"/>
      <c r="S44" s="659"/>
      <c r="T44" s="659"/>
      <c r="U44" s="659"/>
      <c r="V44" s="659"/>
      <c r="W44" s="659"/>
      <c r="X44" s="659"/>
      <c r="Y44" s="659"/>
      <c r="Z44" s="659"/>
      <c r="AA44" s="659"/>
      <c r="AB44" s="659"/>
      <c r="AC44" s="659"/>
      <c r="AD44" s="659"/>
      <c r="AE44" s="659"/>
      <c r="AF44" s="659"/>
    </row>
    <row r="45">
      <c r="A45" s="945" t="s">
        <v>107</v>
      </c>
      <c r="B45" s="659"/>
      <c r="C45" s="659"/>
      <c r="D45" s="659"/>
      <c r="E45" s="659"/>
      <c r="F45" s="659"/>
      <c r="G45" s="951"/>
      <c r="H45" s="659"/>
      <c r="I45" s="659"/>
      <c r="J45" s="659"/>
      <c r="K45" s="659"/>
      <c r="L45" s="659"/>
      <c r="M45" s="659"/>
      <c r="N45" s="659"/>
      <c r="O45" s="659"/>
      <c r="P45" s="659"/>
      <c r="Q45" s="659"/>
      <c r="R45" s="659"/>
      <c r="S45" s="659"/>
      <c r="T45" s="659"/>
      <c r="U45" s="659"/>
      <c r="V45" s="659"/>
      <c r="W45" s="659"/>
      <c r="X45" s="659"/>
      <c r="Y45" s="659"/>
      <c r="Z45" s="659"/>
      <c r="AA45" s="659"/>
      <c r="AB45" s="659"/>
      <c r="AC45" s="659"/>
      <c r="AD45" s="659"/>
      <c r="AE45" s="659"/>
      <c r="AF45" s="659"/>
    </row>
    <row r="46">
      <c r="A46" s="945" t="s">
        <v>203</v>
      </c>
      <c r="B46" s="659"/>
      <c r="C46" s="659"/>
      <c r="D46" s="659"/>
      <c r="E46" s="659"/>
      <c r="F46" s="659"/>
      <c r="G46" s="659"/>
      <c r="H46" s="659"/>
      <c r="I46" s="659"/>
      <c r="J46" s="659"/>
      <c r="K46" s="659"/>
      <c r="L46" s="659"/>
      <c r="M46" s="659"/>
      <c r="N46" s="659"/>
      <c r="O46" s="659"/>
      <c r="P46" s="659"/>
      <c r="Q46" s="659"/>
      <c r="R46" s="659"/>
      <c r="S46" s="659"/>
      <c r="T46" s="659"/>
      <c r="U46" s="659"/>
      <c r="V46" s="659"/>
      <c r="W46" s="659"/>
      <c r="X46" s="659"/>
      <c r="Y46" s="659"/>
      <c r="Z46" s="659"/>
      <c r="AA46" s="659"/>
      <c r="AB46" s="659"/>
      <c r="AC46" s="659"/>
      <c r="AD46" s="659"/>
      <c r="AE46" s="659"/>
      <c r="AF46" s="659"/>
    </row>
    <row r="47">
      <c r="A47" s="945" t="s">
        <v>337</v>
      </c>
      <c r="B47" s="659"/>
      <c r="C47" s="659"/>
      <c r="D47" s="659"/>
      <c r="E47" s="659"/>
      <c r="F47" s="659"/>
      <c r="G47" s="659"/>
      <c r="H47" s="659"/>
      <c r="I47" s="659"/>
      <c r="J47" s="659"/>
      <c r="K47" s="659"/>
      <c r="L47" s="659"/>
      <c r="M47" s="659"/>
      <c r="N47" s="659"/>
      <c r="O47" s="659"/>
      <c r="P47" s="659"/>
      <c r="Q47" s="659"/>
      <c r="R47" s="659"/>
      <c r="S47" s="659"/>
      <c r="T47" s="659"/>
      <c r="U47" s="659"/>
      <c r="V47" s="659"/>
      <c r="W47" s="659"/>
      <c r="X47" s="659"/>
      <c r="Y47" s="659"/>
      <c r="Z47" s="659"/>
      <c r="AA47" s="659"/>
      <c r="AB47" s="659"/>
      <c r="AC47" s="659"/>
      <c r="AD47" s="659"/>
      <c r="AE47" s="659"/>
      <c r="AF47" s="659"/>
    </row>
    <row r="48">
      <c r="A48" s="945" t="s">
        <v>278</v>
      </c>
      <c r="B48" s="659"/>
      <c r="C48" s="659"/>
      <c r="D48" s="659"/>
      <c r="E48" s="659"/>
      <c r="F48" s="659"/>
      <c r="G48" s="659"/>
      <c r="H48" s="659"/>
      <c r="I48" s="659"/>
      <c r="J48" s="659"/>
      <c r="K48" s="659"/>
      <c r="L48" s="659"/>
      <c r="M48" s="659"/>
      <c r="N48" s="659"/>
      <c r="O48" s="659"/>
      <c r="P48" s="659"/>
      <c r="Q48" s="659"/>
      <c r="R48" s="659"/>
      <c r="S48" s="659"/>
      <c r="T48" s="659"/>
      <c r="U48" s="659"/>
      <c r="V48" s="659"/>
      <c r="W48" s="659"/>
      <c r="X48" s="659"/>
      <c r="Y48" s="659"/>
      <c r="Z48" s="659"/>
      <c r="AA48" s="659"/>
      <c r="AB48" s="659"/>
      <c r="AC48" s="659"/>
      <c r="AD48" s="659"/>
      <c r="AE48" s="659"/>
      <c r="AF48" s="659"/>
    </row>
    <row r="49">
      <c r="A49" s="952" t="s">
        <v>435</v>
      </c>
      <c r="B49" s="893"/>
      <c r="C49" s="893"/>
      <c r="D49" s="893"/>
      <c r="E49" s="893"/>
      <c r="F49" s="893"/>
      <c r="G49" s="893"/>
      <c r="H49" s="893"/>
      <c r="I49" s="893"/>
      <c r="J49" s="893"/>
      <c r="K49" s="893"/>
      <c r="L49" s="893"/>
      <c r="M49" s="893"/>
      <c r="N49" s="893"/>
      <c r="O49" s="893"/>
      <c r="P49" s="893"/>
      <c r="Q49" s="893"/>
      <c r="R49" s="893"/>
      <c r="S49" s="893"/>
      <c r="T49" s="893"/>
      <c r="U49" s="893"/>
      <c r="V49" s="893"/>
      <c r="W49" s="893"/>
      <c r="X49" s="893"/>
      <c r="Y49" s="893"/>
      <c r="Z49" s="893"/>
      <c r="AA49" s="893"/>
      <c r="AB49" s="893"/>
      <c r="AC49" s="893"/>
      <c r="AD49" s="893"/>
      <c r="AE49" s="893"/>
      <c r="AF49" s="893"/>
    </row>
    <row r="50">
      <c r="A50" s="952" t="s">
        <v>230</v>
      </c>
      <c r="E50" s="900"/>
    </row>
    <row r="51">
      <c r="A51" s="952" t="s">
        <v>429</v>
      </c>
      <c r="E51" s="950"/>
    </row>
    <row r="52">
      <c r="A52" s="952" t="s">
        <v>100</v>
      </c>
    </row>
    <row r="53">
      <c r="A53" s="952" t="s">
        <v>558</v>
      </c>
      <c r="E53" s="900"/>
    </row>
    <row r="54">
      <c r="A54" s="952" t="s">
        <v>290</v>
      </c>
      <c r="F54" s="900"/>
    </row>
    <row r="55">
      <c r="A55" s="952" t="s">
        <v>577</v>
      </c>
    </row>
    <row r="56">
      <c r="A56" s="952" t="s">
        <v>130</v>
      </c>
    </row>
    <row r="57">
      <c r="A57" s="952" t="s">
        <v>407</v>
      </c>
    </row>
    <row r="58">
      <c r="A58" s="952" t="s">
        <v>559</v>
      </c>
      <c r="F58" s="900"/>
      <c r="AC58" s="893"/>
    </row>
    <row r="59">
      <c r="A59" s="952" t="s">
        <v>181</v>
      </c>
    </row>
    <row r="60">
      <c r="A60" s="952" t="s">
        <v>196</v>
      </c>
    </row>
    <row r="61">
      <c r="A61" s="952" t="s">
        <v>578</v>
      </c>
    </row>
    <row r="62">
      <c r="A62" s="952" t="s">
        <v>579</v>
      </c>
    </row>
    <row r="63">
      <c r="A63" s="952" t="s">
        <v>580</v>
      </c>
    </row>
    <row r="64">
      <c r="A64" s="952" t="s">
        <v>581</v>
      </c>
      <c r="H64" s="900"/>
    </row>
    <row r="65">
      <c r="A65" s="952" t="s">
        <v>582</v>
      </c>
    </row>
    <row r="66">
      <c r="A66" s="952" t="s">
        <v>164</v>
      </c>
    </row>
    <row r="67">
      <c r="A67" s="952" t="s">
        <v>583</v>
      </c>
      <c r="H67" s="900"/>
    </row>
    <row r="68">
      <c r="A68" s="952" t="s">
        <v>584</v>
      </c>
      <c r="AB68" s="893"/>
    </row>
    <row r="69">
      <c r="A69" s="952" t="s">
        <v>585</v>
      </c>
      <c r="D69" s="900"/>
    </row>
    <row r="70">
      <c r="A70" s="952" t="s">
        <v>586</v>
      </c>
    </row>
    <row r="71">
      <c r="A71" s="945"/>
      <c r="B71" s="953">
        <v>45717.0</v>
      </c>
      <c r="C71" s="502"/>
      <c r="D71" s="502"/>
      <c r="E71" s="502"/>
      <c r="F71" s="502"/>
      <c r="G71" s="502"/>
      <c r="H71" s="502"/>
      <c r="I71" s="502"/>
      <c r="J71" s="502"/>
      <c r="K71" s="502"/>
      <c r="L71" s="502"/>
      <c r="M71" s="502"/>
      <c r="N71" s="502"/>
      <c r="O71" s="502"/>
      <c r="P71" s="502"/>
      <c r="Q71" s="502"/>
      <c r="R71" s="502"/>
      <c r="S71" s="502"/>
      <c r="T71" s="502"/>
      <c r="U71" s="502"/>
      <c r="V71" s="502"/>
      <c r="W71" s="502"/>
      <c r="X71" s="502"/>
      <c r="Y71" s="502"/>
      <c r="Z71" s="502"/>
      <c r="AA71" s="502"/>
      <c r="AB71" s="502"/>
      <c r="AC71" s="502"/>
      <c r="AD71" s="502"/>
      <c r="AE71" s="502"/>
      <c r="AF71" s="334"/>
    </row>
    <row r="72">
      <c r="A72" s="945"/>
      <c r="B72" s="954">
        <v>1.0</v>
      </c>
      <c r="C72" s="954">
        <v>2.0</v>
      </c>
      <c r="D72" s="954">
        <v>3.0</v>
      </c>
      <c r="E72" s="954">
        <v>4.0</v>
      </c>
      <c r="F72" s="954">
        <v>5.0</v>
      </c>
      <c r="G72" s="954">
        <v>6.0</v>
      </c>
      <c r="H72" s="954">
        <v>7.0</v>
      </c>
      <c r="I72" s="954">
        <v>8.0</v>
      </c>
      <c r="J72" s="954">
        <v>9.0</v>
      </c>
      <c r="K72" s="954">
        <v>10.0</v>
      </c>
      <c r="L72" s="954">
        <v>11.0</v>
      </c>
      <c r="M72" s="954">
        <v>12.0</v>
      </c>
      <c r="N72" s="954">
        <v>13.0</v>
      </c>
      <c r="O72" s="954">
        <v>14.0</v>
      </c>
      <c r="P72" s="954">
        <v>15.0</v>
      </c>
      <c r="Q72" s="954">
        <v>16.0</v>
      </c>
      <c r="R72" s="954">
        <v>17.0</v>
      </c>
      <c r="S72" s="954">
        <v>18.0</v>
      </c>
      <c r="T72" s="954">
        <v>19.0</v>
      </c>
      <c r="U72" s="954">
        <v>20.0</v>
      </c>
      <c r="V72" s="954">
        <v>21.0</v>
      </c>
      <c r="W72" s="954">
        <v>22.0</v>
      </c>
      <c r="X72" s="954">
        <v>23.0</v>
      </c>
      <c r="Y72" s="954">
        <v>24.0</v>
      </c>
      <c r="Z72" s="954">
        <v>25.0</v>
      </c>
      <c r="AA72" s="954">
        <v>26.0</v>
      </c>
      <c r="AB72" s="954">
        <v>27.0</v>
      </c>
      <c r="AC72" s="954">
        <v>28.0</v>
      </c>
      <c r="AD72" s="954">
        <v>29.0</v>
      </c>
      <c r="AE72" s="954">
        <v>30.0</v>
      </c>
      <c r="AF72" s="954">
        <v>31.0</v>
      </c>
    </row>
    <row r="73">
      <c r="A73" s="945"/>
      <c r="B73" s="955" t="s">
        <v>572</v>
      </c>
      <c r="C73" s="955" t="s">
        <v>573</v>
      </c>
      <c r="D73" s="955" t="s">
        <v>574</v>
      </c>
      <c r="E73" s="955" t="s">
        <v>575</v>
      </c>
      <c r="F73" s="955" t="s">
        <v>569</v>
      </c>
      <c r="G73" s="954" t="s">
        <v>570</v>
      </c>
      <c r="H73" s="954" t="s">
        <v>571</v>
      </c>
      <c r="I73" s="954" t="s">
        <v>572</v>
      </c>
      <c r="J73" s="954" t="s">
        <v>573</v>
      </c>
      <c r="K73" s="954" t="s">
        <v>574</v>
      </c>
      <c r="L73" s="954" t="s">
        <v>575</v>
      </c>
      <c r="M73" s="954" t="s">
        <v>569</v>
      </c>
      <c r="N73" s="954" t="s">
        <v>570</v>
      </c>
      <c r="O73" s="954" t="s">
        <v>571</v>
      </c>
      <c r="P73" s="954" t="s">
        <v>572</v>
      </c>
      <c r="Q73" s="954" t="s">
        <v>573</v>
      </c>
      <c r="R73" s="954" t="s">
        <v>574</v>
      </c>
      <c r="S73" s="954" t="s">
        <v>575</v>
      </c>
      <c r="T73" s="954" t="s">
        <v>569</v>
      </c>
      <c r="U73" s="954" t="s">
        <v>570</v>
      </c>
      <c r="V73" s="954" t="s">
        <v>571</v>
      </c>
      <c r="W73" s="954" t="s">
        <v>572</v>
      </c>
      <c r="X73" s="954" t="s">
        <v>573</v>
      </c>
      <c r="Y73" s="954" t="s">
        <v>574</v>
      </c>
      <c r="Z73" s="954" t="s">
        <v>575</v>
      </c>
      <c r="AA73" s="954" t="s">
        <v>569</v>
      </c>
      <c r="AB73" s="954" t="s">
        <v>570</v>
      </c>
      <c r="AC73" s="954" t="s">
        <v>571</v>
      </c>
      <c r="AD73" s="954" t="s">
        <v>572</v>
      </c>
      <c r="AE73" s="954" t="s">
        <v>573</v>
      </c>
      <c r="AF73" s="954" t="s">
        <v>574</v>
      </c>
    </row>
    <row r="74">
      <c r="A74" s="949" t="s">
        <v>576</v>
      </c>
      <c r="B74" s="659"/>
      <c r="C74" s="659"/>
      <c r="D74" s="659"/>
      <c r="E74" s="659"/>
      <c r="F74" s="659"/>
      <c r="G74" s="659"/>
      <c r="H74" s="659"/>
      <c r="I74" s="659"/>
      <c r="J74" s="659"/>
      <c r="K74" s="659"/>
      <c r="L74" s="659"/>
      <c r="M74" s="659"/>
      <c r="N74" s="659"/>
      <c r="O74" s="659"/>
      <c r="P74" s="659"/>
      <c r="Q74" s="659"/>
      <c r="R74" s="659"/>
      <c r="S74" s="659"/>
      <c r="T74" s="659"/>
      <c r="U74" s="659"/>
      <c r="V74" s="659"/>
      <c r="W74" s="659"/>
      <c r="X74" s="659"/>
      <c r="Y74" s="659"/>
      <c r="Z74" s="659"/>
      <c r="AA74" s="659"/>
      <c r="AB74" s="950"/>
      <c r="AC74" s="659"/>
      <c r="AD74" s="659"/>
      <c r="AE74" s="659"/>
      <c r="AF74" s="659"/>
    </row>
    <row r="75">
      <c r="A75" s="949" t="s">
        <v>171</v>
      </c>
      <c r="B75" s="659"/>
      <c r="C75" s="659"/>
      <c r="D75" s="659"/>
      <c r="E75" s="659"/>
      <c r="F75" s="659"/>
      <c r="G75" s="950"/>
      <c r="H75" s="659"/>
      <c r="I75" s="659"/>
      <c r="J75" s="659"/>
      <c r="K75" s="659"/>
      <c r="L75" s="659"/>
      <c r="M75" s="659"/>
      <c r="N75" s="659"/>
      <c r="O75" s="659"/>
      <c r="P75" s="659"/>
      <c r="Q75" s="659"/>
      <c r="R75" s="659"/>
      <c r="S75" s="659"/>
      <c r="T75" s="659"/>
      <c r="U75" s="659"/>
      <c r="V75" s="659"/>
      <c r="W75" s="659"/>
      <c r="X75" s="659"/>
      <c r="Y75" s="659"/>
      <c r="Z75" s="659"/>
      <c r="AA75" s="659"/>
      <c r="AB75" s="659"/>
      <c r="AC75" s="659"/>
      <c r="AD75" s="659"/>
      <c r="AE75" s="659"/>
      <c r="AF75" s="659"/>
    </row>
    <row r="76">
      <c r="A76" s="945" t="s">
        <v>176</v>
      </c>
      <c r="B76" s="659"/>
      <c r="C76" s="659"/>
      <c r="D76" s="659"/>
      <c r="E76" s="659"/>
      <c r="F76" s="659"/>
      <c r="G76" s="659"/>
      <c r="H76" s="659"/>
      <c r="I76" s="659"/>
      <c r="J76" s="659"/>
      <c r="K76" s="659"/>
      <c r="L76" s="659"/>
      <c r="M76" s="659"/>
      <c r="N76" s="659"/>
      <c r="O76" s="659"/>
      <c r="P76" s="659"/>
      <c r="Q76" s="659"/>
      <c r="R76" s="659"/>
      <c r="S76" s="659"/>
      <c r="T76" s="659"/>
      <c r="U76" s="659"/>
      <c r="V76" s="659"/>
      <c r="W76" s="659"/>
      <c r="X76" s="659"/>
      <c r="Y76" s="659"/>
      <c r="Z76" s="659"/>
      <c r="AA76" s="659"/>
      <c r="AB76" s="659"/>
      <c r="AC76" s="659"/>
      <c r="AD76" s="659"/>
      <c r="AE76" s="659"/>
      <c r="AF76" s="659"/>
    </row>
    <row r="77">
      <c r="A77" s="945" t="s">
        <v>113</v>
      </c>
      <c r="B77" s="659"/>
      <c r="C77" s="659"/>
      <c r="D77" s="659"/>
      <c r="E77" s="659"/>
      <c r="F77" s="659"/>
      <c r="G77" s="659"/>
      <c r="H77" s="659"/>
      <c r="I77" s="659"/>
      <c r="J77" s="659"/>
      <c r="K77" s="659"/>
      <c r="L77" s="659"/>
      <c r="M77" s="659"/>
      <c r="N77" s="659"/>
      <c r="O77" s="659"/>
      <c r="P77" s="659"/>
      <c r="Q77" s="659"/>
      <c r="R77" s="659"/>
      <c r="S77" s="659"/>
      <c r="T77" s="659"/>
      <c r="U77" s="659"/>
      <c r="V77" s="659"/>
      <c r="W77" s="659"/>
      <c r="X77" s="659"/>
      <c r="Y77" s="659"/>
      <c r="Z77" s="659"/>
      <c r="AA77" s="659"/>
      <c r="AB77" s="659"/>
      <c r="AC77" s="659"/>
      <c r="AD77" s="659"/>
      <c r="AE77" s="659"/>
      <c r="AF77" s="659"/>
    </row>
    <row r="78">
      <c r="A78" s="945" t="s">
        <v>246</v>
      </c>
      <c r="B78" s="659"/>
      <c r="C78" s="659"/>
      <c r="D78" s="659"/>
      <c r="E78" s="659"/>
      <c r="F78" s="659"/>
      <c r="G78" s="659"/>
      <c r="H78" s="659"/>
      <c r="I78" s="659"/>
      <c r="J78" s="659"/>
      <c r="K78" s="659"/>
      <c r="L78" s="659"/>
      <c r="M78" s="659"/>
      <c r="N78" s="659"/>
      <c r="O78" s="659"/>
      <c r="P78" s="659"/>
      <c r="Q78" s="659"/>
      <c r="R78" s="659"/>
      <c r="S78" s="659"/>
      <c r="T78" s="659"/>
      <c r="U78" s="659"/>
      <c r="V78" s="659"/>
      <c r="W78" s="659"/>
      <c r="X78" s="659"/>
      <c r="Y78" s="659"/>
      <c r="Z78" s="659"/>
      <c r="AA78" s="659"/>
      <c r="AB78" s="659"/>
      <c r="AC78" s="659"/>
      <c r="AD78" s="659"/>
      <c r="AE78" s="659"/>
      <c r="AF78" s="659"/>
    </row>
    <row r="79">
      <c r="A79" s="945" t="s">
        <v>208</v>
      </c>
      <c r="B79" s="659"/>
      <c r="C79" s="659"/>
      <c r="D79" s="659"/>
      <c r="E79" s="659"/>
      <c r="F79" s="659"/>
      <c r="G79" s="659"/>
      <c r="H79" s="659"/>
      <c r="I79" s="659"/>
      <c r="J79" s="659"/>
      <c r="K79" s="659"/>
      <c r="L79" s="659"/>
      <c r="M79" s="950"/>
      <c r="N79" s="659"/>
      <c r="O79" s="659"/>
      <c r="P79" s="659"/>
      <c r="Q79" s="659"/>
      <c r="R79" s="659"/>
      <c r="S79" s="659"/>
      <c r="T79" s="659"/>
      <c r="U79" s="659"/>
      <c r="V79" s="659"/>
      <c r="W79" s="659"/>
      <c r="X79" s="659"/>
      <c r="Y79" s="659"/>
      <c r="Z79" s="659"/>
      <c r="AA79" s="659"/>
      <c r="AB79" s="659"/>
      <c r="AC79" s="659"/>
      <c r="AD79" s="659"/>
      <c r="AE79" s="659"/>
      <c r="AF79" s="659"/>
    </row>
    <row r="80">
      <c r="A80" s="945" t="s">
        <v>107</v>
      </c>
      <c r="B80" s="659"/>
      <c r="C80" s="659"/>
      <c r="D80" s="659"/>
      <c r="E80" s="659"/>
      <c r="F80" s="659"/>
      <c r="G80" s="951"/>
      <c r="H80" s="659"/>
      <c r="I80" s="659"/>
      <c r="J80" s="659"/>
      <c r="K80" s="659"/>
      <c r="L80" s="659"/>
      <c r="M80" s="659"/>
      <c r="N80" s="659"/>
      <c r="O80" s="659"/>
      <c r="P80" s="659"/>
      <c r="Q80" s="659"/>
      <c r="R80" s="659"/>
      <c r="S80" s="659"/>
      <c r="T80" s="659"/>
      <c r="U80" s="659"/>
      <c r="V80" s="659"/>
      <c r="W80" s="659"/>
      <c r="X80" s="659"/>
      <c r="Y80" s="659"/>
      <c r="Z80" s="659"/>
      <c r="AA80" s="659"/>
      <c r="AB80" s="659"/>
      <c r="AC80" s="659"/>
      <c r="AD80" s="659"/>
      <c r="AE80" s="659"/>
      <c r="AF80" s="659"/>
    </row>
    <row r="81">
      <c r="A81" s="945" t="s">
        <v>203</v>
      </c>
      <c r="B81" s="659"/>
      <c r="C81" s="659"/>
      <c r="D81" s="659"/>
      <c r="E81" s="659"/>
      <c r="F81" s="659"/>
      <c r="G81" s="659"/>
      <c r="H81" s="659"/>
      <c r="I81" s="659"/>
      <c r="J81" s="659"/>
      <c r="K81" s="659"/>
      <c r="L81" s="659"/>
      <c r="M81" s="659"/>
      <c r="N81" s="659"/>
      <c r="O81" s="659"/>
      <c r="P81" s="659"/>
      <c r="Q81" s="659"/>
      <c r="R81" s="659"/>
      <c r="S81" s="659"/>
      <c r="T81" s="659"/>
      <c r="U81" s="659"/>
      <c r="V81" s="659"/>
      <c r="W81" s="659"/>
      <c r="X81" s="659"/>
      <c r="Y81" s="659"/>
      <c r="Z81" s="659"/>
      <c r="AA81" s="659"/>
      <c r="AB81" s="659"/>
      <c r="AC81" s="659"/>
      <c r="AD81" s="659"/>
      <c r="AE81" s="659"/>
      <c r="AF81" s="659"/>
    </row>
    <row r="82">
      <c r="A82" s="945" t="s">
        <v>337</v>
      </c>
      <c r="B82" s="659"/>
      <c r="C82" s="659"/>
      <c r="D82" s="659"/>
      <c r="E82" s="659"/>
      <c r="F82" s="659"/>
      <c r="G82" s="659"/>
      <c r="H82" s="659"/>
      <c r="I82" s="659"/>
      <c r="J82" s="659"/>
      <c r="K82" s="659"/>
      <c r="L82" s="659"/>
      <c r="M82" s="659"/>
      <c r="N82" s="659"/>
      <c r="O82" s="659"/>
      <c r="P82" s="659"/>
      <c r="Q82" s="659"/>
      <c r="R82" s="659"/>
      <c r="S82" s="659"/>
      <c r="T82" s="659"/>
      <c r="U82" s="659"/>
      <c r="V82" s="659"/>
      <c r="W82" s="659"/>
      <c r="X82" s="659"/>
      <c r="Y82" s="659"/>
      <c r="Z82" s="659"/>
      <c r="AA82" s="659"/>
      <c r="AB82" s="659"/>
      <c r="AC82" s="659"/>
      <c r="AD82" s="659"/>
      <c r="AE82" s="659"/>
      <c r="AF82" s="659"/>
    </row>
    <row r="83">
      <c r="A83" s="945" t="s">
        <v>278</v>
      </c>
      <c r="B83" s="659"/>
      <c r="C83" s="659"/>
      <c r="D83" s="659"/>
      <c r="E83" s="659"/>
      <c r="F83" s="659"/>
      <c r="G83" s="659"/>
      <c r="H83" s="659"/>
      <c r="I83" s="659"/>
      <c r="J83" s="659"/>
      <c r="K83" s="659"/>
      <c r="L83" s="659"/>
      <c r="M83" s="659"/>
      <c r="N83" s="659"/>
      <c r="O83" s="659"/>
      <c r="P83" s="659"/>
      <c r="Q83" s="659"/>
      <c r="R83" s="659"/>
      <c r="S83" s="659"/>
      <c r="T83" s="659"/>
      <c r="U83" s="659"/>
      <c r="V83" s="659"/>
      <c r="W83" s="659"/>
      <c r="X83" s="659"/>
      <c r="Y83" s="659"/>
      <c r="Z83" s="659"/>
      <c r="AA83" s="659"/>
      <c r="AB83" s="659"/>
      <c r="AC83" s="659"/>
      <c r="AD83" s="659"/>
      <c r="AE83" s="659"/>
      <c r="AF83" s="659"/>
    </row>
    <row r="84">
      <c r="A84" s="952" t="s">
        <v>435</v>
      </c>
      <c r="B84" s="893"/>
      <c r="C84" s="893"/>
      <c r="D84" s="893"/>
      <c r="E84" s="893"/>
      <c r="F84" s="893"/>
      <c r="G84" s="893"/>
      <c r="H84" s="893"/>
      <c r="I84" s="893"/>
      <c r="J84" s="893"/>
      <c r="K84" s="893"/>
      <c r="L84" s="893"/>
      <c r="M84" s="893"/>
      <c r="N84" s="893"/>
      <c r="O84" s="893"/>
      <c r="P84" s="893"/>
      <c r="Q84" s="893"/>
      <c r="R84" s="893"/>
      <c r="S84" s="893"/>
      <c r="T84" s="893"/>
      <c r="U84" s="893"/>
      <c r="V84" s="893"/>
      <c r="W84" s="893"/>
      <c r="X84" s="893"/>
      <c r="Y84" s="893"/>
      <c r="Z84" s="893"/>
      <c r="AA84" s="893"/>
      <c r="AB84" s="893"/>
      <c r="AC84" s="893"/>
      <c r="AD84" s="893"/>
      <c r="AE84" s="893"/>
      <c r="AF84" s="893"/>
    </row>
    <row r="85">
      <c r="A85" s="952" t="s">
        <v>230</v>
      </c>
    </row>
    <row r="86">
      <c r="A86" s="952" t="s">
        <v>429</v>
      </c>
    </row>
    <row r="87">
      <c r="A87" s="952" t="s">
        <v>100</v>
      </c>
    </row>
    <row r="88">
      <c r="A88" s="952" t="s">
        <v>558</v>
      </c>
    </row>
    <row r="89">
      <c r="A89" s="952" t="s">
        <v>290</v>
      </c>
    </row>
    <row r="90">
      <c r="A90" s="952" t="s">
        <v>577</v>
      </c>
    </row>
    <row r="91">
      <c r="A91" s="952" t="s">
        <v>130</v>
      </c>
    </row>
    <row r="92">
      <c r="A92" s="952" t="s">
        <v>407</v>
      </c>
      <c r="F92" s="900"/>
    </row>
    <row r="93">
      <c r="A93" s="952" t="s">
        <v>559</v>
      </c>
      <c r="F93" s="900"/>
    </row>
    <row r="94">
      <c r="A94" s="952" t="s">
        <v>181</v>
      </c>
      <c r="G94" s="900"/>
    </row>
    <row r="95">
      <c r="A95" s="952" t="s">
        <v>196</v>
      </c>
    </row>
    <row r="96">
      <c r="A96" s="952" t="s">
        <v>578</v>
      </c>
    </row>
    <row r="97">
      <c r="A97" s="952" t="s">
        <v>579</v>
      </c>
    </row>
    <row r="98">
      <c r="A98" s="952" t="s">
        <v>580</v>
      </c>
      <c r="Z98" s="900"/>
    </row>
    <row r="99">
      <c r="A99" s="952" t="s">
        <v>581</v>
      </c>
    </row>
    <row r="100">
      <c r="A100" s="952" t="s">
        <v>582</v>
      </c>
    </row>
    <row r="101">
      <c r="A101" s="952" t="s">
        <v>164</v>
      </c>
      <c r="G101" s="900"/>
    </row>
    <row r="102">
      <c r="A102" s="952" t="s">
        <v>583</v>
      </c>
    </row>
    <row r="103">
      <c r="A103" s="952" t="s">
        <v>584</v>
      </c>
    </row>
    <row r="104">
      <c r="A104" s="952" t="s">
        <v>585</v>
      </c>
    </row>
    <row r="105">
      <c r="A105" s="952" t="s">
        <v>586</v>
      </c>
      <c r="F105" s="900"/>
    </row>
    <row r="106">
      <c r="A106" s="945"/>
      <c r="B106" s="953">
        <v>45748.0</v>
      </c>
      <c r="C106" s="502"/>
      <c r="D106" s="502"/>
      <c r="E106" s="502"/>
      <c r="F106" s="502"/>
      <c r="G106" s="502"/>
      <c r="H106" s="502"/>
      <c r="I106" s="502"/>
      <c r="J106" s="502"/>
      <c r="K106" s="502"/>
      <c r="L106" s="502"/>
      <c r="M106" s="502"/>
      <c r="N106" s="502"/>
      <c r="O106" s="502"/>
      <c r="P106" s="502"/>
      <c r="Q106" s="502"/>
      <c r="R106" s="502"/>
      <c r="S106" s="502"/>
      <c r="T106" s="502"/>
      <c r="U106" s="502"/>
      <c r="V106" s="502"/>
      <c r="W106" s="502"/>
      <c r="X106" s="502"/>
      <c r="Y106" s="502"/>
      <c r="Z106" s="502"/>
      <c r="AA106" s="502"/>
      <c r="AB106" s="502"/>
      <c r="AC106" s="502"/>
      <c r="AD106" s="502"/>
      <c r="AE106" s="502"/>
      <c r="AF106" s="334"/>
    </row>
    <row r="107">
      <c r="A107" s="945"/>
      <c r="B107" s="954">
        <v>1.0</v>
      </c>
      <c r="C107" s="954">
        <v>2.0</v>
      </c>
      <c r="D107" s="954">
        <v>3.0</v>
      </c>
      <c r="E107" s="954">
        <v>4.0</v>
      </c>
      <c r="F107" s="954">
        <v>5.0</v>
      </c>
      <c r="G107" s="954">
        <v>6.0</v>
      </c>
      <c r="H107" s="954">
        <v>7.0</v>
      </c>
      <c r="I107" s="954">
        <v>8.0</v>
      </c>
      <c r="J107" s="954">
        <v>9.0</v>
      </c>
      <c r="K107" s="954">
        <v>10.0</v>
      </c>
      <c r="L107" s="954">
        <v>11.0</v>
      </c>
      <c r="M107" s="954">
        <v>12.0</v>
      </c>
      <c r="N107" s="954">
        <v>13.0</v>
      </c>
      <c r="O107" s="954">
        <v>14.0</v>
      </c>
      <c r="P107" s="954">
        <v>15.0</v>
      </c>
      <c r="Q107" s="954">
        <v>16.0</v>
      </c>
      <c r="R107" s="954">
        <v>17.0</v>
      </c>
      <c r="S107" s="954">
        <v>18.0</v>
      </c>
      <c r="T107" s="954">
        <v>19.0</v>
      </c>
      <c r="U107" s="954">
        <v>20.0</v>
      </c>
      <c r="V107" s="954">
        <v>21.0</v>
      </c>
      <c r="W107" s="954">
        <v>22.0</v>
      </c>
      <c r="X107" s="954">
        <v>23.0</v>
      </c>
      <c r="Y107" s="954">
        <v>24.0</v>
      </c>
      <c r="Z107" s="954">
        <v>25.0</v>
      </c>
      <c r="AA107" s="954">
        <v>26.0</v>
      </c>
      <c r="AB107" s="954">
        <v>27.0</v>
      </c>
      <c r="AC107" s="954">
        <v>28.0</v>
      </c>
      <c r="AD107" s="954">
        <v>29.0</v>
      </c>
      <c r="AE107" s="954">
        <v>30.0</v>
      </c>
      <c r="AF107" s="954"/>
    </row>
    <row r="108">
      <c r="A108" s="945"/>
      <c r="B108" s="955" t="s">
        <v>575</v>
      </c>
      <c r="C108" s="955" t="s">
        <v>569</v>
      </c>
      <c r="D108" s="955" t="s">
        <v>570</v>
      </c>
      <c r="E108" s="955" t="s">
        <v>571</v>
      </c>
      <c r="F108" s="955" t="s">
        <v>572</v>
      </c>
      <c r="G108" s="954" t="s">
        <v>573</v>
      </c>
      <c r="H108" s="954" t="s">
        <v>574</v>
      </c>
      <c r="I108" s="954" t="s">
        <v>575</v>
      </c>
      <c r="J108" s="954" t="s">
        <v>569</v>
      </c>
      <c r="K108" s="954" t="s">
        <v>570</v>
      </c>
      <c r="L108" s="954" t="s">
        <v>571</v>
      </c>
      <c r="M108" s="954" t="s">
        <v>572</v>
      </c>
      <c r="N108" s="954" t="s">
        <v>573</v>
      </c>
      <c r="O108" s="954" t="s">
        <v>574</v>
      </c>
      <c r="P108" s="954" t="s">
        <v>575</v>
      </c>
      <c r="Q108" s="954" t="s">
        <v>569</v>
      </c>
      <c r="R108" s="954" t="s">
        <v>570</v>
      </c>
      <c r="S108" s="954" t="s">
        <v>571</v>
      </c>
      <c r="T108" s="954" t="s">
        <v>572</v>
      </c>
      <c r="U108" s="954" t="s">
        <v>573</v>
      </c>
      <c r="V108" s="954" t="s">
        <v>574</v>
      </c>
      <c r="W108" s="954" t="s">
        <v>575</v>
      </c>
      <c r="X108" s="954" t="s">
        <v>569</v>
      </c>
      <c r="Y108" s="954" t="s">
        <v>570</v>
      </c>
      <c r="Z108" s="954" t="s">
        <v>571</v>
      </c>
      <c r="AA108" s="954" t="s">
        <v>572</v>
      </c>
      <c r="AB108" s="954" t="s">
        <v>573</v>
      </c>
      <c r="AC108" s="954" t="s">
        <v>574</v>
      </c>
      <c r="AD108" s="954" t="s">
        <v>575</v>
      </c>
      <c r="AE108" s="954" t="s">
        <v>569</v>
      </c>
      <c r="AF108" s="954"/>
    </row>
    <row r="109">
      <c r="A109" s="949" t="s">
        <v>576</v>
      </c>
      <c r="B109" s="659"/>
      <c r="C109" s="659"/>
      <c r="D109" s="659"/>
      <c r="E109" s="659"/>
      <c r="F109" s="659"/>
      <c r="G109" s="659"/>
      <c r="H109" s="659"/>
      <c r="I109" s="659"/>
      <c r="J109" s="659"/>
      <c r="K109" s="659"/>
      <c r="L109" s="659"/>
      <c r="M109" s="659"/>
      <c r="N109" s="659"/>
      <c r="O109" s="659"/>
      <c r="P109" s="659"/>
      <c r="Q109" s="659"/>
      <c r="R109" s="659"/>
      <c r="S109" s="659"/>
      <c r="T109" s="659"/>
      <c r="U109" s="659"/>
      <c r="V109" s="659"/>
      <c r="W109" s="659"/>
      <c r="X109" s="659"/>
      <c r="Y109" s="659"/>
      <c r="Z109" s="659"/>
      <c r="AA109" s="659"/>
      <c r="AB109" s="659"/>
      <c r="AC109" s="659"/>
      <c r="AD109" s="659"/>
      <c r="AE109" s="659"/>
      <c r="AF109" s="659"/>
    </row>
    <row r="110">
      <c r="A110" s="949" t="s">
        <v>171</v>
      </c>
      <c r="B110" s="659"/>
      <c r="C110" s="659"/>
      <c r="D110" s="659"/>
      <c r="E110" s="659"/>
      <c r="F110" s="659"/>
      <c r="G110" s="659"/>
      <c r="H110" s="659"/>
      <c r="I110" s="659"/>
      <c r="J110" s="659"/>
      <c r="K110" s="659"/>
      <c r="L110" s="659"/>
      <c r="M110" s="659"/>
      <c r="N110" s="659"/>
      <c r="O110" s="659"/>
      <c r="P110" s="659"/>
      <c r="Q110" s="659"/>
      <c r="R110" s="659"/>
      <c r="S110" s="659"/>
      <c r="T110" s="659"/>
      <c r="U110" s="659"/>
      <c r="V110" s="659"/>
      <c r="W110" s="659"/>
      <c r="X110" s="659"/>
      <c r="Y110" s="659"/>
      <c r="Z110" s="659"/>
      <c r="AA110" s="659"/>
      <c r="AB110" s="659"/>
      <c r="AC110" s="950"/>
      <c r="AD110" s="659"/>
      <c r="AE110" s="659"/>
      <c r="AF110" s="659"/>
    </row>
    <row r="111">
      <c r="A111" s="945" t="s">
        <v>176</v>
      </c>
      <c r="B111" s="659"/>
      <c r="C111" s="659"/>
      <c r="D111" s="659"/>
      <c r="E111" s="659"/>
      <c r="F111" s="659"/>
      <c r="G111" s="659"/>
      <c r="H111" s="659"/>
      <c r="I111" s="659"/>
      <c r="J111" s="659"/>
      <c r="K111" s="659"/>
      <c r="L111" s="659"/>
      <c r="M111" s="659"/>
      <c r="N111" s="659"/>
      <c r="O111" s="659"/>
      <c r="P111" s="659"/>
      <c r="Q111" s="659"/>
      <c r="R111" s="659"/>
      <c r="S111" s="659"/>
      <c r="T111" s="659"/>
      <c r="U111" s="659"/>
      <c r="V111" s="659"/>
      <c r="W111" s="659"/>
      <c r="X111" s="659"/>
      <c r="Y111" s="659"/>
      <c r="Z111" s="659"/>
      <c r="AA111" s="659"/>
      <c r="AB111" s="659"/>
      <c r="AC111" s="659"/>
      <c r="AD111" s="659"/>
      <c r="AE111" s="659"/>
      <c r="AF111" s="659"/>
    </row>
    <row r="112">
      <c r="A112" s="945" t="s">
        <v>113</v>
      </c>
      <c r="B112" s="659"/>
      <c r="C112" s="659"/>
      <c r="D112" s="659"/>
      <c r="E112" s="659"/>
      <c r="F112" s="659"/>
      <c r="G112" s="659"/>
      <c r="H112" s="659"/>
      <c r="I112" s="659"/>
      <c r="J112" s="659"/>
      <c r="K112" s="659"/>
      <c r="L112" s="659"/>
      <c r="M112" s="659"/>
      <c r="N112" s="659"/>
      <c r="O112" s="659"/>
      <c r="P112" s="659"/>
      <c r="Q112" s="659"/>
      <c r="R112" s="659"/>
      <c r="S112" s="659"/>
      <c r="T112" s="659"/>
      <c r="U112" s="659"/>
      <c r="V112" s="659"/>
      <c r="W112" s="659"/>
      <c r="X112" s="659"/>
      <c r="Y112" s="659"/>
      <c r="Z112" s="659"/>
      <c r="AA112" s="659"/>
      <c r="AB112" s="659"/>
      <c r="AC112" s="659"/>
      <c r="AD112" s="659"/>
      <c r="AE112" s="659"/>
      <c r="AF112" s="659"/>
    </row>
    <row r="113">
      <c r="A113" s="945" t="s">
        <v>246</v>
      </c>
      <c r="B113" s="659"/>
      <c r="C113" s="659"/>
      <c r="D113" s="659"/>
      <c r="E113" s="659"/>
      <c r="F113" s="659"/>
      <c r="G113" s="659"/>
      <c r="H113" s="659"/>
      <c r="I113" s="659"/>
      <c r="J113" s="659"/>
      <c r="K113" s="659"/>
      <c r="L113" s="659"/>
      <c r="M113" s="659"/>
      <c r="N113" s="659"/>
      <c r="O113" s="659"/>
      <c r="P113" s="659"/>
      <c r="Q113" s="659"/>
      <c r="R113" s="659"/>
      <c r="S113" s="659"/>
      <c r="T113" s="659"/>
      <c r="U113" s="659"/>
      <c r="V113" s="659"/>
      <c r="W113" s="659"/>
      <c r="X113" s="659"/>
      <c r="Y113" s="659"/>
      <c r="Z113" s="659"/>
      <c r="AA113" s="659"/>
      <c r="AB113" s="659"/>
      <c r="AC113" s="659"/>
      <c r="AD113" s="659"/>
      <c r="AE113" s="659"/>
      <c r="AF113" s="659"/>
    </row>
    <row r="114">
      <c r="A114" s="945" t="s">
        <v>208</v>
      </c>
      <c r="B114" s="659"/>
      <c r="C114" s="659"/>
      <c r="D114" s="659"/>
      <c r="E114" s="659"/>
      <c r="F114" s="659"/>
      <c r="G114" s="659"/>
      <c r="H114" s="659"/>
      <c r="I114" s="659"/>
      <c r="J114" s="659"/>
      <c r="K114" s="659"/>
      <c r="L114" s="659"/>
      <c r="M114" s="659"/>
      <c r="N114" s="659"/>
      <c r="O114" s="659"/>
      <c r="P114" s="659"/>
      <c r="Q114" s="659"/>
      <c r="R114" s="659"/>
      <c r="S114" s="659"/>
      <c r="T114" s="659"/>
      <c r="U114" s="659"/>
      <c r="V114" s="659"/>
      <c r="W114" s="659"/>
      <c r="X114" s="659"/>
      <c r="Y114" s="659"/>
      <c r="Z114" s="659"/>
      <c r="AA114" s="659"/>
      <c r="AB114" s="659"/>
      <c r="AC114" s="659"/>
      <c r="AD114" s="659"/>
      <c r="AE114" s="659"/>
      <c r="AF114" s="659"/>
    </row>
    <row r="115">
      <c r="A115" s="945" t="s">
        <v>107</v>
      </c>
      <c r="B115" s="659"/>
      <c r="C115" s="659"/>
      <c r="D115" s="659"/>
      <c r="E115" s="659"/>
      <c r="F115" s="659"/>
      <c r="G115" s="951"/>
      <c r="H115" s="659"/>
      <c r="I115" s="659"/>
      <c r="J115" s="659"/>
      <c r="K115" s="659"/>
      <c r="L115" s="659"/>
      <c r="M115" s="659"/>
      <c r="N115" s="659"/>
      <c r="O115" s="659"/>
      <c r="P115" s="659"/>
      <c r="Q115" s="659"/>
      <c r="R115" s="659"/>
      <c r="S115" s="659"/>
      <c r="T115" s="659"/>
      <c r="U115" s="659"/>
      <c r="V115" s="659"/>
      <c r="W115" s="659"/>
      <c r="X115" s="659"/>
      <c r="Y115" s="659"/>
      <c r="Z115" s="659"/>
      <c r="AA115" s="659"/>
      <c r="AB115" s="659"/>
      <c r="AC115" s="659"/>
      <c r="AD115" s="659"/>
      <c r="AE115" s="659"/>
      <c r="AF115" s="659"/>
    </row>
    <row r="116">
      <c r="A116" s="945" t="s">
        <v>203</v>
      </c>
      <c r="B116" s="659"/>
      <c r="C116" s="659"/>
      <c r="D116" s="659"/>
      <c r="E116" s="659"/>
      <c r="F116" s="659"/>
      <c r="G116" s="659"/>
      <c r="H116" s="659"/>
      <c r="I116" s="659"/>
      <c r="J116" s="659"/>
      <c r="K116" s="659"/>
      <c r="L116" s="659"/>
      <c r="M116" s="659"/>
      <c r="N116" s="659"/>
      <c r="O116" s="659"/>
      <c r="P116" s="659"/>
      <c r="Q116" s="659"/>
      <c r="R116" s="659"/>
      <c r="S116" s="659"/>
      <c r="T116" s="659"/>
      <c r="U116" s="659"/>
      <c r="V116" s="659"/>
      <c r="W116" s="659"/>
      <c r="X116" s="659"/>
      <c r="Y116" s="659"/>
      <c r="Z116" s="659"/>
      <c r="AA116" s="659"/>
      <c r="AB116" s="659"/>
      <c r="AC116" s="659"/>
      <c r="AD116" s="659"/>
      <c r="AE116" s="659"/>
      <c r="AF116" s="659"/>
    </row>
    <row r="117">
      <c r="A117" s="945" t="s">
        <v>337</v>
      </c>
      <c r="B117" s="659"/>
      <c r="C117" s="659"/>
      <c r="D117" s="659"/>
      <c r="E117" s="659"/>
      <c r="F117" s="659"/>
      <c r="G117" s="659"/>
      <c r="H117" s="659"/>
      <c r="I117" s="659"/>
      <c r="J117" s="659"/>
      <c r="K117" s="659"/>
      <c r="L117" s="659"/>
      <c r="M117" s="659"/>
      <c r="N117" s="659"/>
      <c r="O117" s="659"/>
      <c r="P117" s="659"/>
      <c r="Q117" s="659"/>
      <c r="R117" s="659"/>
      <c r="S117" s="659"/>
      <c r="T117" s="659"/>
      <c r="U117" s="659"/>
      <c r="V117" s="659"/>
      <c r="W117" s="659"/>
      <c r="X117" s="659"/>
      <c r="Y117" s="659"/>
      <c r="Z117" s="659"/>
      <c r="AA117" s="659"/>
      <c r="AB117" s="659"/>
      <c r="AC117" s="659"/>
      <c r="AD117" s="659"/>
      <c r="AE117" s="659"/>
      <c r="AF117" s="659"/>
    </row>
    <row r="118">
      <c r="A118" s="945" t="s">
        <v>278</v>
      </c>
      <c r="B118" s="659"/>
      <c r="C118" s="659"/>
      <c r="D118" s="659"/>
      <c r="E118" s="659"/>
      <c r="F118" s="659"/>
      <c r="G118" s="659"/>
      <c r="H118" s="659"/>
      <c r="I118" s="659"/>
      <c r="J118" s="659"/>
      <c r="K118" s="659"/>
      <c r="L118" s="659"/>
      <c r="M118" s="659"/>
      <c r="N118" s="659"/>
      <c r="O118" s="659"/>
      <c r="P118" s="659"/>
      <c r="Q118" s="659"/>
      <c r="R118" s="659"/>
      <c r="S118" s="659"/>
      <c r="T118" s="659"/>
      <c r="U118" s="659"/>
      <c r="V118" s="659"/>
      <c r="W118" s="659"/>
      <c r="X118" s="659"/>
      <c r="Y118" s="659"/>
      <c r="Z118" s="659"/>
      <c r="AA118" s="659"/>
      <c r="AB118" s="659"/>
      <c r="AC118" s="659"/>
      <c r="AD118" s="659"/>
      <c r="AE118" s="659"/>
      <c r="AF118" s="659"/>
    </row>
    <row r="119">
      <c r="A119" s="952" t="s">
        <v>435</v>
      </c>
      <c r="B119" s="893"/>
      <c r="C119" s="893"/>
      <c r="D119" s="893"/>
      <c r="E119" s="893"/>
      <c r="F119" s="893"/>
      <c r="G119" s="893"/>
      <c r="H119" s="893"/>
      <c r="I119" s="893"/>
      <c r="J119" s="893"/>
      <c r="K119" s="893"/>
      <c r="L119" s="893"/>
      <c r="M119" s="893"/>
      <c r="N119" s="893"/>
      <c r="O119" s="893"/>
      <c r="P119" s="893"/>
      <c r="Q119" s="893"/>
      <c r="R119" s="893"/>
      <c r="S119" s="893"/>
      <c r="T119" s="893"/>
      <c r="U119" s="893"/>
      <c r="V119" s="893"/>
      <c r="W119" s="893"/>
      <c r="X119" s="893"/>
      <c r="Y119" s="893"/>
      <c r="Z119" s="893"/>
      <c r="AA119" s="893"/>
      <c r="AB119" s="893"/>
      <c r="AC119" s="893"/>
      <c r="AD119" s="893"/>
      <c r="AE119" s="893"/>
      <c r="AF119" s="893"/>
    </row>
    <row r="120">
      <c r="A120" s="952" t="s">
        <v>230</v>
      </c>
    </row>
    <row r="121">
      <c r="A121" s="952" t="s">
        <v>429</v>
      </c>
    </row>
    <row r="122">
      <c r="A122" s="952" t="s">
        <v>100</v>
      </c>
    </row>
    <row r="123">
      <c r="A123" s="952" t="s">
        <v>558</v>
      </c>
    </row>
    <row r="124">
      <c r="A124" s="952" t="s">
        <v>290</v>
      </c>
    </row>
    <row r="125">
      <c r="A125" s="952" t="s">
        <v>577</v>
      </c>
    </row>
    <row r="126">
      <c r="A126" s="952" t="s">
        <v>130</v>
      </c>
    </row>
    <row r="127">
      <c r="A127" s="952" t="s">
        <v>407</v>
      </c>
    </row>
    <row r="128">
      <c r="A128" s="952" t="s">
        <v>559</v>
      </c>
    </row>
    <row r="129">
      <c r="A129" s="952" t="s">
        <v>181</v>
      </c>
    </row>
    <row r="130">
      <c r="A130" s="952" t="s">
        <v>196</v>
      </c>
    </row>
    <row r="131">
      <c r="A131" s="952" t="s">
        <v>578</v>
      </c>
    </row>
    <row r="132">
      <c r="A132" s="952" t="s">
        <v>579</v>
      </c>
    </row>
    <row r="133">
      <c r="A133" s="952" t="s">
        <v>580</v>
      </c>
    </row>
    <row r="134">
      <c r="A134" s="952" t="s">
        <v>581</v>
      </c>
    </row>
    <row r="135">
      <c r="A135" s="952" t="s">
        <v>582</v>
      </c>
    </row>
    <row r="136">
      <c r="A136" s="952" t="s">
        <v>164</v>
      </c>
    </row>
    <row r="137">
      <c r="A137" s="952" t="s">
        <v>583</v>
      </c>
    </row>
    <row r="138">
      <c r="A138" s="952" t="s">
        <v>584</v>
      </c>
    </row>
    <row r="139">
      <c r="A139" s="952" t="s">
        <v>585</v>
      </c>
    </row>
    <row r="140">
      <c r="A140" s="952" t="s">
        <v>586</v>
      </c>
    </row>
    <row r="141">
      <c r="A141" s="945"/>
      <c r="B141" s="953">
        <v>45778.0</v>
      </c>
      <c r="C141" s="502"/>
      <c r="D141" s="502"/>
      <c r="E141" s="502"/>
      <c r="F141" s="502"/>
      <c r="G141" s="502"/>
      <c r="H141" s="502"/>
      <c r="I141" s="502"/>
      <c r="J141" s="502"/>
      <c r="K141" s="502"/>
      <c r="L141" s="502"/>
      <c r="M141" s="502"/>
      <c r="N141" s="502"/>
      <c r="O141" s="502"/>
      <c r="P141" s="502"/>
      <c r="Q141" s="502"/>
      <c r="R141" s="502"/>
      <c r="S141" s="502"/>
      <c r="T141" s="502"/>
      <c r="U141" s="502"/>
      <c r="V141" s="502"/>
      <c r="W141" s="502"/>
      <c r="X141" s="502"/>
      <c r="Y141" s="502"/>
      <c r="Z141" s="502"/>
      <c r="AA141" s="502"/>
      <c r="AB141" s="502"/>
      <c r="AC141" s="502"/>
      <c r="AD141" s="502"/>
      <c r="AE141" s="502"/>
      <c r="AF141" s="334"/>
    </row>
    <row r="142">
      <c r="A142" s="945"/>
      <c r="B142" s="954">
        <v>1.0</v>
      </c>
      <c r="C142" s="954">
        <v>2.0</v>
      </c>
      <c r="D142" s="954">
        <v>3.0</v>
      </c>
      <c r="E142" s="954">
        <v>4.0</v>
      </c>
      <c r="F142" s="954">
        <v>5.0</v>
      </c>
      <c r="G142" s="954">
        <v>6.0</v>
      </c>
      <c r="H142" s="954">
        <v>7.0</v>
      </c>
      <c r="I142" s="954">
        <v>8.0</v>
      </c>
      <c r="J142" s="954">
        <v>9.0</v>
      </c>
      <c r="K142" s="954">
        <v>10.0</v>
      </c>
      <c r="L142" s="954">
        <v>11.0</v>
      </c>
      <c r="M142" s="954">
        <v>12.0</v>
      </c>
      <c r="N142" s="954">
        <v>13.0</v>
      </c>
      <c r="O142" s="954">
        <v>14.0</v>
      </c>
      <c r="P142" s="954">
        <v>15.0</v>
      </c>
      <c r="Q142" s="954">
        <v>16.0</v>
      </c>
      <c r="R142" s="954">
        <v>17.0</v>
      </c>
      <c r="S142" s="954">
        <v>18.0</v>
      </c>
      <c r="T142" s="954">
        <v>19.0</v>
      </c>
      <c r="U142" s="954">
        <v>20.0</v>
      </c>
      <c r="V142" s="954">
        <v>21.0</v>
      </c>
      <c r="W142" s="954">
        <v>22.0</v>
      </c>
      <c r="X142" s="954">
        <v>23.0</v>
      </c>
      <c r="Y142" s="954">
        <v>24.0</v>
      </c>
      <c r="Z142" s="954">
        <v>25.0</v>
      </c>
      <c r="AA142" s="954">
        <v>26.0</v>
      </c>
      <c r="AB142" s="954">
        <v>27.0</v>
      </c>
      <c r="AC142" s="954">
        <v>28.0</v>
      </c>
      <c r="AD142" s="954">
        <v>29.0</v>
      </c>
      <c r="AE142" s="954">
        <v>30.0</v>
      </c>
      <c r="AF142" s="954">
        <v>31.0</v>
      </c>
    </row>
    <row r="143">
      <c r="A143" s="945"/>
      <c r="B143" s="955" t="s">
        <v>570</v>
      </c>
      <c r="C143" s="955" t="s">
        <v>571</v>
      </c>
      <c r="D143" s="955" t="s">
        <v>572</v>
      </c>
      <c r="E143" s="955" t="s">
        <v>573</v>
      </c>
      <c r="F143" s="955" t="s">
        <v>574</v>
      </c>
      <c r="G143" s="954" t="s">
        <v>575</v>
      </c>
      <c r="H143" s="954" t="s">
        <v>569</v>
      </c>
      <c r="I143" s="954" t="s">
        <v>570</v>
      </c>
      <c r="J143" s="954" t="s">
        <v>571</v>
      </c>
      <c r="K143" s="954" t="s">
        <v>572</v>
      </c>
      <c r="L143" s="954" t="s">
        <v>573</v>
      </c>
      <c r="M143" s="954" t="s">
        <v>574</v>
      </c>
      <c r="N143" s="954" t="s">
        <v>575</v>
      </c>
      <c r="O143" s="954" t="s">
        <v>569</v>
      </c>
      <c r="P143" s="954" t="s">
        <v>570</v>
      </c>
      <c r="Q143" s="954" t="s">
        <v>571</v>
      </c>
      <c r="R143" s="954" t="s">
        <v>572</v>
      </c>
      <c r="S143" s="954" t="s">
        <v>573</v>
      </c>
      <c r="T143" s="954" t="s">
        <v>574</v>
      </c>
      <c r="U143" s="954" t="s">
        <v>575</v>
      </c>
      <c r="V143" s="954" t="s">
        <v>569</v>
      </c>
      <c r="W143" s="954" t="s">
        <v>570</v>
      </c>
      <c r="X143" s="954" t="s">
        <v>571</v>
      </c>
      <c r="Y143" s="954" t="s">
        <v>572</v>
      </c>
      <c r="Z143" s="954" t="s">
        <v>573</v>
      </c>
      <c r="AA143" s="954" t="s">
        <v>574</v>
      </c>
      <c r="AB143" s="954" t="s">
        <v>575</v>
      </c>
      <c r="AC143" s="954" t="s">
        <v>569</v>
      </c>
      <c r="AD143" s="954" t="s">
        <v>570</v>
      </c>
      <c r="AE143" s="954" t="s">
        <v>571</v>
      </c>
      <c r="AF143" s="954" t="s">
        <v>572</v>
      </c>
    </row>
    <row r="144">
      <c r="A144" s="949" t="s">
        <v>576</v>
      </c>
      <c r="B144" s="659"/>
      <c r="C144" s="659"/>
      <c r="D144" s="659"/>
      <c r="E144" s="659"/>
      <c r="F144" s="659"/>
      <c r="G144" s="659"/>
      <c r="H144" s="659"/>
      <c r="I144" s="659"/>
      <c r="J144" s="659"/>
      <c r="K144" s="659"/>
      <c r="L144" s="659"/>
      <c r="M144" s="659"/>
      <c r="N144" s="659"/>
      <c r="O144" s="659"/>
      <c r="P144" s="659"/>
      <c r="Q144" s="659"/>
      <c r="R144" s="659"/>
      <c r="S144" s="659"/>
      <c r="T144" s="659"/>
      <c r="U144" s="659"/>
      <c r="V144" s="659"/>
      <c r="W144" s="659"/>
      <c r="X144" s="659"/>
      <c r="Y144" s="659"/>
      <c r="Z144" s="659"/>
      <c r="AA144" s="659"/>
      <c r="AB144" s="659"/>
      <c r="AC144" s="659"/>
      <c r="AD144" s="659"/>
      <c r="AE144" s="659"/>
      <c r="AF144" s="659"/>
    </row>
    <row r="145">
      <c r="A145" s="949" t="s">
        <v>171</v>
      </c>
      <c r="B145" s="659"/>
      <c r="C145" s="659"/>
      <c r="D145" s="659"/>
      <c r="E145" s="659"/>
      <c r="F145" s="659"/>
      <c r="G145" s="659"/>
      <c r="H145" s="659"/>
      <c r="I145" s="659"/>
      <c r="J145" s="659"/>
      <c r="K145" s="659"/>
      <c r="L145" s="659"/>
      <c r="M145" s="659"/>
      <c r="N145" s="659"/>
      <c r="O145" s="659"/>
      <c r="P145" s="659"/>
      <c r="Q145" s="659"/>
      <c r="R145" s="659"/>
      <c r="S145" s="659"/>
      <c r="T145" s="659"/>
      <c r="U145" s="659"/>
      <c r="V145" s="659"/>
      <c r="W145" s="659"/>
      <c r="X145" s="659"/>
      <c r="Y145" s="659"/>
      <c r="Z145" s="659"/>
      <c r="AA145" s="659"/>
      <c r="AB145" s="659"/>
      <c r="AC145" s="659"/>
      <c r="AD145" s="659"/>
      <c r="AE145" s="659"/>
      <c r="AF145" s="659"/>
    </row>
    <row r="146">
      <c r="A146" s="945" t="s">
        <v>176</v>
      </c>
      <c r="B146" s="659"/>
      <c r="C146" s="659"/>
      <c r="D146" s="659"/>
      <c r="E146" s="659"/>
      <c r="F146" s="659"/>
      <c r="G146" s="659"/>
      <c r="H146" s="659"/>
      <c r="I146" s="659"/>
      <c r="J146" s="659"/>
      <c r="K146" s="659"/>
      <c r="L146" s="659"/>
      <c r="M146" s="659"/>
      <c r="N146" s="659"/>
      <c r="O146" s="659"/>
      <c r="P146" s="659"/>
      <c r="Q146" s="659"/>
      <c r="R146" s="659"/>
      <c r="S146" s="659"/>
      <c r="T146" s="659"/>
      <c r="U146" s="659"/>
      <c r="V146" s="659"/>
      <c r="W146" s="659"/>
      <c r="X146" s="659"/>
      <c r="Y146" s="659"/>
      <c r="Z146" s="659"/>
      <c r="AA146" s="659"/>
      <c r="AB146" s="659"/>
      <c r="AC146" s="659"/>
      <c r="AD146" s="659"/>
      <c r="AE146" s="659"/>
      <c r="AF146" s="659"/>
    </row>
    <row r="147">
      <c r="A147" s="945" t="s">
        <v>113</v>
      </c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59"/>
      <c r="P147" s="659"/>
      <c r="Q147" s="659"/>
      <c r="R147" s="659"/>
      <c r="S147" s="659"/>
      <c r="T147" s="659"/>
      <c r="U147" s="659"/>
      <c r="V147" s="659"/>
      <c r="W147" s="659"/>
      <c r="X147" s="659"/>
      <c r="Y147" s="659"/>
      <c r="Z147" s="659"/>
      <c r="AA147" s="659"/>
      <c r="AB147" s="659"/>
      <c r="AC147" s="659"/>
      <c r="AD147" s="659"/>
      <c r="AE147" s="659"/>
      <c r="AF147" s="659"/>
    </row>
    <row r="148">
      <c r="A148" s="945" t="s">
        <v>246</v>
      </c>
      <c r="B148" s="659"/>
      <c r="C148" s="659"/>
      <c r="D148" s="659"/>
      <c r="E148" s="659"/>
      <c r="F148" s="659"/>
      <c r="G148" s="659"/>
      <c r="H148" s="659"/>
      <c r="I148" s="659"/>
      <c r="J148" s="659"/>
      <c r="K148" s="659"/>
      <c r="L148" s="659"/>
      <c r="M148" s="659"/>
      <c r="N148" s="659"/>
      <c r="O148" s="659"/>
      <c r="P148" s="659"/>
      <c r="Q148" s="659"/>
      <c r="R148" s="659"/>
      <c r="S148" s="659"/>
      <c r="T148" s="659"/>
      <c r="U148" s="659"/>
      <c r="V148" s="659"/>
      <c r="W148" s="659"/>
      <c r="X148" s="659"/>
      <c r="Y148" s="659"/>
      <c r="Z148" s="659"/>
      <c r="AA148" s="659"/>
      <c r="AB148" s="659"/>
      <c r="AC148" s="659"/>
      <c r="AD148" s="659"/>
      <c r="AE148" s="659"/>
      <c r="AF148" s="659"/>
    </row>
    <row r="149">
      <c r="A149" s="945" t="s">
        <v>208</v>
      </c>
      <c r="B149" s="659"/>
      <c r="C149" s="659"/>
      <c r="D149" s="659"/>
      <c r="E149" s="659"/>
      <c r="F149" s="659"/>
      <c r="G149" s="659"/>
      <c r="H149" s="659"/>
      <c r="I149" s="659"/>
      <c r="J149" s="659"/>
      <c r="K149" s="659"/>
      <c r="L149" s="659"/>
      <c r="M149" s="659"/>
      <c r="N149" s="659"/>
      <c r="O149" s="659"/>
      <c r="P149" s="659"/>
      <c r="Q149" s="659"/>
      <c r="R149" s="659"/>
      <c r="S149" s="659"/>
      <c r="T149" s="659"/>
      <c r="U149" s="659"/>
      <c r="V149" s="659"/>
      <c r="W149" s="659"/>
      <c r="X149" s="659"/>
      <c r="Y149" s="659"/>
      <c r="Z149" s="659"/>
      <c r="AA149" s="659"/>
      <c r="AB149" s="659"/>
      <c r="AC149" s="659"/>
      <c r="AD149" s="659"/>
      <c r="AE149" s="659"/>
      <c r="AF149" s="659"/>
    </row>
    <row r="150">
      <c r="A150" s="945" t="s">
        <v>107</v>
      </c>
      <c r="B150" s="659"/>
      <c r="C150" s="659"/>
      <c r="D150" s="659"/>
      <c r="E150" s="659"/>
      <c r="F150" s="659"/>
      <c r="G150" s="951"/>
      <c r="H150" s="659"/>
      <c r="I150" s="659"/>
      <c r="J150" s="659"/>
      <c r="K150" s="659"/>
      <c r="L150" s="659"/>
      <c r="M150" s="659"/>
      <c r="N150" s="659"/>
      <c r="O150" s="659"/>
      <c r="P150" s="659"/>
      <c r="Q150" s="659"/>
      <c r="R150" s="659"/>
      <c r="S150" s="659"/>
      <c r="T150" s="659"/>
      <c r="U150" s="659"/>
      <c r="V150" s="659"/>
      <c r="W150" s="659"/>
      <c r="X150" s="659"/>
      <c r="Y150" s="659"/>
      <c r="Z150" s="659"/>
      <c r="AA150" s="659"/>
      <c r="AB150" s="659"/>
      <c r="AC150" s="659"/>
      <c r="AD150" s="659"/>
      <c r="AE150" s="659"/>
      <c r="AF150" s="659"/>
    </row>
    <row r="151">
      <c r="A151" s="945" t="s">
        <v>203</v>
      </c>
      <c r="B151" s="659"/>
      <c r="C151" s="659"/>
      <c r="D151" s="659"/>
      <c r="E151" s="659"/>
      <c r="F151" s="659"/>
      <c r="G151" s="659"/>
      <c r="H151" s="659"/>
      <c r="I151" s="659"/>
      <c r="J151" s="659"/>
      <c r="K151" s="659"/>
      <c r="L151" s="659"/>
      <c r="M151" s="659"/>
      <c r="N151" s="659"/>
      <c r="O151" s="659"/>
      <c r="P151" s="659"/>
      <c r="Q151" s="659"/>
      <c r="R151" s="659"/>
      <c r="S151" s="659"/>
      <c r="T151" s="659"/>
      <c r="U151" s="659"/>
      <c r="V151" s="659"/>
      <c r="W151" s="659"/>
      <c r="X151" s="659"/>
      <c r="Y151" s="659"/>
      <c r="Z151" s="659"/>
      <c r="AA151" s="659"/>
      <c r="AB151" s="659"/>
      <c r="AC151" s="659"/>
      <c r="AD151" s="659"/>
      <c r="AE151" s="659"/>
      <c r="AF151" s="659"/>
    </row>
    <row r="152">
      <c r="A152" s="945" t="s">
        <v>337</v>
      </c>
      <c r="B152" s="659"/>
      <c r="C152" s="659"/>
      <c r="D152" s="659"/>
      <c r="E152" s="659"/>
      <c r="F152" s="659"/>
      <c r="G152" s="659"/>
      <c r="H152" s="659"/>
      <c r="I152" s="659"/>
      <c r="J152" s="659"/>
      <c r="K152" s="659"/>
      <c r="L152" s="659"/>
      <c r="M152" s="659"/>
      <c r="N152" s="659"/>
      <c r="O152" s="659"/>
      <c r="P152" s="659"/>
      <c r="Q152" s="659"/>
      <c r="R152" s="659"/>
      <c r="S152" s="659"/>
      <c r="T152" s="659"/>
      <c r="U152" s="659"/>
      <c r="V152" s="659"/>
      <c r="W152" s="659"/>
      <c r="X152" s="659"/>
      <c r="Y152" s="659"/>
      <c r="Z152" s="659"/>
      <c r="AA152" s="659"/>
      <c r="AB152" s="659"/>
      <c r="AC152" s="659"/>
      <c r="AD152" s="659"/>
      <c r="AE152" s="659"/>
      <c r="AF152" s="659"/>
    </row>
    <row r="153">
      <c r="A153" s="945" t="s">
        <v>278</v>
      </c>
      <c r="B153" s="659"/>
      <c r="C153" s="659"/>
      <c r="D153" s="659"/>
      <c r="E153" s="659"/>
      <c r="F153" s="659"/>
      <c r="G153" s="659"/>
      <c r="H153" s="659"/>
      <c r="I153" s="659"/>
      <c r="J153" s="659"/>
      <c r="K153" s="659"/>
      <c r="L153" s="659"/>
      <c r="M153" s="659"/>
      <c r="N153" s="659"/>
      <c r="O153" s="659"/>
      <c r="P153" s="659"/>
      <c r="Q153" s="659"/>
      <c r="R153" s="659"/>
      <c r="S153" s="659"/>
      <c r="T153" s="659"/>
      <c r="U153" s="659"/>
      <c r="V153" s="659"/>
      <c r="W153" s="659"/>
      <c r="X153" s="659"/>
      <c r="Y153" s="659"/>
      <c r="Z153" s="659"/>
      <c r="AA153" s="659"/>
      <c r="AB153" s="659"/>
      <c r="AC153" s="659"/>
      <c r="AD153" s="659"/>
      <c r="AE153" s="659"/>
      <c r="AF153" s="659"/>
    </row>
    <row r="154">
      <c r="A154" s="952" t="s">
        <v>435</v>
      </c>
      <c r="B154" s="893"/>
      <c r="C154" s="893"/>
      <c r="D154" s="893"/>
      <c r="E154" s="893"/>
      <c r="F154" s="893"/>
      <c r="G154" s="893"/>
      <c r="H154" s="893"/>
      <c r="I154" s="893"/>
      <c r="J154" s="893"/>
      <c r="K154" s="893"/>
      <c r="L154" s="893"/>
      <c r="M154" s="893"/>
      <c r="N154" s="893"/>
      <c r="O154" s="893"/>
      <c r="P154" s="893"/>
      <c r="Q154" s="893"/>
      <c r="R154" s="893"/>
      <c r="S154" s="893"/>
      <c r="T154" s="893"/>
      <c r="U154" s="893"/>
      <c r="V154" s="893"/>
      <c r="W154" s="893"/>
      <c r="X154" s="893"/>
      <c r="Y154" s="893"/>
      <c r="Z154" s="893"/>
      <c r="AA154" s="893"/>
      <c r="AB154" s="893"/>
      <c r="AC154" s="893"/>
      <c r="AD154" s="893"/>
      <c r="AE154" s="893"/>
      <c r="AF154" s="893"/>
    </row>
    <row r="155">
      <c r="A155" s="952" t="s">
        <v>230</v>
      </c>
    </row>
    <row r="156">
      <c r="A156" s="952" t="s">
        <v>429</v>
      </c>
    </row>
    <row r="157">
      <c r="A157" s="952" t="s">
        <v>100</v>
      </c>
    </row>
    <row r="158">
      <c r="A158" s="952" t="s">
        <v>558</v>
      </c>
    </row>
    <row r="159">
      <c r="A159" s="952" t="s">
        <v>290</v>
      </c>
    </row>
    <row r="160">
      <c r="A160" s="952" t="s">
        <v>577</v>
      </c>
    </row>
    <row r="161">
      <c r="A161" s="952" t="s">
        <v>130</v>
      </c>
    </row>
    <row r="162">
      <c r="A162" s="952" t="s">
        <v>407</v>
      </c>
    </row>
    <row r="163">
      <c r="A163" s="952" t="s">
        <v>559</v>
      </c>
    </row>
    <row r="164">
      <c r="A164" s="952" t="s">
        <v>181</v>
      </c>
    </row>
    <row r="165">
      <c r="A165" s="952" t="s">
        <v>196</v>
      </c>
    </row>
    <row r="166">
      <c r="A166" s="952" t="s">
        <v>578</v>
      </c>
    </row>
    <row r="167">
      <c r="A167" s="952" t="s">
        <v>579</v>
      </c>
    </row>
    <row r="168">
      <c r="A168" s="952" t="s">
        <v>580</v>
      </c>
    </row>
    <row r="169">
      <c r="A169" s="952" t="s">
        <v>581</v>
      </c>
    </row>
    <row r="170">
      <c r="A170" s="952" t="s">
        <v>582</v>
      </c>
    </row>
    <row r="171">
      <c r="A171" s="952" t="s">
        <v>164</v>
      </c>
    </row>
    <row r="172">
      <c r="A172" s="952" t="s">
        <v>583</v>
      </c>
    </row>
    <row r="173">
      <c r="A173" s="952" t="s">
        <v>584</v>
      </c>
    </row>
    <row r="174">
      <c r="A174" s="952" t="s">
        <v>585</v>
      </c>
    </row>
    <row r="175">
      <c r="A175" s="952" t="s">
        <v>586</v>
      </c>
    </row>
    <row r="177">
      <c r="A177" s="945"/>
      <c r="B177" s="953">
        <v>45809.0</v>
      </c>
      <c r="C177" s="502"/>
      <c r="D177" s="502"/>
      <c r="E177" s="502"/>
      <c r="F177" s="502"/>
      <c r="G177" s="502"/>
      <c r="H177" s="502"/>
      <c r="I177" s="502"/>
      <c r="J177" s="502"/>
      <c r="K177" s="502"/>
      <c r="L177" s="502"/>
      <c r="M177" s="502"/>
      <c r="N177" s="502"/>
      <c r="O177" s="502"/>
      <c r="P177" s="502"/>
      <c r="Q177" s="502"/>
      <c r="R177" s="502"/>
      <c r="S177" s="502"/>
      <c r="T177" s="502"/>
      <c r="U177" s="502"/>
      <c r="V177" s="502"/>
      <c r="W177" s="502"/>
      <c r="X177" s="502"/>
      <c r="Y177" s="502"/>
      <c r="Z177" s="502"/>
      <c r="AA177" s="502"/>
      <c r="AB177" s="502"/>
      <c r="AC177" s="502"/>
      <c r="AD177" s="502"/>
      <c r="AE177" s="502"/>
      <c r="AF177" s="334"/>
    </row>
    <row r="178">
      <c r="A178" s="945"/>
      <c r="B178" s="954">
        <v>1.0</v>
      </c>
      <c r="C178" s="954">
        <v>2.0</v>
      </c>
      <c r="D178" s="954">
        <v>3.0</v>
      </c>
      <c r="E178" s="954">
        <v>4.0</v>
      </c>
      <c r="F178" s="954">
        <v>5.0</v>
      </c>
      <c r="G178" s="954">
        <v>6.0</v>
      </c>
      <c r="H178" s="954">
        <v>7.0</v>
      </c>
      <c r="I178" s="954">
        <v>8.0</v>
      </c>
      <c r="J178" s="954">
        <v>9.0</v>
      </c>
      <c r="K178" s="954">
        <v>10.0</v>
      </c>
      <c r="L178" s="954">
        <v>11.0</v>
      </c>
      <c r="M178" s="954">
        <v>12.0</v>
      </c>
      <c r="N178" s="954">
        <v>13.0</v>
      </c>
      <c r="O178" s="954">
        <v>14.0</v>
      </c>
      <c r="P178" s="954">
        <v>15.0</v>
      </c>
      <c r="Q178" s="954">
        <v>16.0</v>
      </c>
      <c r="R178" s="954">
        <v>17.0</v>
      </c>
      <c r="S178" s="954">
        <v>18.0</v>
      </c>
      <c r="T178" s="954">
        <v>19.0</v>
      </c>
      <c r="U178" s="954">
        <v>20.0</v>
      </c>
      <c r="V178" s="954">
        <v>21.0</v>
      </c>
      <c r="W178" s="954">
        <v>22.0</v>
      </c>
      <c r="X178" s="954">
        <v>23.0</v>
      </c>
      <c r="Y178" s="954">
        <v>24.0</v>
      </c>
      <c r="Z178" s="954">
        <v>25.0</v>
      </c>
      <c r="AA178" s="954">
        <v>26.0</v>
      </c>
      <c r="AB178" s="954">
        <v>27.0</v>
      </c>
      <c r="AC178" s="954">
        <v>28.0</v>
      </c>
      <c r="AD178" s="954">
        <v>29.0</v>
      </c>
      <c r="AE178" s="954">
        <v>30.0</v>
      </c>
      <c r="AF178" s="954">
        <v>31.0</v>
      </c>
    </row>
    <row r="179">
      <c r="A179" s="945"/>
      <c r="B179" s="954" t="s">
        <v>573</v>
      </c>
      <c r="C179" s="954" t="s">
        <v>574</v>
      </c>
      <c r="D179" s="954" t="s">
        <v>575</v>
      </c>
      <c r="E179" s="954" t="s">
        <v>569</v>
      </c>
      <c r="F179" s="954" t="s">
        <v>570</v>
      </c>
      <c r="G179" s="954" t="s">
        <v>571</v>
      </c>
      <c r="H179" s="954" t="s">
        <v>572</v>
      </c>
      <c r="I179" s="954" t="s">
        <v>573</v>
      </c>
      <c r="J179" s="954" t="s">
        <v>574</v>
      </c>
      <c r="K179" s="954" t="s">
        <v>575</v>
      </c>
      <c r="L179" s="954" t="s">
        <v>569</v>
      </c>
      <c r="M179" s="954" t="s">
        <v>570</v>
      </c>
      <c r="N179" s="954" t="s">
        <v>571</v>
      </c>
      <c r="O179" s="954" t="s">
        <v>572</v>
      </c>
      <c r="P179" s="954" t="s">
        <v>573</v>
      </c>
      <c r="Q179" s="954" t="s">
        <v>574</v>
      </c>
      <c r="R179" s="954" t="s">
        <v>575</v>
      </c>
      <c r="S179" s="954" t="s">
        <v>569</v>
      </c>
      <c r="T179" s="954" t="s">
        <v>570</v>
      </c>
      <c r="U179" s="954" t="s">
        <v>571</v>
      </c>
      <c r="V179" s="954" t="s">
        <v>572</v>
      </c>
      <c r="W179" s="954" t="s">
        <v>573</v>
      </c>
      <c r="X179" s="954" t="s">
        <v>574</v>
      </c>
      <c r="Y179" s="954" t="s">
        <v>575</v>
      </c>
      <c r="Z179" s="954" t="s">
        <v>569</v>
      </c>
      <c r="AA179" s="954" t="s">
        <v>570</v>
      </c>
      <c r="AB179" s="954" t="s">
        <v>571</v>
      </c>
      <c r="AC179" s="954" t="s">
        <v>572</v>
      </c>
      <c r="AD179" s="954" t="s">
        <v>573</v>
      </c>
      <c r="AE179" s="954" t="s">
        <v>574</v>
      </c>
      <c r="AF179" s="954" t="s">
        <v>575</v>
      </c>
    </row>
    <row r="180">
      <c r="A180" s="949" t="s">
        <v>576</v>
      </c>
      <c r="B180" s="659"/>
      <c r="C180" s="659"/>
      <c r="D180" s="659"/>
      <c r="E180" s="659"/>
      <c r="F180" s="659"/>
      <c r="G180" s="659"/>
      <c r="H180" s="659"/>
      <c r="I180" s="659"/>
      <c r="J180" s="659"/>
      <c r="K180" s="659"/>
      <c r="L180" s="659"/>
      <c r="M180" s="659"/>
      <c r="N180" s="659"/>
      <c r="O180" s="659"/>
      <c r="P180" s="659"/>
      <c r="Q180" s="659"/>
      <c r="R180" s="659"/>
      <c r="S180" s="659"/>
      <c r="T180" s="659"/>
      <c r="U180" s="659"/>
      <c r="V180" s="659"/>
      <c r="W180" s="659"/>
      <c r="X180" s="659"/>
      <c r="Y180" s="659"/>
      <c r="Z180" s="659"/>
      <c r="AA180" s="659"/>
      <c r="AB180" s="659"/>
      <c r="AC180" s="659"/>
      <c r="AD180" s="659"/>
      <c r="AE180" s="659"/>
      <c r="AF180" s="659"/>
    </row>
    <row r="181">
      <c r="A181" s="949" t="s">
        <v>171</v>
      </c>
      <c r="B181" s="659"/>
      <c r="C181" s="659"/>
      <c r="D181" s="659"/>
      <c r="E181" s="659"/>
      <c r="F181" s="659"/>
      <c r="G181" s="659"/>
      <c r="H181" s="659"/>
      <c r="I181" s="659"/>
      <c r="J181" s="659"/>
      <c r="K181" s="659"/>
      <c r="L181" s="659"/>
      <c r="M181" s="659"/>
      <c r="N181" s="659"/>
      <c r="O181" s="659"/>
      <c r="P181" s="659"/>
      <c r="Q181" s="659"/>
      <c r="R181" s="659"/>
      <c r="S181" s="659"/>
      <c r="T181" s="659"/>
      <c r="U181" s="659"/>
      <c r="V181" s="659"/>
      <c r="W181" s="659"/>
      <c r="X181" s="659"/>
      <c r="Y181" s="659"/>
      <c r="Z181" s="659"/>
      <c r="AA181" s="659"/>
      <c r="AB181" s="659"/>
      <c r="AC181" s="659"/>
      <c r="AD181" s="659"/>
      <c r="AE181" s="659"/>
      <c r="AF181" s="659"/>
    </row>
    <row r="182">
      <c r="A182" s="945" t="s">
        <v>176</v>
      </c>
      <c r="B182" s="659"/>
      <c r="C182" s="659"/>
      <c r="D182" s="659"/>
      <c r="E182" s="659"/>
      <c r="F182" s="659"/>
      <c r="G182" s="659"/>
      <c r="H182" s="659"/>
      <c r="I182" s="659"/>
      <c r="J182" s="659"/>
      <c r="K182" s="659"/>
      <c r="L182" s="659"/>
      <c r="M182" s="659"/>
      <c r="N182" s="659"/>
      <c r="O182" s="659"/>
      <c r="P182" s="659"/>
      <c r="Q182" s="659"/>
      <c r="R182" s="659"/>
      <c r="S182" s="659"/>
      <c r="T182" s="659"/>
      <c r="U182" s="659"/>
      <c r="V182" s="659"/>
      <c r="W182" s="659"/>
      <c r="X182" s="659"/>
      <c r="Y182" s="659"/>
      <c r="Z182" s="659"/>
      <c r="AA182" s="659"/>
      <c r="AB182" s="659"/>
      <c r="AC182" s="659"/>
      <c r="AD182" s="659"/>
      <c r="AE182" s="659"/>
      <c r="AF182" s="659"/>
    </row>
    <row r="183">
      <c r="A183" s="945" t="s">
        <v>113</v>
      </c>
      <c r="B183" s="659"/>
      <c r="C183" s="659"/>
      <c r="D183" s="659"/>
      <c r="E183" s="659"/>
      <c r="F183" s="659"/>
      <c r="G183" s="659"/>
      <c r="H183" s="659"/>
      <c r="I183" s="659"/>
      <c r="J183" s="659"/>
      <c r="K183" s="659"/>
      <c r="L183" s="659"/>
      <c r="M183" s="659"/>
      <c r="N183" s="659"/>
      <c r="O183" s="659"/>
      <c r="P183" s="659"/>
      <c r="Q183" s="659"/>
      <c r="R183" s="659"/>
      <c r="S183" s="659"/>
      <c r="T183" s="659"/>
      <c r="U183" s="659"/>
      <c r="V183" s="659"/>
      <c r="W183" s="659"/>
      <c r="X183" s="659"/>
      <c r="Y183" s="659"/>
      <c r="Z183" s="659"/>
      <c r="AA183" s="659"/>
      <c r="AB183" s="659"/>
      <c r="AC183" s="659"/>
      <c r="AD183" s="659"/>
      <c r="AE183" s="659"/>
      <c r="AF183" s="659"/>
    </row>
    <row r="184">
      <c r="A184" s="945" t="s">
        <v>246</v>
      </c>
      <c r="B184" s="659"/>
      <c r="C184" s="659"/>
      <c r="D184" s="659"/>
      <c r="E184" s="659"/>
      <c r="F184" s="659"/>
      <c r="G184" s="659"/>
      <c r="H184" s="659"/>
      <c r="I184" s="659"/>
      <c r="J184" s="659"/>
      <c r="K184" s="659"/>
      <c r="L184" s="659"/>
      <c r="M184" s="659"/>
      <c r="N184" s="659"/>
      <c r="O184" s="659"/>
      <c r="P184" s="659"/>
      <c r="Q184" s="659"/>
      <c r="R184" s="659"/>
      <c r="S184" s="659"/>
      <c r="T184" s="659"/>
      <c r="U184" s="659"/>
      <c r="V184" s="659"/>
      <c r="W184" s="659"/>
      <c r="X184" s="659"/>
      <c r="Y184" s="659"/>
      <c r="Z184" s="659"/>
      <c r="AA184" s="659"/>
      <c r="AB184" s="659"/>
      <c r="AC184" s="659"/>
      <c r="AD184" s="659"/>
      <c r="AE184" s="659"/>
      <c r="AF184" s="659"/>
    </row>
    <row r="185">
      <c r="A185" s="945" t="s">
        <v>208</v>
      </c>
      <c r="B185" s="659"/>
      <c r="C185" s="659"/>
      <c r="D185" s="659"/>
      <c r="E185" s="659"/>
      <c r="F185" s="659"/>
      <c r="G185" s="659"/>
      <c r="H185" s="659"/>
      <c r="I185" s="659"/>
      <c r="J185" s="659"/>
      <c r="K185" s="659"/>
      <c r="L185" s="659"/>
      <c r="M185" s="659"/>
      <c r="N185" s="659"/>
      <c r="O185" s="659"/>
      <c r="P185" s="659"/>
      <c r="Q185" s="659"/>
      <c r="R185" s="659"/>
      <c r="S185" s="659"/>
      <c r="T185" s="659"/>
      <c r="U185" s="659"/>
      <c r="V185" s="659"/>
      <c r="W185" s="659"/>
      <c r="X185" s="659"/>
      <c r="Y185" s="659"/>
      <c r="Z185" s="659"/>
      <c r="AA185" s="659"/>
      <c r="AB185" s="659"/>
      <c r="AC185" s="659"/>
      <c r="AD185" s="659"/>
      <c r="AE185" s="659"/>
      <c r="AF185" s="659"/>
    </row>
    <row r="186">
      <c r="A186" s="945" t="s">
        <v>107</v>
      </c>
      <c r="B186" s="659"/>
      <c r="C186" s="659"/>
      <c r="D186" s="659"/>
      <c r="E186" s="659"/>
      <c r="F186" s="659"/>
      <c r="G186" s="951"/>
      <c r="H186" s="659"/>
      <c r="I186" s="659"/>
      <c r="J186" s="659"/>
      <c r="K186" s="659"/>
      <c r="L186" s="659"/>
      <c r="M186" s="659"/>
      <c r="N186" s="659"/>
      <c r="O186" s="659"/>
      <c r="P186" s="659"/>
      <c r="Q186" s="659"/>
      <c r="R186" s="659"/>
      <c r="S186" s="659"/>
      <c r="T186" s="659"/>
      <c r="U186" s="659"/>
      <c r="V186" s="659"/>
      <c r="W186" s="659"/>
      <c r="X186" s="659"/>
      <c r="Y186" s="659"/>
      <c r="Z186" s="659"/>
      <c r="AA186" s="659"/>
      <c r="AB186" s="659"/>
      <c r="AC186" s="659"/>
      <c r="AD186" s="659"/>
      <c r="AE186" s="659"/>
      <c r="AF186" s="659"/>
    </row>
    <row r="187">
      <c r="A187" s="945" t="s">
        <v>203</v>
      </c>
      <c r="B187" s="659"/>
      <c r="C187" s="659"/>
      <c r="D187" s="659"/>
      <c r="E187" s="659"/>
      <c r="F187" s="659"/>
      <c r="G187" s="659"/>
      <c r="H187" s="659"/>
      <c r="I187" s="659"/>
      <c r="J187" s="659"/>
      <c r="K187" s="659"/>
      <c r="L187" s="659"/>
      <c r="M187" s="659"/>
      <c r="N187" s="659"/>
      <c r="O187" s="659"/>
      <c r="P187" s="659"/>
      <c r="Q187" s="659"/>
      <c r="R187" s="659"/>
      <c r="S187" s="659"/>
      <c r="T187" s="659"/>
      <c r="U187" s="659"/>
      <c r="V187" s="659"/>
      <c r="W187" s="659"/>
      <c r="X187" s="659"/>
      <c r="Y187" s="659"/>
      <c r="Z187" s="659"/>
      <c r="AA187" s="659"/>
      <c r="AB187" s="659"/>
      <c r="AC187" s="659"/>
      <c r="AD187" s="659"/>
      <c r="AE187" s="659"/>
      <c r="AF187" s="659"/>
    </row>
    <row r="188">
      <c r="A188" s="945" t="s">
        <v>337</v>
      </c>
      <c r="B188" s="659"/>
      <c r="C188" s="659"/>
      <c r="D188" s="659"/>
      <c r="E188" s="659"/>
      <c r="F188" s="659"/>
      <c r="G188" s="659"/>
      <c r="H188" s="659"/>
      <c r="I188" s="659"/>
      <c r="J188" s="659"/>
      <c r="K188" s="659"/>
      <c r="L188" s="659"/>
      <c r="M188" s="659"/>
      <c r="N188" s="659"/>
      <c r="O188" s="659"/>
      <c r="P188" s="659"/>
      <c r="Q188" s="659"/>
      <c r="R188" s="659"/>
      <c r="S188" s="659"/>
      <c r="T188" s="659"/>
      <c r="U188" s="659"/>
      <c r="V188" s="659"/>
      <c r="W188" s="659"/>
      <c r="X188" s="659"/>
      <c r="Y188" s="659"/>
      <c r="Z188" s="659"/>
      <c r="AA188" s="659"/>
      <c r="AB188" s="659"/>
      <c r="AC188" s="659"/>
      <c r="AD188" s="659"/>
      <c r="AE188" s="659"/>
      <c r="AF188" s="659"/>
    </row>
    <row r="189">
      <c r="A189" s="945" t="s">
        <v>278</v>
      </c>
      <c r="B189" s="659"/>
      <c r="C189" s="659"/>
      <c r="D189" s="659"/>
      <c r="E189" s="659"/>
      <c r="F189" s="659"/>
      <c r="G189" s="659"/>
      <c r="H189" s="659"/>
      <c r="I189" s="659"/>
      <c r="J189" s="659"/>
      <c r="K189" s="659"/>
      <c r="L189" s="659"/>
      <c r="M189" s="659"/>
      <c r="N189" s="659"/>
      <c r="O189" s="659"/>
      <c r="P189" s="659"/>
      <c r="Q189" s="659"/>
      <c r="R189" s="659"/>
      <c r="S189" s="659"/>
      <c r="T189" s="659"/>
      <c r="U189" s="659"/>
      <c r="V189" s="659"/>
      <c r="W189" s="659"/>
      <c r="X189" s="659"/>
      <c r="Y189" s="659"/>
      <c r="Z189" s="659"/>
      <c r="AA189" s="659"/>
      <c r="AB189" s="659"/>
      <c r="AC189" s="659"/>
      <c r="AD189" s="659"/>
      <c r="AE189" s="659"/>
      <c r="AF189" s="659"/>
    </row>
    <row r="190">
      <c r="A190" s="952" t="s">
        <v>435</v>
      </c>
      <c r="B190" s="893"/>
      <c r="C190" s="893"/>
      <c r="D190" s="893"/>
      <c r="E190" s="893"/>
      <c r="F190" s="893"/>
      <c r="G190" s="893"/>
      <c r="H190" s="893"/>
      <c r="I190" s="893"/>
      <c r="J190" s="893"/>
      <c r="K190" s="893"/>
      <c r="L190" s="893"/>
      <c r="M190" s="893"/>
      <c r="N190" s="893"/>
      <c r="O190" s="893"/>
      <c r="P190" s="893"/>
      <c r="Q190" s="893"/>
      <c r="R190" s="893"/>
      <c r="S190" s="893"/>
      <c r="T190" s="893"/>
      <c r="U190" s="893"/>
      <c r="V190" s="893"/>
      <c r="W190" s="893"/>
      <c r="X190" s="893"/>
      <c r="Y190" s="893"/>
      <c r="Z190" s="893"/>
      <c r="AA190" s="893"/>
      <c r="AB190" s="893"/>
      <c r="AC190" s="893"/>
      <c r="AD190" s="893"/>
      <c r="AE190" s="893"/>
      <c r="AF190" s="893"/>
    </row>
    <row r="191">
      <c r="A191" s="952" t="s">
        <v>230</v>
      </c>
    </row>
    <row r="192">
      <c r="A192" s="952" t="s">
        <v>429</v>
      </c>
    </row>
    <row r="193">
      <c r="A193" s="952" t="s">
        <v>100</v>
      </c>
    </row>
    <row r="194">
      <c r="A194" s="952" t="s">
        <v>558</v>
      </c>
    </row>
    <row r="195">
      <c r="A195" s="952" t="s">
        <v>290</v>
      </c>
      <c r="H195" s="900"/>
    </row>
    <row r="196">
      <c r="A196" s="952" t="s">
        <v>577</v>
      </c>
    </row>
    <row r="197">
      <c r="A197" s="952" t="s">
        <v>130</v>
      </c>
    </row>
    <row r="198">
      <c r="A198" s="952" t="s">
        <v>407</v>
      </c>
    </row>
    <row r="199">
      <c r="A199" s="952" t="s">
        <v>559</v>
      </c>
    </row>
    <row r="200">
      <c r="A200" s="952" t="s">
        <v>181</v>
      </c>
    </row>
    <row r="201">
      <c r="A201" s="952" t="s">
        <v>196</v>
      </c>
    </row>
    <row r="202">
      <c r="A202" s="952" t="s">
        <v>578</v>
      </c>
    </row>
    <row r="203">
      <c r="A203" s="952" t="s">
        <v>579</v>
      </c>
    </row>
    <row r="204">
      <c r="A204" s="952" t="s">
        <v>580</v>
      </c>
    </row>
    <row r="205">
      <c r="A205" s="952" t="s">
        <v>581</v>
      </c>
    </row>
    <row r="206">
      <c r="A206" s="952" t="s">
        <v>582</v>
      </c>
    </row>
    <row r="207">
      <c r="A207" s="952" t="s">
        <v>164</v>
      </c>
    </row>
    <row r="208">
      <c r="A208" s="952" t="s">
        <v>583</v>
      </c>
    </row>
    <row r="209">
      <c r="A209" s="952" t="s">
        <v>584</v>
      </c>
    </row>
    <row r="210">
      <c r="A210" s="952" t="s">
        <v>585</v>
      </c>
    </row>
    <row r="211">
      <c r="A211" s="952" t="s">
        <v>586</v>
      </c>
    </row>
  </sheetData>
  <mergeCells count="8">
    <mergeCell ref="B1:AF1"/>
    <mergeCell ref="Y7:AF7"/>
    <mergeCell ref="B36:AF36"/>
    <mergeCell ref="B42:C42"/>
    <mergeCell ref="B71:AF71"/>
    <mergeCell ref="B106:AF106"/>
    <mergeCell ref="B141:AF141"/>
    <mergeCell ref="B177:AF177"/>
  </mergeCell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21.57"/>
    <col customWidth="1" min="3" max="7" width="14.43"/>
    <col customWidth="1" min="9" max="9" width="28.71"/>
  </cols>
  <sheetData>
    <row r="1" ht="32.25" customHeight="1">
      <c r="A1" s="889"/>
      <c r="B1" s="956" t="s">
        <v>550</v>
      </c>
      <c r="I1" s="956" t="s">
        <v>560</v>
      </c>
    </row>
    <row r="2" ht="32.25" customHeight="1">
      <c r="A2" s="894"/>
      <c r="B2" s="957" t="s">
        <v>551</v>
      </c>
      <c r="C2" s="958" t="s">
        <v>552</v>
      </c>
      <c r="D2" s="958" t="s">
        <v>553</v>
      </c>
      <c r="E2" s="958" t="s">
        <v>554</v>
      </c>
      <c r="F2" s="958" t="s">
        <v>555</v>
      </c>
      <c r="G2" s="958" t="s">
        <v>556</v>
      </c>
      <c r="I2" s="957" t="s">
        <v>551</v>
      </c>
      <c r="J2" s="958" t="s">
        <v>552</v>
      </c>
      <c r="K2" s="958" t="s">
        <v>553</v>
      </c>
      <c r="L2" s="958" t="s">
        <v>554</v>
      </c>
      <c r="M2" s="958" t="s">
        <v>555</v>
      </c>
      <c r="N2" s="958" t="s">
        <v>556</v>
      </c>
    </row>
    <row r="3">
      <c r="A3" s="897">
        <v>1.0</v>
      </c>
      <c r="B3" s="907" t="s">
        <v>587</v>
      </c>
      <c r="C3" s="901"/>
      <c r="D3" s="901"/>
      <c r="E3" s="959"/>
      <c r="F3" s="899"/>
      <c r="G3" s="901"/>
      <c r="I3" s="926" t="s">
        <v>561</v>
      </c>
      <c r="J3" s="929"/>
      <c r="K3" s="929"/>
      <c r="L3" s="938"/>
      <c r="M3" s="929"/>
      <c r="N3" s="899"/>
    </row>
    <row r="4">
      <c r="A4" s="897">
        <v>2.0</v>
      </c>
      <c r="B4" s="910" t="s">
        <v>196</v>
      </c>
      <c r="C4" s="899"/>
      <c r="D4" s="901"/>
      <c r="E4" s="901"/>
      <c r="F4" s="901"/>
      <c r="G4" s="959"/>
      <c r="I4" s="926" t="s">
        <v>588</v>
      </c>
      <c r="J4" s="929"/>
      <c r="K4" s="899"/>
      <c r="L4" s="929"/>
      <c r="M4" s="938"/>
      <c r="N4" s="929"/>
    </row>
    <row r="5">
      <c r="A5" s="897">
        <v>3.0</v>
      </c>
      <c r="B5" s="910" t="s">
        <v>181</v>
      </c>
      <c r="C5" s="901"/>
      <c r="D5" s="899"/>
      <c r="E5" s="901"/>
      <c r="F5" s="901"/>
      <c r="G5" s="959"/>
      <c r="I5" s="937" t="s">
        <v>346</v>
      </c>
      <c r="J5" s="929"/>
      <c r="K5" s="929"/>
      <c r="L5" s="899"/>
      <c r="M5" s="929"/>
      <c r="N5" s="938"/>
    </row>
    <row r="6">
      <c r="A6" s="897">
        <v>4.0</v>
      </c>
      <c r="B6" s="910" t="s">
        <v>584</v>
      </c>
      <c r="C6" s="901"/>
      <c r="D6" s="959"/>
      <c r="E6" s="899"/>
      <c r="F6" s="901"/>
      <c r="G6" s="901"/>
      <c r="I6" s="928" t="s">
        <v>589</v>
      </c>
      <c r="J6" s="929"/>
      <c r="K6" s="929"/>
      <c r="L6" s="929"/>
      <c r="M6" s="899"/>
      <c r="N6" s="938"/>
    </row>
    <row r="7">
      <c r="A7" s="897">
        <v>5.0</v>
      </c>
      <c r="B7" s="910" t="s">
        <v>583</v>
      </c>
      <c r="C7" s="901"/>
      <c r="D7" s="899"/>
      <c r="E7" s="959"/>
      <c r="F7" s="901"/>
      <c r="G7" s="901"/>
      <c r="I7" s="956" t="s">
        <v>562</v>
      </c>
    </row>
    <row r="8">
      <c r="A8" s="897">
        <v>6.0</v>
      </c>
      <c r="B8" s="910" t="s">
        <v>590</v>
      </c>
      <c r="C8" s="901"/>
      <c r="D8" s="959"/>
      <c r="E8" s="899"/>
      <c r="F8" s="901"/>
      <c r="G8" s="901"/>
    </row>
    <row r="9">
      <c r="A9" s="897">
        <v>7.0</v>
      </c>
      <c r="B9" s="910" t="s">
        <v>164</v>
      </c>
      <c r="C9" s="901"/>
      <c r="D9" s="901"/>
      <c r="E9" s="908"/>
      <c r="F9" s="899"/>
      <c r="G9" s="901"/>
      <c r="I9" s="960" t="s">
        <v>551</v>
      </c>
      <c r="J9" s="961" t="s">
        <v>552</v>
      </c>
      <c r="K9" s="961" t="s">
        <v>553</v>
      </c>
      <c r="L9" s="961" t="s">
        <v>554</v>
      </c>
      <c r="M9" s="961" t="s">
        <v>555</v>
      </c>
      <c r="N9" s="961" t="s">
        <v>556</v>
      </c>
    </row>
    <row r="10">
      <c r="A10" s="897">
        <v>8.0</v>
      </c>
      <c r="B10" s="910" t="s">
        <v>591</v>
      </c>
      <c r="C10" s="901"/>
      <c r="D10" s="901"/>
      <c r="E10" s="901"/>
      <c r="F10" s="901"/>
      <c r="G10" s="908"/>
      <c r="I10" s="827"/>
      <c r="J10" s="827"/>
      <c r="K10" s="827"/>
      <c r="L10" s="827"/>
      <c r="M10" s="827"/>
      <c r="N10" s="827"/>
    </row>
    <row r="11">
      <c r="A11" s="897">
        <v>9.0</v>
      </c>
      <c r="B11" s="910" t="s">
        <v>580</v>
      </c>
      <c r="C11" s="901"/>
      <c r="D11" s="901"/>
      <c r="E11" s="899"/>
      <c r="F11" s="959"/>
      <c r="G11" s="901"/>
      <c r="I11" s="926" t="s">
        <v>55</v>
      </c>
      <c r="J11" s="929"/>
      <c r="K11" s="903"/>
      <c r="L11" s="938"/>
      <c r="M11" s="929"/>
      <c r="N11" s="929"/>
    </row>
    <row r="12">
      <c r="A12" s="897">
        <v>10.0</v>
      </c>
      <c r="B12" s="910" t="s">
        <v>577</v>
      </c>
      <c r="C12" s="901"/>
      <c r="D12" s="901"/>
      <c r="E12" s="901"/>
      <c r="F12" s="899"/>
      <c r="G12" s="959"/>
      <c r="I12" s="937" t="s">
        <v>564</v>
      </c>
      <c r="J12" s="929"/>
      <c r="K12" s="929"/>
      <c r="L12" s="929"/>
      <c r="M12" s="929"/>
      <c r="N12" s="927"/>
    </row>
    <row r="13">
      <c r="A13" s="897">
        <v>11.0</v>
      </c>
      <c r="B13" s="910" t="s">
        <v>435</v>
      </c>
      <c r="C13" s="901"/>
      <c r="D13" s="901"/>
      <c r="E13" s="899"/>
      <c r="F13" s="959"/>
      <c r="G13" s="901"/>
      <c r="I13" s="926" t="s">
        <v>563</v>
      </c>
      <c r="J13" s="929"/>
      <c r="K13" s="938"/>
      <c r="L13" s="929"/>
      <c r="M13" s="903"/>
      <c r="N13" s="929"/>
    </row>
    <row r="14">
      <c r="A14" s="897">
        <v>12.0</v>
      </c>
      <c r="B14" s="910" t="s">
        <v>100</v>
      </c>
      <c r="C14" s="901"/>
      <c r="D14" s="899"/>
      <c r="E14" s="959"/>
      <c r="F14" s="901"/>
      <c r="G14" s="901"/>
      <c r="I14" s="926" t="s">
        <v>382</v>
      </c>
      <c r="J14" s="929"/>
      <c r="K14" s="929"/>
      <c r="L14" s="929"/>
      <c r="M14" s="929"/>
      <c r="N14" s="927"/>
    </row>
    <row r="15">
      <c r="A15" s="897">
        <v>13.0</v>
      </c>
      <c r="B15" s="910" t="s">
        <v>230</v>
      </c>
      <c r="C15" s="901"/>
      <c r="D15" s="901"/>
      <c r="E15" s="901"/>
      <c r="F15" s="959"/>
      <c r="G15" s="899"/>
      <c r="I15" s="926" t="s">
        <v>37</v>
      </c>
      <c r="J15" s="929"/>
      <c r="K15" s="929"/>
      <c r="L15" s="903"/>
      <c r="M15" s="938"/>
      <c r="N15" s="929"/>
    </row>
    <row r="16">
      <c r="A16" s="897">
        <v>14.0</v>
      </c>
      <c r="B16" s="910" t="s">
        <v>558</v>
      </c>
      <c r="C16" s="901"/>
      <c r="D16" s="901"/>
      <c r="E16" s="901"/>
      <c r="F16" s="959"/>
      <c r="G16" s="899"/>
      <c r="I16" s="926" t="s">
        <v>565</v>
      </c>
      <c r="J16" s="929"/>
      <c r="K16" s="929"/>
      <c r="L16" s="903"/>
      <c r="M16" s="938"/>
      <c r="N16" s="929"/>
    </row>
    <row r="17">
      <c r="A17" s="897">
        <v>15.0</v>
      </c>
      <c r="B17" s="910" t="s">
        <v>579</v>
      </c>
      <c r="C17" s="901"/>
      <c r="D17" s="959"/>
      <c r="E17" s="901"/>
      <c r="F17" s="899"/>
      <c r="G17" s="901"/>
      <c r="I17" s="926" t="s">
        <v>408</v>
      </c>
      <c r="J17" s="929"/>
      <c r="K17" s="903"/>
      <c r="L17" s="938"/>
      <c r="M17" s="929"/>
      <c r="N17" s="929"/>
    </row>
    <row r="18">
      <c r="A18" s="897">
        <v>16.0</v>
      </c>
      <c r="B18" s="910" t="s">
        <v>407</v>
      </c>
      <c r="C18" s="959"/>
      <c r="D18" s="901"/>
      <c r="E18" s="899"/>
      <c r="F18" s="901"/>
      <c r="G18" s="901"/>
      <c r="I18" s="926"/>
      <c r="J18" s="929"/>
      <c r="K18" s="929"/>
      <c r="L18" s="929"/>
      <c r="M18" s="903"/>
      <c r="N18" s="929"/>
    </row>
    <row r="19">
      <c r="A19" s="897">
        <v>17.0</v>
      </c>
      <c r="B19" s="910" t="s">
        <v>429</v>
      </c>
      <c r="C19" s="959"/>
      <c r="D19" s="901"/>
      <c r="E19" s="901"/>
      <c r="F19" s="901"/>
      <c r="G19" s="899"/>
      <c r="I19" s="956" t="s">
        <v>567</v>
      </c>
    </row>
    <row r="20">
      <c r="A20" s="897">
        <v>18.0</v>
      </c>
      <c r="B20" s="910" t="s">
        <v>576</v>
      </c>
      <c r="C20" s="901"/>
      <c r="D20" s="901"/>
      <c r="E20" s="959"/>
      <c r="F20" s="899"/>
      <c r="G20" s="901"/>
    </row>
    <row r="21">
      <c r="A21" s="897">
        <v>19.0</v>
      </c>
      <c r="B21" s="910" t="s">
        <v>592</v>
      </c>
      <c r="C21" s="901"/>
      <c r="D21" s="899"/>
      <c r="E21" s="901"/>
      <c r="F21" s="959"/>
      <c r="G21" s="901"/>
      <c r="I21" s="960" t="s">
        <v>551</v>
      </c>
      <c r="J21" s="961" t="s">
        <v>552</v>
      </c>
      <c r="K21" s="961" t="s">
        <v>553</v>
      </c>
      <c r="L21" s="961" t="s">
        <v>554</v>
      </c>
      <c r="M21" s="961" t="s">
        <v>555</v>
      </c>
      <c r="N21" s="961" t="s">
        <v>556</v>
      </c>
    </row>
    <row r="22">
      <c r="A22" s="897">
        <v>20.0</v>
      </c>
      <c r="B22" s="910" t="s">
        <v>578</v>
      </c>
      <c r="C22" s="901"/>
      <c r="D22" s="899"/>
      <c r="E22" s="901"/>
      <c r="F22" s="901"/>
      <c r="G22" s="959"/>
      <c r="I22" s="827"/>
      <c r="J22" s="827"/>
      <c r="K22" s="827"/>
      <c r="L22" s="827"/>
      <c r="M22" s="827"/>
      <c r="N22" s="827"/>
    </row>
    <row r="23">
      <c r="A23" s="897">
        <v>21.0</v>
      </c>
      <c r="B23" s="910" t="s">
        <v>278</v>
      </c>
      <c r="C23" s="901"/>
      <c r="D23" s="901"/>
      <c r="E23" s="901"/>
      <c r="F23" s="908"/>
      <c r="G23" s="901"/>
      <c r="I23" s="937" t="s">
        <v>426</v>
      </c>
      <c r="J23" s="927"/>
      <c r="K23" s="929"/>
      <c r="L23" s="929"/>
      <c r="M23" s="929"/>
      <c r="N23" s="929"/>
    </row>
    <row r="24">
      <c r="A24" s="897">
        <v>22.0</v>
      </c>
      <c r="B24" s="910" t="s">
        <v>581</v>
      </c>
      <c r="C24" s="901"/>
      <c r="D24" s="959"/>
      <c r="E24" s="901"/>
      <c r="F24" s="901"/>
      <c r="G24" s="899"/>
      <c r="I24" s="937" t="s">
        <v>568</v>
      </c>
      <c r="J24" s="929"/>
      <c r="K24" s="929"/>
      <c r="L24" s="929"/>
      <c r="M24" s="927"/>
      <c r="N24" s="929"/>
    </row>
    <row r="25">
      <c r="A25" s="962"/>
      <c r="B25" s="910"/>
      <c r="C25" s="963"/>
      <c r="D25" s="964"/>
      <c r="E25" s="964"/>
      <c r="F25" s="964"/>
      <c r="G25" s="964"/>
      <c r="I25" s="940" t="s">
        <v>86</v>
      </c>
      <c r="J25" s="929"/>
      <c r="K25" s="929"/>
      <c r="L25" s="929"/>
      <c r="M25" s="929"/>
      <c r="N25" s="927"/>
    </row>
    <row r="26">
      <c r="A26" s="962"/>
      <c r="B26" s="898"/>
      <c r="C26" s="964"/>
      <c r="D26" s="964"/>
      <c r="E26" s="964"/>
      <c r="F26" s="963"/>
      <c r="G26" s="964"/>
      <c r="I26" s="928" t="s">
        <v>436</v>
      </c>
      <c r="J26" s="929"/>
      <c r="K26" s="929"/>
      <c r="L26" s="903"/>
      <c r="M26" s="938"/>
      <c r="N26" s="929"/>
    </row>
    <row r="27">
      <c r="B27" s="917"/>
      <c r="I27" s="928" t="s">
        <v>77</v>
      </c>
      <c r="J27" s="929"/>
      <c r="K27" s="903"/>
      <c r="L27" s="938"/>
      <c r="M27" s="929"/>
      <c r="N27" s="929"/>
    </row>
    <row r="28">
      <c r="B28" s="917"/>
    </row>
    <row r="29">
      <c r="B29" s="917"/>
    </row>
    <row r="30">
      <c r="B30" s="917"/>
    </row>
    <row r="31">
      <c r="B31" s="917"/>
    </row>
    <row r="32">
      <c r="B32" s="917"/>
    </row>
    <row r="33">
      <c r="B33" s="917"/>
    </row>
    <row r="34">
      <c r="B34" s="917"/>
    </row>
    <row r="35">
      <c r="B35" s="917"/>
    </row>
    <row r="36">
      <c r="B36" s="917"/>
    </row>
    <row r="37">
      <c r="B37" s="917"/>
    </row>
    <row r="38">
      <c r="B38" s="917"/>
    </row>
    <row r="39">
      <c r="B39" s="917"/>
    </row>
    <row r="40">
      <c r="B40" s="917"/>
    </row>
    <row r="41">
      <c r="B41" s="917"/>
    </row>
    <row r="42">
      <c r="B42" s="917"/>
    </row>
    <row r="43">
      <c r="B43" s="917"/>
    </row>
    <row r="44">
      <c r="B44" s="917"/>
    </row>
    <row r="45">
      <c r="B45" s="917"/>
    </row>
    <row r="46">
      <c r="B46" s="917"/>
    </row>
    <row r="47">
      <c r="B47" s="917"/>
    </row>
    <row r="48">
      <c r="B48" s="917"/>
    </row>
    <row r="49">
      <c r="B49" s="917"/>
    </row>
    <row r="50">
      <c r="B50" s="917"/>
    </row>
    <row r="51">
      <c r="B51" s="917"/>
    </row>
    <row r="52">
      <c r="B52" s="917"/>
    </row>
    <row r="53">
      <c r="B53" s="917"/>
    </row>
    <row r="54">
      <c r="B54" s="917"/>
    </row>
    <row r="55">
      <c r="B55" s="917"/>
    </row>
    <row r="56">
      <c r="B56" s="917"/>
    </row>
    <row r="57">
      <c r="B57" s="917"/>
    </row>
    <row r="58">
      <c r="B58" s="917"/>
    </row>
    <row r="59">
      <c r="B59" s="917"/>
    </row>
    <row r="60">
      <c r="B60" s="917"/>
    </row>
    <row r="61">
      <c r="B61" s="917"/>
    </row>
    <row r="62">
      <c r="B62" s="917"/>
    </row>
    <row r="63">
      <c r="B63" s="917"/>
    </row>
    <row r="64">
      <c r="B64" s="917"/>
    </row>
    <row r="65">
      <c r="B65" s="917"/>
    </row>
    <row r="66">
      <c r="B66" s="917"/>
    </row>
    <row r="67">
      <c r="B67" s="917"/>
    </row>
    <row r="68">
      <c r="B68" s="917"/>
    </row>
    <row r="69">
      <c r="B69" s="917"/>
    </row>
    <row r="70">
      <c r="B70" s="917"/>
    </row>
    <row r="71">
      <c r="B71" s="917"/>
    </row>
    <row r="72">
      <c r="B72" s="917"/>
    </row>
    <row r="73">
      <c r="B73" s="917"/>
    </row>
    <row r="74">
      <c r="B74" s="917"/>
    </row>
    <row r="75">
      <c r="B75" s="917"/>
    </row>
    <row r="76">
      <c r="B76" s="917"/>
    </row>
    <row r="77">
      <c r="B77" s="917"/>
    </row>
    <row r="78">
      <c r="B78" s="917"/>
    </row>
    <row r="79">
      <c r="B79" s="917"/>
    </row>
    <row r="80">
      <c r="B80" s="917"/>
    </row>
    <row r="81">
      <c r="B81" s="917"/>
    </row>
    <row r="82">
      <c r="B82" s="917"/>
    </row>
    <row r="83">
      <c r="B83" s="917"/>
    </row>
    <row r="84">
      <c r="B84" s="917"/>
    </row>
    <row r="85">
      <c r="B85" s="917"/>
    </row>
    <row r="86">
      <c r="B86" s="917"/>
    </row>
    <row r="87">
      <c r="B87" s="917"/>
    </row>
    <row r="88">
      <c r="B88" s="917"/>
    </row>
    <row r="89">
      <c r="B89" s="917"/>
    </row>
    <row r="90">
      <c r="B90" s="917"/>
    </row>
    <row r="91">
      <c r="B91" s="917"/>
    </row>
    <row r="92">
      <c r="B92" s="917"/>
    </row>
    <row r="93">
      <c r="B93" s="917"/>
    </row>
    <row r="94">
      <c r="B94" s="917"/>
    </row>
    <row r="95">
      <c r="B95" s="917"/>
    </row>
    <row r="96">
      <c r="B96" s="917"/>
    </row>
    <row r="97">
      <c r="B97" s="917"/>
    </row>
    <row r="98">
      <c r="B98" s="917"/>
    </row>
    <row r="99">
      <c r="B99" s="917"/>
    </row>
    <row r="100">
      <c r="B100" s="917"/>
    </row>
    <row r="101">
      <c r="B101" s="917"/>
    </row>
    <row r="102">
      <c r="B102" s="917"/>
    </row>
    <row r="103">
      <c r="B103" s="917"/>
    </row>
    <row r="104">
      <c r="B104" s="917"/>
    </row>
    <row r="105">
      <c r="B105" s="917"/>
    </row>
    <row r="106">
      <c r="B106" s="917"/>
    </row>
    <row r="107">
      <c r="B107" s="917"/>
    </row>
    <row r="108">
      <c r="B108" s="917"/>
    </row>
    <row r="109">
      <c r="B109" s="917"/>
    </row>
    <row r="110">
      <c r="B110" s="917"/>
    </row>
    <row r="111">
      <c r="B111" s="917"/>
    </row>
    <row r="112">
      <c r="B112" s="917"/>
    </row>
    <row r="113">
      <c r="B113" s="917"/>
    </row>
    <row r="114">
      <c r="B114" s="917"/>
    </row>
    <row r="115">
      <c r="B115" s="917"/>
    </row>
    <row r="116">
      <c r="B116" s="917"/>
    </row>
    <row r="117">
      <c r="B117" s="917"/>
    </row>
    <row r="118">
      <c r="B118" s="917"/>
    </row>
    <row r="119">
      <c r="B119" s="917"/>
    </row>
    <row r="120">
      <c r="B120" s="917"/>
    </row>
    <row r="121">
      <c r="B121" s="917"/>
    </row>
    <row r="122">
      <c r="B122" s="917"/>
    </row>
    <row r="123">
      <c r="B123" s="917"/>
    </row>
    <row r="124">
      <c r="B124" s="917"/>
    </row>
    <row r="125">
      <c r="B125" s="917"/>
    </row>
    <row r="126">
      <c r="B126" s="917"/>
    </row>
    <row r="127">
      <c r="B127" s="917"/>
    </row>
    <row r="128">
      <c r="B128" s="917"/>
    </row>
    <row r="129">
      <c r="B129" s="917"/>
    </row>
    <row r="130">
      <c r="B130" s="917"/>
    </row>
    <row r="131">
      <c r="B131" s="917"/>
    </row>
    <row r="132">
      <c r="B132" s="917"/>
    </row>
    <row r="133">
      <c r="B133" s="917"/>
    </row>
    <row r="134">
      <c r="B134" s="917"/>
    </row>
    <row r="135">
      <c r="B135" s="917"/>
    </row>
    <row r="136">
      <c r="B136" s="917"/>
    </row>
    <row r="137">
      <c r="B137" s="917"/>
    </row>
    <row r="138">
      <c r="B138" s="917"/>
    </row>
    <row r="139">
      <c r="B139" s="917"/>
    </row>
    <row r="140">
      <c r="B140" s="917"/>
    </row>
    <row r="141">
      <c r="B141" s="917"/>
    </row>
    <row r="142">
      <c r="B142" s="917"/>
    </row>
    <row r="143">
      <c r="B143" s="917"/>
    </row>
    <row r="144">
      <c r="B144" s="917"/>
    </row>
    <row r="145">
      <c r="B145" s="917"/>
    </row>
    <row r="146">
      <c r="B146" s="917"/>
    </row>
    <row r="147">
      <c r="B147" s="917"/>
    </row>
    <row r="148">
      <c r="B148" s="917"/>
    </row>
    <row r="149">
      <c r="B149" s="917"/>
    </row>
    <row r="150">
      <c r="B150" s="917"/>
    </row>
    <row r="151">
      <c r="B151" s="917"/>
    </row>
    <row r="152">
      <c r="B152" s="917"/>
    </row>
    <row r="153">
      <c r="B153" s="917"/>
    </row>
    <row r="154">
      <c r="B154" s="917"/>
    </row>
    <row r="155">
      <c r="B155" s="917"/>
    </row>
    <row r="156">
      <c r="B156" s="917"/>
    </row>
    <row r="157">
      <c r="B157" s="917"/>
    </row>
    <row r="158">
      <c r="B158" s="917"/>
    </row>
    <row r="159">
      <c r="B159" s="917"/>
    </row>
    <row r="160">
      <c r="B160" s="917"/>
    </row>
    <row r="161">
      <c r="B161" s="917"/>
    </row>
    <row r="162">
      <c r="B162" s="917"/>
    </row>
    <row r="163">
      <c r="B163" s="917"/>
    </row>
    <row r="164">
      <c r="B164" s="917"/>
    </row>
    <row r="165">
      <c r="B165" s="917"/>
    </row>
    <row r="166">
      <c r="B166" s="917"/>
    </row>
    <row r="167">
      <c r="B167" s="917"/>
    </row>
    <row r="168">
      <c r="B168" s="917"/>
    </row>
    <row r="169">
      <c r="B169" s="917"/>
    </row>
    <row r="170">
      <c r="B170" s="917"/>
    </row>
    <row r="171">
      <c r="B171" s="917"/>
    </row>
    <row r="172">
      <c r="B172" s="917"/>
    </row>
    <row r="173">
      <c r="B173" s="917"/>
    </row>
    <row r="174">
      <c r="B174" s="917"/>
    </row>
    <row r="175">
      <c r="B175" s="917"/>
    </row>
    <row r="176">
      <c r="B176" s="917"/>
    </row>
    <row r="177">
      <c r="B177" s="917"/>
    </row>
    <row r="178">
      <c r="B178" s="917"/>
    </row>
    <row r="179">
      <c r="B179" s="917"/>
    </row>
    <row r="180">
      <c r="B180" s="917"/>
    </row>
    <row r="181">
      <c r="B181" s="917"/>
    </row>
    <row r="182">
      <c r="B182" s="917"/>
    </row>
    <row r="183">
      <c r="B183" s="917"/>
    </row>
    <row r="184">
      <c r="B184" s="917"/>
    </row>
    <row r="185">
      <c r="B185" s="917"/>
    </row>
    <row r="186">
      <c r="B186" s="917"/>
    </row>
    <row r="187">
      <c r="B187" s="917"/>
    </row>
    <row r="188">
      <c r="B188" s="917"/>
    </row>
    <row r="189">
      <c r="B189" s="917"/>
    </row>
    <row r="190">
      <c r="B190" s="917"/>
    </row>
    <row r="191">
      <c r="B191" s="917"/>
    </row>
    <row r="192">
      <c r="B192" s="917"/>
    </row>
    <row r="193">
      <c r="B193" s="917"/>
    </row>
    <row r="194">
      <c r="B194" s="917"/>
    </row>
    <row r="195">
      <c r="B195" s="917"/>
    </row>
    <row r="196">
      <c r="B196" s="917"/>
    </row>
    <row r="197">
      <c r="B197" s="917"/>
    </row>
    <row r="198">
      <c r="B198" s="917"/>
    </row>
    <row r="199">
      <c r="B199" s="917"/>
    </row>
    <row r="200">
      <c r="B200" s="917"/>
    </row>
    <row r="201">
      <c r="B201" s="917"/>
    </row>
    <row r="202">
      <c r="B202" s="917"/>
    </row>
    <row r="203">
      <c r="B203" s="917"/>
    </row>
    <row r="204">
      <c r="B204" s="917"/>
    </row>
    <row r="205">
      <c r="B205" s="917"/>
    </row>
    <row r="206">
      <c r="B206" s="917"/>
    </row>
    <row r="207">
      <c r="B207" s="917"/>
    </row>
    <row r="208">
      <c r="B208" s="917"/>
    </row>
    <row r="209">
      <c r="B209" s="917"/>
    </row>
    <row r="210">
      <c r="B210" s="917"/>
    </row>
    <row r="211">
      <c r="B211" s="917"/>
    </row>
    <row r="212">
      <c r="B212" s="917"/>
    </row>
    <row r="213">
      <c r="B213" s="917"/>
    </row>
    <row r="214">
      <c r="B214" s="917"/>
    </row>
    <row r="215">
      <c r="B215" s="917"/>
    </row>
    <row r="216">
      <c r="B216" s="917"/>
    </row>
    <row r="217">
      <c r="B217" s="917"/>
    </row>
    <row r="218">
      <c r="B218" s="917"/>
    </row>
    <row r="219">
      <c r="B219" s="917"/>
    </row>
    <row r="220">
      <c r="B220" s="917"/>
    </row>
    <row r="221">
      <c r="B221" s="917"/>
    </row>
    <row r="222">
      <c r="B222" s="917"/>
    </row>
    <row r="223">
      <c r="B223" s="917"/>
    </row>
    <row r="224">
      <c r="B224" s="917"/>
    </row>
    <row r="225">
      <c r="B225" s="917"/>
    </row>
    <row r="226">
      <c r="B226" s="917"/>
    </row>
    <row r="227">
      <c r="B227" s="917"/>
    </row>
    <row r="228">
      <c r="B228" s="917"/>
    </row>
    <row r="229">
      <c r="B229" s="917"/>
    </row>
    <row r="230">
      <c r="B230" s="917"/>
    </row>
    <row r="231">
      <c r="B231" s="917"/>
    </row>
    <row r="232">
      <c r="B232" s="917"/>
    </row>
    <row r="233">
      <c r="B233" s="917"/>
    </row>
    <row r="234">
      <c r="B234" s="917"/>
    </row>
    <row r="235">
      <c r="B235" s="917"/>
    </row>
    <row r="236">
      <c r="B236" s="917"/>
    </row>
    <row r="237">
      <c r="B237" s="917"/>
    </row>
    <row r="238">
      <c r="B238" s="917"/>
    </row>
    <row r="239">
      <c r="B239" s="917"/>
    </row>
    <row r="240">
      <c r="B240" s="917"/>
    </row>
    <row r="241">
      <c r="B241" s="917"/>
    </row>
    <row r="242">
      <c r="B242" s="917"/>
    </row>
    <row r="243">
      <c r="B243" s="917"/>
    </row>
    <row r="244">
      <c r="B244" s="917"/>
    </row>
    <row r="245">
      <c r="B245" s="917"/>
    </row>
    <row r="246">
      <c r="B246" s="917"/>
    </row>
    <row r="247">
      <c r="B247" s="917"/>
    </row>
    <row r="248">
      <c r="B248" s="917"/>
    </row>
    <row r="249">
      <c r="B249" s="917"/>
    </row>
    <row r="250">
      <c r="B250" s="917"/>
    </row>
    <row r="251">
      <c r="B251" s="917"/>
    </row>
    <row r="252">
      <c r="B252" s="917"/>
    </row>
    <row r="253">
      <c r="B253" s="917"/>
    </row>
    <row r="254">
      <c r="B254" s="917"/>
    </row>
    <row r="255">
      <c r="B255" s="917"/>
    </row>
    <row r="256">
      <c r="B256" s="917"/>
    </row>
    <row r="257">
      <c r="B257" s="917"/>
    </row>
    <row r="258">
      <c r="B258" s="917"/>
    </row>
    <row r="259">
      <c r="B259" s="917"/>
    </row>
    <row r="260">
      <c r="B260" s="917"/>
    </row>
    <row r="261">
      <c r="B261" s="917"/>
    </row>
    <row r="262">
      <c r="B262" s="917"/>
    </row>
    <row r="263">
      <c r="B263" s="917"/>
    </row>
    <row r="264">
      <c r="B264" s="917"/>
    </row>
    <row r="265">
      <c r="B265" s="917"/>
    </row>
    <row r="266">
      <c r="B266" s="917"/>
    </row>
    <row r="267">
      <c r="B267" s="917"/>
    </row>
    <row r="268">
      <c r="B268" s="917"/>
    </row>
    <row r="269">
      <c r="B269" s="917"/>
    </row>
    <row r="270">
      <c r="B270" s="917"/>
    </row>
    <row r="271">
      <c r="B271" s="917"/>
    </row>
    <row r="272">
      <c r="B272" s="917"/>
    </row>
    <row r="273">
      <c r="B273" s="917"/>
    </row>
    <row r="274">
      <c r="B274" s="917"/>
    </row>
    <row r="275">
      <c r="B275" s="917"/>
    </row>
    <row r="276">
      <c r="B276" s="917"/>
    </row>
    <row r="277">
      <c r="B277" s="917"/>
    </row>
    <row r="278">
      <c r="B278" s="917"/>
    </row>
    <row r="279">
      <c r="B279" s="917"/>
    </row>
    <row r="280">
      <c r="B280" s="917"/>
    </row>
    <row r="281">
      <c r="B281" s="917"/>
    </row>
    <row r="282">
      <c r="B282" s="917"/>
    </row>
    <row r="283">
      <c r="B283" s="917"/>
    </row>
    <row r="284">
      <c r="B284" s="917"/>
    </row>
    <row r="285">
      <c r="B285" s="917"/>
    </row>
    <row r="286">
      <c r="B286" s="917"/>
    </row>
    <row r="287">
      <c r="B287" s="917"/>
    </row>
    <row r="288">
      <c r="B288" s="917"/>
    </row>
    <row r="289">
      <c r="B289" s="917"/>
    </row>
    <row r="290">
      <c r="B290" s="917"/>
    </row>
    <row r="291">
      <c r="B291" s="917"/>
    </row>
    <row r="292">
      <c r="B292" s="917"/>
    </row>
    <row r="293">
      <c r="B293" s="917"/>
    </row>
    <row r="294">
      <c r="B294" s="917"/>
    </row>
    <row r="295">
      <c r="B295" s="917"/>
    </row>
    <row r="296">
      <c r="B296" s="917"/>
    </row>
    <row r="297">
      <c r="B297" s="917"/>
    </row>
    <row r="298">
      <c r="B298" s="917"/>
    </row>
    <row r="299">
      <c r="B299" s="917"/>
    </row>
    <row r="300">
      <c r="B300" s="917"/>
    </row>
    <row r="301">
      <c r="B301" s="917"/>
    </row>
    <row r="302">
      <c r="B302" s="917"/>
    </row>
    <row r="303">
      <c r="B303" s="917"/>
    </row>
    <row r="304">
      <c r="B304" s="917"/>
    </row>
    <row r="305">
      <c r="B305" s="917"/>
    </row>
    <row r="306">
      <c r="B306" s="917"/>
    </row>
    <row r="307">
      <c r="B307" s="917"/>
    </row>
    <row r="308">
      <c r="B308" s="917"/>
    </row>
    <row r="309">
      <c r="B309" s="917"/>
    </row>
    <row r="310">
      <c r="B310" s="917"/>
    </row>
    <row r="311">
      <c r="B311" s="917"/>
    </row>
    <row r="312">
      <c r="B312" s="917"/>
    </row>
    <row r="313">
      <c r="B313" s="917"/>
    </row>
    <row r="314">
      <c r="B314" s="917"/>
    </row>
    <row r="315">
      <c r="B315" s="917"/>
    </row>
    <row r="316">
      <c r="B316" s="917"/>
    </row>
    <row r="317">
      <c r="B317" s="917"/>
    </row>
    <row r="318">
      <c r="B318" s="917"/>
    </row>
    <row r="319">
      <c r="B319" s="917"/>
    </row>
    <row r="320">
      <c r="B320" s="917"/>
    </row>
    <row r="321">
      <c r="B321" s="917"/>
    </row>
    <row r="322">
      <c r="B322" s="917"/>
    </row>
    <row r="323">
      <c r="B323" s="917"/>
    </row>
    <row r="324">
      <c r="B324" s="917"/>
    </row>
    <row r="325">
      <c r="B325" s="917"/>
    </row>
    <row r="326">
      <c r="B326" s="917"/>
    </row>
    <row r="327">
      <c r="B327" s="917"/>
    </row>
    <row r="328">
      <c r="B328" s="917"/>
    </row>
    <row r="329">
      <c r="B329" s="917"/>
    </row>
    <row r="330">
      <c r="B330" s="917"/>
    </row>
    <row r="331">
      <c r="B331" s="917"/>
    </row>
    <row r="332">
      <c r="B332" s="917"/>
    </row>
    <row r="333">
      <c r="B333" s="917"/>
    </row>
    <row r="334">
      <c r="B334" s="917"/>
    </row>
    <row r="335">
      <c r="B335" s="917"/>
    </row>
    <row r="336">
      <c r="B336" s="917"/>
    </row>
    <row r="337">
      <c r="B337" s="917"/>
    </row>
    <row r="338">
      <c r="B338" s="917"/>
    </row>
    <row r="339">
      <c r="B339" s="917"/>
    </row>
    <row r="340">
      <c r="B340" s="917"/>
    </row>
    <row r="341">
      <c r="B341" s="917"/>
    </row>
    <row r="342">
      <c r="B342" s="917"/>
    </row>
    <row r="343">
      <c r="B343" s="917"/>
    </row>
    <row r="344">
      <c r="B344" s="917"/>
    </row>
    <row r="345">
      <c r="B345" s="917"/>
    </row>
    <row r="346">
      <c r="B346" s="917"/>
    </row>
    <row r="347">
      <c r="B347" s="917"/>
    </row>
    <row r="348">
      <c r="B348" s="917"/>
    </row>
    <row r="349">
      <c r="B349" s="917"/>
    </row>
    <row r="350">
      <c r="B350" s="917"/>
    </row>
    <row r="351">
      <c r="B351" s="917"/>
    </row>
    <row r="352">
      <c r="B352" s="917"/>
    </row>
    <row r="353">
      <c r="B353" s="917"/>
    </row>
    <row r="354">
      <c r="B354" s="917"/>
    </row>
    <row r="355">
      <c r="B355" s="917"/>
    </row>
    <row r="356">
      <c r="B356" s="917"/>
    </row>
    <row r="357">
      <c r="B357" s="917"/>
    </row>
    <row r="358">
      <c r="B358" s="917"/>
    </row>
    <row r="359">
      <c r="B359" s="917"/>
    </row>
    <row r="360">
      <c r="B360" s="917"/>
    </row>
    <row r="361">
      <c r="B361" s="917"/>
    </row>
    <row r="362">
      <c r="B362" s="917"/>
    </row>
    <row r="363">
      <c r="B363" s="917"/>
    </row>
    <row r="364">
      <c r="B364" s="917"/>
    </row>
    <row r="365">
      <c r="B365" s="917"/>
    </row>
    <row r="366">
      <c r="B366" s="917"/>
    </row>
    <row r="367">
      <c r="B367" s="917"/>
    </row>
    <row r="368">
      <c r="B368" s="917"/>
    </row>
    <row r="369">
      <c r="B369" s="917"/>
    </row>
    <row r="370">
      <c r="B370" s="917"/>
    </row>
    <row r="371">
      <c r="B371" s="917"/>
    </row>
    <row r="372">
      <c r="B372" s="917"/>
    </row>
    <row r="373">
      <c r="B373" s="917"/>
    </row>
    <row r="374">
      <c r="B374" s="917"/>
    </row>
    <row r="375">
      <c r="B375" s="917"/>
    </row>
    <row r="376">
      <c r="B376" s="917"/>
    </row>
    <row r="377">
      <c r="B377" s="917"/>
    </row>
    <row r="378">
      <c r="B378" s="917"/>
    </row>
    <row r="379">
      <c r="B379" s="917"/>
    </row>
    <row r="380">
      <c r="B380" s="917"/>
    </row>
    <row r="381">
      <c r="B381" s="917"/>
    </row>
    <row r="382">
      <c r="B382" s="917"/>
    </row>
    <row r="383">
      <c r="B383" s="917"/>
    </row>
    <row r="384">
      <c r="B384" s="917"/>
    </row>
    <row r="385">
      <c r="B385" s="917"/>
    </row>
    <row r="386">
      <c r="B386" s="917"/>
    </row>
    <row r="387">
      <c r="B387" s="917"/>
    </row>
    <row r="388">
      <c r="B388" s="917"/>
    </row>
    <row r="389">
      <c r="B389" s="917"/>
    </row>
    <row r="390">
      <c r="B390" s="917"/>
    </row>
    <row r="391">
      <c r="B391" s="917"/>
    </row>
    <row r="392">
      <c r="B392" s="917"/>
    </row>
    <row r="393">
      <c r="B393" s="917"/>
    </row>
    <row r="394">
      <c r="B394" s="917"/>
    </row>
    <row r="395">
      <c r="B395" s="917"/>
    </row>
    <row r="396">
      <c r="B396" s="917"/>
    </row>
    <row r="397">
      <c r="B397" s="917"/>
    </row>
    <row r="398">
      <c r="B398" s="917"/>
    </row>
    <row r="399">
      <c r="B399" s="917"/>
    </row>
    <row r="400">
      <c r="B400" s="917"/>
    </row>
    <row r="401">
      <c r="B401" s="917"/>
    </row>
    <row r="402">
      <c r="B402" s="917"/>
    </row>
    <row r="403">
      <c r="B403" s="917"/>
    </row>
    <row r="404">
      <c r="B404" s="917"/>
    </row>
    <row r="405">
      <c r="B405" s="917"/>
    </row>
    <row r="406">
      <c r="B406" s="917"/>
    </row>
    <row r="407">
      <c r="B407" s="917"/>
    </row>
    <row r="408">
      <c r="B408" s="917"/>
    </row>
    <row r="409">
      <c r="B409" s="917"/>
    </row>
    <row r="410">
      <c r="B410" s="917"/>
    </row>
    <row r="411">
      <c r="B411" s="917"/>
    </row>
    <row r="412">
      <c r="B412" s="917"/>
    </row>
    <row r="413">
      <c r="B413" s="917"/>
    </row>
    <row r="414">
      <c r="B414" s="917"/>
    </row>
    <row r="415">
      <c r="B415" s="917"/>
    </row>
    <row r="416">
      <c r="B416" s="917"/>
    </row>
    <row r="417">
      <c r="B417" s="917"/>
    </row>
    <row r="418">
      <c r="B418" s="917"/>
    </row>
    <row r="419">
      <c r="B419" s="917"/>
    </row>
    <row r="420">
      <c r="B420" s="917"/>
    </row>
    <row r="421">
      <c r="B421" s="917"/>
    </row>
    <row r="422">
      <c r="B422" s="917"/>
    </row>
    <row r="423">
      <c r="B423" s="917"/>
    </row>
    <row r="424">
      <c r="B424" s="917"/>
    </row>
    <row r="425">
      <c r="B425" s="917"/>
    </row>
    <row r="426">
      <c r="B426" s="917"/>
    </row>
    <row r="427">
      <c r="B427" s="917"/>
    </row>
    <row r="428">
      <c r="B428" s="917"/>
    </row>
    <row r="429">
      <c r="B429" s="917"/>
    </row>
    <row r="430">
      <c r="B430" s="917"/>
    </row>
    <row r="431">
      <c r="B431" s="917"/>
    </row>
    <row r="432">
      <c r="B432" s="917"/>
    </row>
    <row r="433">
      <c r="B433" s="917"/>
    </row>
    <row r="434">
      <c r="B434" s="917"/>
    </row>
    <row r="435">
      <c r="B435" s="917"/>
    </row>
    <row r="436">
      <c r="B436" s="917"/>
    </row>
    <row r="437">
      <c r="B437" s="917"/>
    </row>
    <row r="438">
      <c r="B438" s="917"/>
    </row>
    <row r="439">
      <c r="B439" s="917"/>
    </row>
    <row r="440">
      <c r="B440" s="917"/>
    </row>
    <row r="441">
      <c r="B441" s="917"/>
    </row>
    <row r="442">
      <c r="B442" s="917"/>
    </row>
    <row r="443">
      <c r="B443" s="917"/>
    </row>
    <row r="444">
      <c r="B444" s="917"/>
    </row>
    <row r="445">
      <c r="B445" s="917"/>
    </row>
    <row r="446">
      <c r="B446" s="917"/>
    </row>
    <row r="447">
      <c r="B447" s="917"/>
    </row>
    <row r="448">
      <c r="B448" s="917"/>
    </row>
    <row r="449">
      <c r="B449" s="917"/>
    </row>
    <row r="450">
      <c r="B450" s="917"/>
    </row>
    <row r="451">
      <c r="B451" s="917"/>
    </row>
    <row r="452">
      <c r="B452" s="917"/>
    </row>
    <row r="453">
      <c r="B453" s="917"/>
    </row>
    <row r="454">
      <c r="B454" s="917"/>
    </row>
    <row r="455">
      <c r="B455" s="917"/>
    </row>
    <row r="456">
      <c r="B456" s="917"/>
    </row>
    <row r="457">
      <c r="B457" s="917"/>
    </row>
    <row r="458">
      <c r="B458" s="917"/>
    </row>
    <row r="459">
      <c r="B459" s="917"/>
    </row>
    <row r="460">
      <c r="B460" s="917"/>
    </row>
    <row r="461">
      <c r="B461" s="917"/>
    </row>
    <row r="462">
      <c r="B462" s="917"/>
    </row>
    <row r="463">
      <c r="B463" s="917"/>
    </row>
    <row r="464">
      <c r="B464" s="917"/>
    </row>
    <row r="465">
      <c r="B465" s="917"/>
    </row>
    <row r="466">
      <c r="B466" s="917"/>
    </row>
    <row r="467">
      <c r="B467" s="917"/>
    </row>
    <row r="468">
      <c r="B468" s="917"/>
    </row>
    <row r="469">
      <c r="B469" s="917"/>
    </row>
    <row r="470">
      <c r="B470" s="917"/>
    </row>
    <row r="471">
      <c r="B471" s="917"/>
    </row>
    <row r="472">
      <c r="B472" s="917"/>
    </row>
    <row r="473">
      <c r="B473" s="917"/>
    </row>
    <row r="474">
      <c r="B474" s="917"/>
    </row>
    <row r="475">
      <c r="B475" s="917"/>
    </row>
    <row r="476">
      <c r="B476" s="917"/>
    </row>
    <row r="477">
      <c r="B477" s="917"/>
    </row>
    <row r="478">
      <c r="B478" s="917"/>
    </row>
    <row r="479">
      <c r="B479" s="917"/>
    </row>
    <row r="480">
      <c r="B480" s="917"/>
    </row>
    <row r="481">
      <c r="B481" s="917"/>
    </row>
    <row r="482">
      <c r="B482" s="917"/>
    </row>
    <row r="483">
      <c r="B483" s="917"/>
    </row>
    <row r="484">
      <c r="B484" s="917"/>
    </row>
    <row r="485">
      <c r="B485" s="917"/>
    </row>
    <row r="486">
      <c r="B486" s="917"/>
    </row>
    <row r="487">
      <c r="B487" s="917"/>
    </row>
    <row r="488">
      <c r="B488" s="917"/>
    </row>
    <row r="489">
      <c r="B489" s="917"/>
    </row>
    <row r="490">
      <c r="B490" s="917"/>
    </row>
    <row r="491">
      <c r="B491" s="917"/>
    </row>
    <row r="492">
      <c r="B492" s="917"/>
    </row>
    <row r="493">
      <c r="B493" s="917"/>
    </row>
    <row r="494">
      <c r="B494" s="917"/>
    </row>
    <row r="495">
      <c r="B495" s="917"/>
    </row>
    <row r="496">
      <c r="B496" s="917"/>
    </row>
    <row r="497">
      <c r="B497" s="917"/>
    </row>
    <row r="498">
      <c r="B498" s="917"/>
    </row>
    <row r="499">
      <c r="B499" s="917"/>
    </row>
    <row r="500">
      <c r="B500" s="917"/>
    </row>
    <row r="501">
      <c r="B501" s="917"/>
    </row>
    <row r="502">
      <c r="B502" s="917"/>
    </row>
    <row r="503">
      <c r="B503" s="917"/>
    </row>
    <row r="504">
      <c r="B504" s="917"/>
    </row>
    <row r="505">
      <c r="B505" s="917"/>
    </row>
    <row r="506">
      <c r="B506" s="917"/>
    </row>
    <row r="507">
      <c r="B507" s="917"/>
    </row>
    <row r="508">
      <c r="B508" s="917"/>
    </row>
    <row r="509">
      <c r="B509" s="917"/>
    </row>
    <row r="510">
      <c r="B510" s="917"/>
    </row>
    <row r="511">
      <c r="B511" s="917"/>
    </row>
    <row r="512">
      <c r="B512" s="917"/>
    </row>
    <row r="513">
      <c r="B513" s="917"/>
    </row>
    <row r="514">
      <c r="B514" s="917"/>
    </row>
    <row r="515">
      <c r="B515" s="917"/>
    </row>
    <row r="516">
      <c r="B516" s="917"/>
    </row>
    <row r="517">
      <c r="B517" s="917"/>
    </row>
    <row r="518">
      <c r="B518" s="917"/>
    </row>
    <row r="519">
      <c r="B519" s="917"/>
    </row>
    <row r="520">
      <c r="B520" s="917"/>
    </row>
    <row r="521">
      <c r="B521" s="917"/>
    </row>
    <row r="522">
      <c r="B522" s="917"/>
    </row>
    <row r="523">
      <c r="B523" s="917"/>
    </row>
    <row r="524">
      <c r="B524" s="917"/>
    </row>
    <row r="525">
      <c r="B525" s="917"/>
    </row>
    <row r="526">
      <c r="B526" s="917"/>
    </row>
    <row r="527">
      <c r="B527" s="917"/>
    </row>
    <row r="528">
      <c r="B528" s="917"/>
    </row>
    <row r="529">
      <c r="B529" s="917"/>
    </row>
    <row r="530">
      <c r="B530" s="917"/>
    </row>
    <row r="531">
      <c r="B531" s="917"/>
    </row>
    <row r="532">
      <c r="B532" s="917"/>
    </row>
    <row r="533">
      <c r="B533" s="917"/>
    </row>
    <row r="534">
      <c r="B534" s="917"/>
    </row>
    <row r="535">
      <c r="B535" s="917"/>
    </row>
    <row r="536">
      <c r="B536" s="917"/>
    </row>
    <row r="537">
      <c r="B537" s="917"/>
    </row>
    <row r="538">
      <c r="B538" s="917"/>
    </row>
    <row r="539">
      <c r="B539" s="917"/>
    </row>
    <row r="540">
      <c r="B540" s="917"/>
    </row>
    <row r="541">
      <c r="B541" s="917"/>
    </row>
    <row r="542">
      <c r="B542" s="917"/>
    </row>
    <row r="543">
      <c r="B543" s="917"/>
    </row>
    <row r="544">
      <c r="B544" s="917"/>
    </row>
    <row r="545">
      <c r="B545" s="917"/>
    </row>
    <row r="546">
      <c r="B546" s="917"/>
    </row>
    <row r="547">
      <c r="B547" s="917"/>
    </row>
    <row r="548">
      <c r="B548" s="917"/>
    </row>
    <row r="549">
      <c r="B549" s="917"/>
    </row>
    <row r="550">
      <c r="B550" s="917"/>
    </row>
    <row r="551">
      <c r="B551" s="917"/>
    </row>
    <row r="552">
      <c r="B552" s="917"/>
    </row>
    <row r="553">
      <c r="B553" s="917"/>
    </row>
    <row r="554">
      <c r="B554" s="917"/>
    </row>
    <row r="555">
      <c r="B555" s="917"/>
    </row>
    <row r="556">
      <c r="B556" s="917"/>
    </row>
    <row r="557">
      <c r="B557" s="917"/>
    </row>
    <row r="558">
      <c r="B558" s="917"/>
    </row>
    <row r="559">
      <c r="B559" s="917"/>
    </row>
    <row r="560">
      <c r="B560" s="917"/>
    </row>
    <row r="561">
      <c r="B561" s="917"/>
    </row>
    <row r="562">
      <c r="B562" s="917"/>
    </row>
    <row r="563">
      <c r="B563" s="917"/>
    </row>
    <row r="564">
      <c r="B564" s="917"/>
    </row>
    <row r="565">
      <c r="B565" s="917"/>
    </row>
    <row r="566">
      <c r="B566" s="917"/>
    </row>
    <row r="567">
      <c r="B567" s="917"/>
    </row>
    <row r="568">
      <c r="B568" s="917"/>
    </row>
    <row r="569">
      <c r="B569" s="917"/>
    </row>
    <row r="570">
      <c r="B570" s="917"/>
    </row>
    <row r="571">
      <c r="B571" s="917"/>
    </row>
    <row r="572">
      <c r="B572" s="917"/>
    </row>
    <row r="573">
      <c r="B573" s="917"/>
    </row>
    <row r="574">
      <c r="B574" s="917"/>
    </row>
    <row r="575">
      <c r="B575" s="917"/>
    </row>
    <row r="576">
      <c r="B576" s="917"/>
    </row>
    <row r="577">
      <c r="B577" s="917"/>
    </row>
    <row r="578">
      <c r="B578" s="917"/>
    </row>
    <row r="579">
      <c r="B579" s="917"/>
    </row>
    <row r="580">
      <c r="B580" s="917"/>
    </row>
    <row r="581">
      <c r="B581" s="917"/>
    </row>
    <row r="582">
      <c r="B582" s="917"/>
    </row>
    <row r="583">
      <c r="B583" s="917"/>
    </row>
    <row r="584">
      <c r="B584" s="917"/>
    </row>
    <row r="585">
      <c r="B585" s="917"/>
    </row>
    <row r="586">
      <c r="B586" s="917"/>
    </row>
    <row r="587">
      <c r="B587" s="917"/>
    </row>
    <row r="588">
      <c r="B588" s="917"/>
    </row>
    <row r="589">
      <c r="B589" s="917"/>
    </row>
    <row r="590">
      <c r="B590" s="917"/>
    </row>
    <row r="591">
      <c r="B591" s="917"/>
    </row>
    <row r="592">
      <c r="B592" s="917"/>
    </row>
    <row r="593">
      <c r="B593" s="917"/>
    </row>
    <row r="594">
      <c r="B594" s="917"/>
    </row>
    <row r="595">
      <c r="B595" s="917"/>
    </row>
    <row r="596">
      <c r="B596" s="917"/>
    </row>
    <row r="597">
      <c r="B597" s="917"/>
    </row>
    <row r="598">
      <c r="B598" s="917"/>
    </row>
    <row r="599">
      <c r="B599" s="917"/>
    </row>
    <row r="600">
      <c r="B600" s="917"/>
    </row>
    <row r="601">
      <c r="B601" s="917"/>
    </row>
    <row r="602">
      <c r="B602" s="917"/>
    </row>
    <row r="603">
      <c r="B603" s="917"/>
    </row>
    <row r="604">
      <c r="B604" s="917"/>
    </row>
    <row r="605">
      <c r="B605" s="917"/>
    </row>
    <row r="606">
      <c r="B606" s="917"/>
    </row>
    <row r="607">
      <c r="B607" s="917"/>
    </row>
    <row r="608">
      <c r="B608" s="917"/>
    </row>
    <row r="609">
      <c r="B609" s="917"/>
    </row>
    <row r="610">
      <c r="B610" s="917"/>
    </row>
    <row r="611">
      <c r="B611" s="917"/>
    </row>
    <row r="612">
      <c r="B612" s="917"/>
    </row>
    <row r="613">
      <c r="B613" s="917"/>
    </row>
    <row r="614">
      <c r="B614" s="917"/>
    </row>
    <row r="615">
      <c r="B615" s="917"/>
    </row>
    <row r="616">
      <c r="B616" s="917"/>
    </row>
    <row r="617">
      <c r="B617" s="917"/>
    </row>
    <row r="618">
      <c r="B618" s="917"/>
    </row>
    <row r="619">
      <c r="B619" s="917"/>
    </row>
    <row r="620">
      <c r="B620" s="917"/>
    </row>
    <row r="621">
      <c r="B621" s="917"/>
    </row>
    <row r="622">
      <c r="B622" s="917"/>
    </row>
    <row r="623">
      <c r="B623" s="917"/>
    </row>
    <row r="624">
      <c r="B624" s="917"/>
    </row>
    <row r="625">
      <c r="B625" s="917"/>
    </row>
    <row r="626">
      <c r="B626" s="917"/>
    </row>
    <row r="627">
      <c r="B627" s="917"/>
    </row>
    <row r="628">
      <c r="B628" s="917"/>
    </row>
    <row r="629">
      <c r="B629" s="917"/>
    </row>
    <row r="630">
      <c r="B630" s="917"/>
    </row>
    <row r="631">
      <c r="B631" s="917"/>
    </row>
    <row r="632">
      <c r="B632" s="917"/>
    </row>
    <row r="633">
      <c r="B633" s="917"/>
    </row>
    <row r="634">
      <c r="B634" s="917"/>
    </row>
    <row r="635">
      <c r="B635" s="917"/>
    </row>
    <row r="636">
      <c r="B636" s="917"/>
    </row>
    <row r="637">
      <c r="B637" s="917"/>
    </row>
    <row r="638">
      <c r="B638" s="917"/>
    </row>
    <row r="639">
      <c r="B639" s="917"/>
    </row>
    <row r="640">
      <c r="B640" s="917"/>
    </row>
    <row r="641">
      <c r="B641" s="917"/>
    </row>
    <row r="642">
      <c r="B642" s="917"/>
    </row>
    <row r="643">
      <c r="B643" s="917"/>
    </row>
    <row r="644">
      <c r="B644" s="917"/>
    </row>
    <row r="645">
      <c r="B645" s="917"/>
    </row>
    <row r="646">
      <c r="B646" s="917"/>
    </row>
    <row r="647">
      <c r="B647" s="917"/>
    </row>
    <row r="648">
      <c r="B648" s="917"/>
    </row>
    <row r="649">
      <c r="B649" s="917"/>
    </row>
    <row r="650">
      <c r="B650" s="917"/>
    </row>
    <row r="651">
      <c r="B651" s="917"/>
    </row>
    <row r="652">
      <c r="B652" s="917"/>
    </row>
    <row r="653">
      <c r="B653" s="917"/>
    </row>
    <row r="654">
      <c r="B654" s="917"/>
    </row>
    <row r="655">
      <c r="B655" s="917"/>
    </row>
    <row r="656">
      <c r="B656" s="917"/>
    </row>
    <row r="657">
      <c r="B657" s="917"/>
    </row>
    <row r="658">
      <c r="B658" s="917"/>
    </row>
    <row r="659">
      <c r="B659" s="917"/>
    </row>
    <row r="660">
      <c r="B660" s="917"/>
    </row>
    <row r="661">
      <c r="B661" s="917"/>
    </row>
    <row r="662">
      <c r="B662" s="917"/>
    </row>
    <row r="663">
      <c r="B663" s="917"/>
    </row>
    <row r="664">
      <c r="B664" s="917"/>
    </row>
    <row r="665">
      <c r="B665" s="917"/>
    </row>
    <row r="666">
      <c r="B666" s="917"/>
    </row>
    <row r="667">
      <c r="B667" s="917"/>
    </row>
    <row r="668">
      <c r="B668" s="917"/>
    </row>
    <row r="669">
      <c r="B669" s="917"/>
    </row>
    <row r="670">
      <c r="B670" s="917"/>
    </row>
    <row r="671">
      <c r="B671" s="917"/>
    </row>
    <row r="672">
      <c r="B672" s="917"/>
    </row>
    <row r="673">
      <c r="B673" s="917"/>
    </row>
    <row r="674">
      <c r="B674" s="917"/>
    </row>
    <row r="675">
      <c r="B675" s="917"/>
    </row>
    <row r="676">
      <c r="B676" s="917"/>
    </row>
    <row r="677">
      <c r="B677" s="917"/>
    </row>
    <row r="678">
      <c r="B678" s="917"/>
    </row>
    <row r="679">
      <c r="B679" s="917"/>
    </row>
    <row r="680">
      <c r="B680" s="917"/>
    </row>
    <row r="681">
      <c r="B681" s="917"/>
    </row>
    <row r="682">
      <c r="B682" s="917"/>
    </row>
    <row r="683">
      <c r="B683" s="917"/>
    </row>
    <row r="684">
      <c r="B684" s="917"/>
    </row>
    <row r="685">
      <c r="B685" s="917"/>
    </row>
    <row r="686">
      <c r="B686" s="917"/>
    </row>
    <row r="687">
      <c r="B687" s="917"/>
    </row>
    <row r="688">
      <c r="B688" s="917"/>
    </row>
    <row r="689">
      <c r="B689" s="917"/>
    </row>
    <row r="690">
      <c r="B690" s="917"/>
    </row>
    <row r="691">
      <c r="B691" s="917"/>
    </row>
    <row r="692">
      <c r="B692" s="917"/>
    </row>
    <row r="693">
      <c r="B693" s="917"/>
    </row>
    <row r="694">
      <c r="B694" s="917"/>
    </row>
    <row r="695">
      <c r="B695" s="917"/>
    </row>
    <row r="696">
      <c r="B696" s="917"/>
    </row>
    <row r="697">
      <c r="B697" s="917"/>
    </row>
    <row r="698">
      <c r="B698" s="917"/>
    </row>
    <row r="699">
      <c r="B699" s="917"/>
    </row>
    <row r="700">
      <c r="B700" s="917"/>
    </row>
    <row r="701">
      <c r="B701" s="917"/>
    </row>
    <row r="702">
      <c r="B702" s="917"/>
    </row>
    <row r="703">
      <c r="B703" s="917"/>
    </row>
    <row r="704">
      <c r="B704" s="917"/>
    </row>
    <row r="705">
      <c r="B705" s="917"/>
    </row>
    <row r="706">
      <c r="B706" s="917"/>
    </row>
    <row r="707">
      <c r="B707" s="917"/>
    </row>
    <row r="708">
      <c r="B708" s="917"/>
    </row>
    <row r="709">
      <c r="B709" s="917"/>
    </row>
    <row r="710">
      <c r="B710" s="917"/>
    </row>
    <row r="711">
      <c r="B711" s="917"/>
    </row>
    <row r="712">
      <c r="B712" s="917"/>
    </row>
    <row r="713">
      <c r="B713" s="917"/>
    </row>
    <row r="714">
      <c r="B714" s="917"/>
    </row>
    <row r="715">
      <c r="B715" s="917"/>
    </row>
    <row r="716">
      <c r="B716" s="917"/>
    </row>
    <row r="717">
      <c r="B717" s="917"/>
    </row>
    <row r="718">
      <c r="B718" s="917"/>
    </row>
    <row r="719">
      <c r="B719" s="917"/>
    </row>
    <row r="720">
      <c r="B720" s="917"/>
    </row>
    <row r="721">
      <c r="B721" s="917"/>
    </row>
    <row r="722">
      <c r="B722" s="917"/>
    </row>
    <row r="723">
      <c r="B723" s="917"/>
    </row>
    <row r="724">
      <c r="B724" s="917"/>
    </row>
    <row r="725">
      <c r="B725" s="917"/>
    </row>
    <row r="726">
      <c r="B726" s="917"/>
    </row>
    <row r="727">
      <c r="B727" s="917"/>
    </row>
    <row r="728">
      <c r="B728" s="917"/>
    </row>
    <row r="729">
      <c r="B729" s="917"/>
    </row>
    <row r="730">
      <c r="B730" s="917"/>
    </row>
    <row r="731">
      <c r="B731" s="917"/>
    </row>
    <row r="732">
      <c r="B732" s="917"/>
    </row>
    <row r="733">
      <c r="B733" s="917"/>
    </row>
    <row r="734">
      <c r="B734" s="917"/>
    </row>
    <row r="735">
      <c r="B735" s="917"/>
    </row>
    <row r="736">
      <c r="B736" s="917"/>
    </row>
    <row r="737">
      <c r="B737" s="917"/>
    </row>
    <row r="738">
      <c r="B738" s="917"/>
    </row>
    <row r="739">
      <c r="B739" s="917"/>
    </row>
    <row r="740">
      <c r="B740" s="917"/>
    </row>
    <row r="741">
      <c r="B741" s="917"/>
    </row>
    <row r="742">
      <c r="B742" s="917"/>
    </row>
    <row r="743">
      <c r="B743" s="917"/>
    </row>
    <row r="744">
      <c r="B744" s="917"/>
    </row>
    <row r="745">
      <c r="B745" s="917"/>
    </row>
    <row r="746">
      <c r="B746" s="917"/>
    </row>
    <row r="747">
      <c r="B747" s="917"/>
    </row>
    <row r="748">
      <c r="B748" s="917"/>
    </row>
    <row r="749">
      <c r="B749" s="917"/>
    </row>
    <row r="750">
      <c r="B750" s="917"/>
    </row>
    <row r="751">
      <c r="B751" s="917"/>
    </row>
    <row r="752">
      <c r="B752" s="917"/>
    </row>
    <row r="753">
      <c r="B753" s="917"/>
    </row>
    <row r="754">
      <c r="B754" s="917"/>
    </row>
    <row r="755">
      <c r="B755" s="917"/>
    </row>
    <row r="756">
      <c r="B756" s="917"/>
    </row>
    <row r="757">
      <c r="B757" s="917"/>
    </row>
    <row r="758">
      <c r="B758" s="917"/>
    </row>
    <row r="759">
      <c r="B759" s="917"/>
    </row>
    <row r="760">
      <c r="B760" s="917"/>
    </row>
    <row r="761">
      <c r="B761" s="917"/>
    </row>
    <row r="762">
      <c r="B762" s="917"/>
    </row>
    <row r="763">
      <c r="B763" s="917"/>
    </row>
    <row r="764">
      <c r="B764" s="917"/>
    </row>
    <row r="765">
      <c r="B765" s="917"/>
    </row>
    <row r="766">
      <c r="B766" s="917"/>
    </row>
    <row r="767">
      <c r="B767" s="917"/>
    </row>
    <row r="768">
      <c r="B768" s="917"/>
    </row>
    <row r="769">
      <c r="B769" s="917"/>
    </row>
    <row r="770">
      <c r="B770" s="917"/>
    </row>
    <row r="771">
      <c r="B771" s="917"/>
    </row>
    <row r="772">
      <c r="B772" s="917"/>
    </row>
    <row r="773">
      <c r="B773" s="917"/>
    </row>
    <row r="774">
      <c r="B774" s="917"/>
    </row>
    <row r="775">
      <c r="B775" s="917"/>
    </row>
    <row r="776">
      <c r="B776" s="917"/>
    </row>
    <row r="777">
      <c r="B777" s="917"/>
    </row>
    <row r="778">
      <c r="B778" s="917"/>
    </row>
    <row r="779">
      <c r="B779" s="917"/>
    </row>
    <row r="780">
      <c r="B780" s="917"/>
    </row>
    <row r="781">
      <c r="B781" s="917"/>
    </row>
    <row r="782">
      <c r="B782" s="917"/>
    </row>
    <row r="783">
      <c r="B783" s="917"/>
    </row>
    <row r="784">
      <c r="B784" s="917"/>
    </row>
    <row r="785">
      <c r="B785" s="917"/>
    </row>
    <row r="786">
      <c r="B786" s="917"/>
    </row>
    <row r="787">
      <c r="B787" s="917"/>
    </row>
    <row r="788">
      <c r="B788" s="917"/>
    </row>
    <row r="789">
      <c r="B789" s="917"/>
    </row>
    <row r="790">
      <c r="B790" s="917"/>
    </row>
    <row r="791">
      <c r="B791" s="917"/>
    </row>
    <row r="792">
      <c r="B792" s="917"/>
    </row>
    <row r="793">
      <c r="B793" s="917"/>
    </row>
    <row r="794">
      <c r="B794" s="917"/>
    </row>
    <row r="795">
      <c r="B795" s="917"/>
    </row>
    <row r="796">
      <c r="B796" s="917"/>
    </row>
    <row r="797">
      <c r="B797" s="917"/>
    </row>
    <row r="798">
      <c r="B798" s="917"/>
    </row>
    <row r="799">
      <c r="B799" s="917"/>
    </row>
    <row r="800">
      <c r="B800" s="917"/>
    </row>
    <row r="801">
      <c r="B801" s="917"/>
    </row>
    <row r="802">
      <c r="B802" s="917"/>
    </row>
    <row r="803">
      <c r="B803" s="917"/>
    </row>
    <row r="804">
      <c r="B804" s="917"/>
    </row>
    <row r="805">
      <c r="B805" s="917"/>
    </row>
    <row r="806">
      <c r="B806" s="917"/>
    </row>
    <row r="807">
      <c r="B807" s="917"/>
    </row>
    <row r="808">
      <c r="B808" s="917"/>
    </row>
    <row r="809">
      <c r="B809" s="917"/>
    </row>
    <row r="810">
      <c r="B810" s="917"/>
    </row>
    <row r="811">
      <c r="B811" s="917"/>
    </row>
    <row r="812">
      <c r="B812" s="917"/>
    </row>
    <row r="813">
      <c r="B813" s="917"/>
    </row>
    <row r="814">
      <c r="B814" s="917"/>
    </row>
    <row r="815">
      <c r="B815" s="917"/>
    </row>
    <row r="816">
      <c r="B816" s="917"/>
    </row>
    <row r="817">
      <c r="B817" s="917"/>
    </row>
    <row r="818">
      <c r="B818" s="917"/>
    </row>
    <row r="819">
      <c r="B819" s="917"/>
    </row>
    <row r="820">
      <c r="B820" s="917"/>
    </row>
    <row r="821">
      <c r="B821" s="917"/>
    </row>
    <row r="822">
      <c r="B822" s="917"/>
    </row>
    <row r="823">
      <c r="B823" s="917"/>
    </row>
    <row r="824">
      <c r="B824" s="917"/>
    </row>
    <row r="825">
      <c r="B825" s="917"/>
    </row>
    <row r="826">
      <c r="B826" s="917"/>
    </row>
    <row r="827">
      <c r="B827" s="917"/>
    </row>
    <row r="828">
      <c r="B828" s="917"/>
    </row>
    <row r="829">
      <c r="B829" s="917"/>
    </row>
    <row r="830">
      <c r="B830" s="917"/>
    </row>
    <row r="831">
      <c r="B831" s="917"/>
    </row>
    <row r="832">
      <c r="B832" s="917"/>
    </row>
    <row r="833">
      <c r="B833" s="917"/>
    </row>
    <row r="834">
      <c r="B834" s="917"/>
    </row>
    <row r="835">
      <c r="B835" s="917"/>
    </row>
    <row r="836">
      <c r="B836" s="917"/>
    </row>
    <row r="837">
      <c r="B837" s="917"/>
    </row>
    <row r="838">
      <c r="B838" s="917"/>
    </row>
    <row r="839">
      <c r="B839" s="917"/>
    </row>
    <row r="840">
      <c r="B840" s="917"/>
    </row>
    <row r="841">
      <c r="B841" s="917"/>
    </row>
    <row r="842">
      <c r="B842" s="917"/>
    </row>
    <row r="843">
      <c r="B843" s="917"/>
    </row>
    <row r="844">
      <c r="B844" s="917"/>
    </row>
    <row r="845">
      <c r="B845" s="917"/>
    </row>
    <row r="846">
      <c r="B846" s="917"/>
    </row>
    <row r="847">
      <c r="B847" s="917"/>
    </row>
    <row r="848">
      <c r="B848" s="917"/>
    </row>
    <row r="849">
      <c r="B849" s="917"/>
    </row>
    <row r="850">
      <c r="B850" s="917"/>
    </row>
    <row r="851">
      <c r="B851" s="917"/>
    </row>
    <row r="852">
      <c r="B852" s="917"/>
    </row>
    <row r="853">
      <c r="B853" s="917"/>
    </row>
    <row r="854">
      <c r="B854" s="917"/>
    </row>
    <row r="855">
      <c r="B855" s="917"/>
    </row>
    <row r="856">
      <c r="B856" s="917"/>
    </row>
    <row r="857">
      <c r="B857" s="917"/>
    </row>
    <row r="858">
      <c r="B858" s="917"/>
    </row>
    <row r="859">
      <c r="B859" s="917"/>
    </row>
    <row r="860">
      <c r="B860" s="917"/>
    </row>
    <row r="861">
      <c r="B861" s="917"/>
    </row>
    <row r="862">
      <c r="B862" s="917"/>
    </row>
    <row r="863">
      <c r="B863" s="917"/>
    </row>
    <row r="864">
      <c r="B864" s="917"/>
    </row>
    <row r="865">
      <c r="B865" s="917"/>
    </row>
    <row r="866">
      <c r="B866" s="917"/>
    </row>
    <row r="867">
      <c r="B867" s="917"/>
    </row>
    <row r="868">
      <c r="B868" s="917"/>
    </row>
    <row r="869">
      <c r="B869" s="917"/>
    </row>
    <row r="870">
      <c r="B870" s="917"/>
    </row>
    <row r="871">
      <c r="B871" s="917"/>
    </row>
    <row r="872">
      <c r="B872" s="917"/>
    </row>
    <row r="873">
      <c r="B873" s="917"/>
    </row>
    <row r="874">
      <c r="B874" s="917"/>
    </row>
    <row r="875">
      <c r="B875" s="917"/>
    </row>
    <row r="876">
      <c r="B876" s="917"/>
    </row>
    <row r="877">
      <c r="B877" s="917"/>
    </row>
    <row r="878">
      <c r="B878" s="917"/>
    </row>
    <row r="879">
      <c r="B879" s="917"/>
    </row>
    <row r="880">
      <c r="B880" s="917"/>
    </row>
    <row r="881">
      <c r="B881" s="917"/>
    </row>
    <row r="882">
      <c r="B882" s="917"/>
    </row>
    <row r="883">
      <c r="B883" s="917"/>
    </row>
    <row r="884">
      <c r="B884" s="917"/>
    </row>
    <row r="885">
      <c r="B885" s="917"/>
    </row>
    <row r="886">
      <c r="B886" s="917"/>
    </row>
    <row r="887">
      <c r="B887" s="917"/>
    </row>
    <row r="888">
      <c r="B888" s="917"/>
    </row>
    <row r="889">
      <c r="B889" s="917"/>
    </row>
    <row r="890">
      <c r="B890" s="917"/>
    </row>
    <row r="891">
      <c r="B891" s="917"/>
    </row>
    <row r="892">
      <c r="B892" s="917"/>
    </row>
    <row r="893">
      <c r="B893" s="917"/>
    </row>
    <row r="894">
      <c r="B894" s="917"/>
    </row>
    <row r="895">
      <c r="B895" s="917"/>
    </row>
    <row r="896">
      <c r="B896" s="917"/>
    </row>
    <row r="897">
      <c r="B897" s="917"/>
    </row>
    <row r="898">
      <c r="B898" s="917"/>
    </row>
    <row r="899">
      <c r="B899" s="917"/>
    </row>
    <row r="900">
      <c r="B900" s="917"/>
    </row>
    <row r="901">
      <c r="B901" s="917"/>
    </row>
    <row r="902">
      <c r="B902" s="917"/>
    </row>
    <row r="903">
      <c r="B903" s="917"/>
    </row>
    <row r="904">
      <c r="B904" s="917"/>
    </row>
    <row r="905">
      <c r="B905" s="917"/>
    </row>
    <row r="906">
      <c r="B906" s="917"/>
    </row>
    <row r="907">
      <c r="B907" s="917"/>
    </row>
    <row r="908">
      <c r="B908" s="917"/>
    </row>
    <row r="909">
      <c r="B909" s="917"/>
    </row>
    <row r="910">
      <c r="B910" s="917"/>
    </row>
    <row r="911">
      <c r="B911" s="917"/>
    </row>
    <row r="912">
      <c r="B912" s="917"/>
    </row>
    <row r="913">
      <c r="B913" s="917"/>
    </row>
    <row r="914">
      <c r="B914" s="917"/>
    </row>
    <row r="915">
      <c r="B915" s="917"/>
    </row>
    <row r="916">
      <c r="B916" s="917"/>
    </row>
    <row r="917">
      <c r="B917" s="917"/>
    </row>
    <row r="918">
      <c r="B918" s="917"/>
    </row>
    <row r="919">
      <c r="B919" s="917"/>
    </row>
    <row r="920">
      <c r="B920" s="917"/>
    </row>
    <row r="921">
      <c r="B921" s="917"/>
    </row>
    <row r="922">
      <c r="B922" s="917"/>
    </row>
    <row r="923">
      <c r="B923" s="917"/>
    </row>
    <row r="924">
      <c r="B924" s="917"/>
    </row>
    <row r="925">
      <c r="B925" s="917"/>
    </row>
    <row r="926">
      <c r="B926" s="917"/>
    </row>
    <row r="927">
      <c r="B927" s="917"/>
    </row>
    <row r="928">
      <c r="B928" s="917"/>
    </row>
    <row r="929">
      <c r="B929" s="917"/>
    </row>
    <row r="930">
      <c r="B930" s="917"/>
    </row>
    <row r="931">
      <c r="B931" s="917"/>
    </row>
    <row r="932">
      <c r="B932" s="917"/>
    </row>
    <row r="933">
      <c r="B933" s="917"/>
    </row>
    <row r="934">
      <c r="B934" s="917"/>
    </row>
    <row r="935">
      <c r="B935" s="917"/>
    </row>
    <row r="936">
      <c r="B936" s="917"/>
    </row>
    <row r="937">
      <c r="B937" s="917"/>
    </row>
    <row r="938">
      <c r="B938" s="917"/>
    </row>
    <row r="939">
      <c r="B939" s="917"/>
    </row>
    <row r="940">
      <c r="B940" s="917"/>
    </row>
    <row r="941">
      <c r="B941" s="917"/>
    </row>
    <row r="942">
      <c r="B942" s="917"/>
    </row>
    <row r="943">
      <c r="B943" s="917"/>
    </row>
    <row r="944">
      <c r="B944" s="917"/>
    </row>
    <row r="945">
      <c r="B945" s="917"/>
    </row>
    <row r="946">
      <c r="B946" s="917"/>
    </row>
    <row r="947">
      <c r="B947" s="917"/>
    </row>
    <row r="948">
      <c r="B948" s="917"/>
    </row>
    <row r="949">
      <c r="B949" s="917"/>
    </row>
    <row r="950">
      <c r="B950" s="917"/>
    </row>
    <row r="951">
      <c r="B951" s="917"/>
    </row>
    <row r="952">
      <c r="B952" s="917"/>
    </row>
    <row r="953">
      <c r="B953" s="917"/>
    </row>
    <row r="954">
      <c r="B954" s="917"/>
    </row>
    <row r="955">
      <c r="B955" s="917"/>
    </row>
    <row r="956">
      <c r="B956" s="917"/>
    </row>
    <row r="957">
      <c r="B957" s="917"/>
    </row>
    <row r="958">
      <c r="B958" s="917"/>
    </row>
    <row r="959">
      <c r="B959" s="917"/>
    </row>
    <row r="960">
      <c r="B960" s="917"/>
    </row>
    <row r="961">
      <c r="B961" s="917"/>
    </row>
    <row r="962">
      <c r="B962" s="917"/>
    </row>
    <row r="963">
      <c r="B963" s="917"/>
    </row>
    <row r="964">
      <c r="B964" s="917"/>
    </row>
    <row r="965">
      <c r="B965" s="917"/>
    </row>
    <row r="966">
      <c r="B966" s="917"/>
    </row>
    <row r="967">
      <c r="B967" s="917"/>
    </row>
    <row r="968">
      <c r="B968" s="917"/>
    </row>
    <row r="969">
      <c r="B969" s="917"/>
    </row>
    <row r="970">
      <c r="B970" s="917"/>
    </row>
    <row r="971">
      <c r="B971" s="917"/>
    </row>
    <row r="972">
      <c r="B972" s="917"/>
    </row>
    <row r="973">
      <c r="B973" s="917"/>
    </row>
    <row r="974">
      <c r="B974" s="917"/>
    </row>
    <row r="975">
      <c r="B975" s="917"/>
    </row>
    <row r="976">
      <c r="B976" s="917"/>
    </row>
    <row r="977">
      <c r="B977" s="917"/>
    </row>
    <row r="978">
      <c r="B978" s="917"/>
    </row>
    <row r="979">
      <c r="B979" s="917"/>
    </row>
    <row r="980">
      <c r="B980" s="917"/>
    </row>
    <row r="981">
      <c r="B981" s="917"/>
    </row>
    <row r="982">
      <c r="B982" s="917"/>
    </row>
    <row r="983">
      <c r="B983" s="917"/>
    </row>
    <row r="984">
      <c r="B984" s="917"/>
    </row>
    <row r="985">
      <c r="B985" s="917"/>
    </row>
    <row r="986">
      <c r="B986" s="917"/>
    </row>
    <row r="987">
      <c r="B987" s="917"/>
    </row>
    <row r="988">
      <c r="B988" s="917"/>
    </row>
    <row r="989">
      <c r="B989" s="917"/>
    </row>
    <row r="990">
      <c r="B990" s="917"/>
    </row>
    <row r="991">
      <c r="B991" s="917"/>
    </row>
    <row r="992">
      <c r="B992" s="917"/>
    </row>
    <row r="993">
      <c r="B993" s="917"/>
    </row>
    <row r="994">
      <c r="B994" s="917"/>
    </row>
    <row r="995">
      <c r="B995" s="917"/>
    </row>
    <row r="996">
      <c r="B996" s="917"/>
    </row>
    <row r="997">
      <c r="B997" s="917"/>
    </row>
    <row r="998">
      <c r="B998" s="917"/>
    </row>
  </sheetData>
  <mergeCells count="16">
    <mergeCell ref="B1:G1"/>
    <mergeCell ref="I1:N1"/>
    <mergeCell ref="I7:N8"/>
    <mergeCell ref="I9:I10"/>
    <mergeCell ref="J9:J10"/>
    <mergeCell ref="K9:K10"/>
    <mergeCell ref="L9:L10"/>
    <mergeCell ref="M21:M22"/>
    <mergeCell ref="N21:N22"/>
    <mergeCell ref="M9:M10"/>
    <mergeCell ref="N9:N10"/>
    <mergeCell ref="I19:N20"/>
    <mergeCell ref="I21:I22"/>
    <mergeCell ref="J21:J22"/>
    <mergeCell ref="K21:K22"/>
    <mergeCell ref="L21:L2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65" t="s">
        <v>593</v>
      </c>
      <c r="G1" s="965" t="s">
        <v>594</v>
      </c>
    </row>
    <row r="2">
      <c r="A2" s="966" t="str">
        <f>IFERROR(__xludf.DUMMYFUNCTION("QUERY(Calcul_mensuel!A2:AB1000,""SELECT A,J,AB,X WHERE A ENDS WITH '-GV' ORDER BY X DESC "")"),"#N/A")</f>
        <v>#N/A</v>
      </c>
      <c r="G2" s="966" t="str">
        <f>IFERROR(__xludf.DUMMYFUNCTION("QUERY(Calcul_mensuel!A2:AB1000,""SELECT A,J,AB,X WHERE NOT A ENDS WITH '-GV' AND NOT A ENDS WITH '-MONO' AND NOT A ENDS WITH '-INSTALL' AND NOT A ENDS WITH '_instal' ORDER BY X DESC "")"),"#N/A")</f>
        <v>#N/A</v>
      </c>
      <c r="H2" s="967">
        <f>IFERROR(__xludf.DUMMYFUNCTION("""COMPUTED_VALUE"""),4.821120324928076)</f>
        <v>4.821120325</v>
      </c>
      <c r="I2" s="952" t="str">
        <f>IFERROR(__xludf.DUMMYFUNCTION("""COMPUTED_VALUE"""),"#DIV/0!")</f>
        <v>#DIV/0!</v>
      </c>
      <c r="J2" s="952" t="str">
        <f>IFERROR(__xludf.DUMMYFUNCTION("""COMPUTED_VALUE"""),"#DIV/0!")</f>
        <v>#DIV/0!</v>
      </c>
    </row>
    <row r="3">
      <c r="G3" s="952"/>
      <c r="H3" s="967"/>
      <c r="I3" s="952"/>
      <c r="J3" s="952" t="str">
        <f>IFERROR(__xludf.DUMMYFUNCTION("""COMPUTED_VALUE"""),"#DIV/0!")</f>
        <v>#DIV/0!</v>
      </c>
    </row>
    <row r="4">
      <c r="G4" s="952"/>
      <c r="H4" s="967"/>
      <c r="I4" s="952"/>
      <c r="J4" s="952" t="str">
        <f>IFERROR(__xludf.DUMMYFUNCTION("""COMPUTED_VALUE"""),"#DIV/0!")</f>
        <v>#DIV/0!</v>
      </c>
    </row>
    <row r="5">
      <c r="G5" s="952"/>
      <c r="H5" s="967"/>
      <c r="I5" s="952"/>
      <c r="J5" s="952" t="str">
        <f>IFERROR(__xludf.DUMMYFUNCTION("""COMPUTED_VALUE"""),"#DIV/0!")</f>
        <v>#DIV/0!</v>
      </c>
    </row>
    <row r="6">
      <c r="G6" s="952"/>
      <c r="H6" s="967"/>
      <c r="I6" s="952"/>
      <c r="J6" s="952" t="str">
        <f>IFERROR(__xludf.DUMMYFUNCTION("""COMPUTED_VALUE"""),"#DIV/0!")</f>
        <v>#DIV/0!</v>
      </c>
    </row>
    <row r="7">
      <c r="G7" s="952"/>
      <c r="H7" s="967"/>
      <c r="I7" s="952"/>
      <c r="J7" s="952" t="str">
        <f>IFERROR(__xludf.DUMMYFUNCTION("""COMPUTED_VALUE"""),"#DIV/0!")</f>
        <v>#DIV/0!</v>
      </c>
    </row>
    <row r="8">
      <c r="G8" s="952"/>
      <c r="H8" s="967"/>
      <c r="I8" s="952"/>
      <c r="J8" s="952" t="str">
        <f>IFERROR(__xludf.DUMMYFUNCTION("""COMPUTED_VALUE"""),"#DIV/0!")</f>
        <v>#DIV/0!</v>
      </c>
    </row>
    <row r="9">
      <c r="G9" s="952"/>
      <c r="H9" s="967"/>
      <c r="I9" s="952"/>
      <c r="J9" s="952" t="str">
        <f>IFERROR(__xludf.DUMMYFUNCTION("""COMPUTED_VALUE"""),"#DIV/0!")</f>
        <v>#DIV/0!</v>
      </c>
    </row>
    <row r="10">
      <c r="G10" s="952"/>
      <c r="H10" s="967"/>
      <c r="I10" s="952"/>
      <c r="J10" s="952" t="str">
        <f>IFERROR(__xludf.DUMMYFUNCTION("""COMPUTED_VALUE"""),"#DIV/0!")</f>
        <v>#DIV/0!</v>
      </c>
    </row>
    <row r="11">
      <c r="A11" s="965" t="s">
        <v>595</v>
      </c>
      <c r="G11" s="952"/>
      <c r="H11" s="967"/>
      <c r="I11" s="952"/>
      <c r="J11" s="952" t="str">
        <f>IFERROR(__xludf.DUMMYFUNCTION("""COMPUTED_VALUE"""),"#DIV/0!")</f>
        <v>#DIV/0!</v>
      </c>
    </row>
    <row r="12">
      <c r="A12" s="966" t="str">
        <f>IFERROR(__xludf.DUMMYFUNCTION("QUERY(Calcul_mensuel!A2:AB1000,""SELECT A,J,AB,X WHERE A ENDS WITH '-INSTALL' ORDER BY X DESC "")"),"#N/A")</f>
        <v>#N/A</v>
      </c>
      <c r="G12" s="952"/>
      <c r="H12" s="967"/>
      <c r="I12" s="952"/>
      <c r="J12" s="952" t="str">
        <f>IFERROR(__xludf.DUMMYFUNCTION("""COMPUTED_VALUE"""),"#DIV/0!")</f>
        <v>#DIV/0!</v>
      </c>
    </row>
    <row r="13">
      <c r="G13" s="952"/>
      <c r="H13" s="967"/>
      <c r="I13" s="952"/>
      <c r="J13" s="952" t="str">
        <f>IFERROR(__xludf.DUMMYFUNCTION("""COMPUTED_VALUE"""),"#DIV/0!")</f>
        <v>#DIV/0!</v>
      </c>
    </row>
    <row r="14">
      <c r="G14" s="952"/>
      <c r="H14" s="967"/>
      <c r="I14" s="952"/>
      <c r="J14" s="952" t="str">
        <f>IFERROR(__xludf.DUMMYFUNCTION("""COMPUTED_VALUE"""),"#DIV/0!")</f>
        <v>#DIV/0!</v>
      </c>
    </row>
    <row r="15">
      <c r="G15" s="952"/>
      <c r="H15" s="967"/>
      <c r="I15" s="952"/>
      <c r="J15" s="952" t="str">
        <f>IFERROR(__xludf.DUMMYFUNCTION("""COMPUTED_VALUE"""),"#DIV/0!")</f>
        <v>#DIV/0!</v>
      </c>
    </row>
    <row r="16">
      <c r="G16" s="952"/>
      <c r="H16" s="967"/>
      <c r="I16" s="952"/>
      <c r="J16" s="952" t="str">
        <f>IFERROR(__xludf.DUMMYFUNCTION("""COMPUTED_VALUE"""),"#DIV/0!")</f>
        <v>#DIV/0!</v>
      </c>
    </row>
    <row r="17">
      <c r="G17" s="952"/>
      <c r="H17" s="967"/>
      <c r="I17" s="952"/>
      <c r="J17" s="952" t="str">
        <f>IFERROR(__xludf.DUMMYFUNCTION("""COMPUTED_VALUE"""),"#DIV/0!")</f>
        <v>#DIV/0!</v>
      </c>
    </row>
    <row r="18">
      <c r="A18" s="965" t="s">
        <v>596</v>
      </c>
      <c r="G18" s="952"/>
      <c r="H18" s="967"/>
      <c r="I18" s="952"/>
      <c r="J18" s="952" t="str">
        <f>IFERROR(__xludf.DUMMYFUNCTION("""COMPUTED_VALUE"""),"#DIV/0!")</f>
        <v>#DIV/0!</v>
      </c>
    </row>
    <row r="19">
      <c r="A19" s="966" t="str">
        <f>IFERROR(__xludf.DUMMYFUNCTION("QUERY(Calcul_mensuel!A2:AB1000,""SELECT A,J,AB,X WHERE A ENDS WITH '-MONO' ORDER BY X DESC "")"),"#N/A")</f>
        <v>#N/A</v>
      </c>
      <c r="G19" s="952"/>
      <c r="H19" s="967"/>
      <c r="I19" s="952"/>
      <c r="J19" s="952" t="str">
        <f>IFERROR(__xludf.DUMMYFUNCTION("""COMPUTED_VALUE"""),"#DIV/0!")</f>
        <v>#DIV/0!</v>
      </c>
    </row>
    <row r="20">
      <c r="G20" s="952"/>
      <c r="H20" s="967"/>
      <c r="I20" s="952"/>
      <c r="J20" s="952" t="str">
        <f>IFERROR(__xludf.DUMMYFUNCTION("""COMPUTED_VALUE"""),"#DIV/0!")</f>
        <v>#DIV/0!</v>
      </c>
    </row>
    <row r="21">
      <c r="G21" s="952"/>
      <c r="H21" s="967"/>
      <c r="I21" s="952"/>
      <c r="J21" s="952" t="str">
        <f>IFERROR(__xludf.DUMMYFUNCTION("""COMPUTED_VALUE"""),"#DIV/0!")</f>
        <v>#DIV/0!</v>
      </c>
    </row>
    <row r="22">
      <c r="G22" s="952"/>
      <c r="H22" s="967"/>
      <c r="I22" s="952"/>
      <c r="J22" s="952" t="str">
        <f>IFERROR(__xludf.DUMMYFUNCTION("""COMPUTED_VALUE"""),"#DIV/0!")</f>
        <v>#DIV/0!</v>
      </c>
    </row>
    <row r="23">
      <c r="G23" s="952"/>
      <c r="H23" s="967"/>
      <c r="I23" s="952"/>
      <c r="J23" s="952" t="str">
        <f>IFERROR(__xludf.DUMMYFUNCTION("""COMPUTED_VALUE"""),"#DIV/0!")</f>
        <v>#DIV/0!</v>
      </c>
    </row>
    <row r="24">
      <c r="G24" s="952"/>
      <c r="H24" s="967"/>
      <c r="I24" s="952"/>
      <c r="J24" s="952" t="str">
        <f>IFERROR(__xludf.DUMMYFUNCTION("""COMPUTED_VALUE"""),"#DIV/0!")</f>
        <v>#DIV/0!</v>
      </c>
    </row>
    <row r="25">
      <c r="G25" s="952"/>
      <c r="H25" s="967"/>
      <c r="I25" s="952"/>
      <c r="J25" s="952" t="str">
        <f>IFERROR(__xludf.DUMMYFUNCTION("""COMPUTED_VALUE"""),"#DIV/0!")</f>
        <v>#DIV/0!</v>
      </c>
    </row>
    <row r="26">
      <c r="G26" s="952"/>
      <c r="H26" s="967"/>
      <c r="I26" s="952"/>
      <c r="J26" s="952" t="str">
        <f>IFERROR(__xludf.DUMMYFUNCTION("""COMPUTED_VALUE"""),"#DIV/0!")</f>
        <v>#DIV/0!</v>
      </c>
    </row>
    <row r="27">
      <c r="G27" s="952"/>
      <c r="H27" s="967"/>
      <c r="I27" s="952"/>
      <c r="J27" s="952" t="str">
        <f>IFERROR(__xludf.DUMMYFUNCTION("""COMPUTED_VALUE"""),"#DIV/0!")</f>
        <v>#DIV/0!</v>
      </c>
    </row>
    <row r="28">
      <c r="G28" s="952"/>
      <c r="H28" s="967"/>
      <c r="I28" s="952"/>
      <c r="J28" s="952" t="str">
        <f>IFERROR(__xludf.DUMMYFUNCTION("""COMPUTED_VALUE"""),"#DIV/0!")</f>
        <v>#DIV/0!</v>
      </c>
    </row>
    <row r="29">
      <c r="G29" s="952"/>
      <c r="H29" s="967"/>
      <c r="I29" s="952"/>
      <c r="J29" s="952" t="str">
        <f>IFERROR(__xludf.DUMMYFUNCTION("""COMPUTED_VALUE"""),"#DIV/0!")</f>
        <v>#DIV/0!</v>
      </c>
    </row>
    <row r="30">
      <c r="G30" s="952"/>
      <c r="H30" s="967"/>
      <c r="I30" s="952"/>
      <c r="J30" s="952" t="str">
        <f>IFERROR(__xludf.DUMMYFUNCTION("""COMPUTED_VALUE"""),"#DIV/0!")</f>
        <v>#DIV/0!</v>
      </c>
    </row>
    <row r="31">
      <c r="G31" s="952"/>
      <c r="H31" s="967"/>
      <c r="I31" s="952"/>
      <c r="J31" s="952" t="str">
        <f>IFERROR(__xludf.DUMMYFUNCTION("""COMPUTED_VALUE"""),"#DIV/0!")</f>
        <v>#DIV/0!</v>
      </c>
    </row>
    <row r="32">
      <c r="G32" s="952"/>
      <c r="H32" s="967"/>
      <c r="I32" s="952"/>
      <c r="J32" s="952" t="str">
        <f>IFERROR(__xludf.DUMMYFUNCTION("""COMPUTED_VALUE"""),"#DIV/0!")</f>
        <v>#DIV/0!</v>
      </c>
    </row>
    <row r="33">
      <c r="G33" s="952"/>
      <c r="H33" s="967"/>
      <c r="I33" s="952"/>
      <c r="J33" s="952" t="str">
        <f>IFERROR(__xludf.DUMMYFUNCTION("""COMPUTED_VALUE"""),"#DIV/0!")</f>
        <v>#DIV/0!</v>
      </c>
    </row>
    <row r="34">
      <c r="G34" s="952"/>
      <c r="H34" s="967"/>
      <c r="I34" s="952"/>
      <c r="J34" s="952" t="str">
        <f>IFERROR(__xludf.DUMMYFUNCTION("""COMPUTED_VALUE"""),"#DIV/0!")</f>
        <v>#DIV/0!</v>
      </c>
    </row>
    <row r="35">
      <c r="G35" s="952"/>
      <c r="H35" s="967"/>
      <c r="I35" s="952"/>
      <c r="J35" s="952" t="str">
        <f>IFERROR(__xludf.DUMMYFUNCTION("""COMPUTED_VALUE"""),"#DIV/0!")</f>
        <v>#DIV/0!</v>
      </c>
    </row>
    <row r="36">
      <c r="G36" s="952"/>
      <c r="H36" s="967"/>
      <c r="I36" s="952"/>
      <c r="J36" s="952" t="str">
        <f>IFERROR(__xludf.DUMMYFUNCTION("""COMPUTED_VALUE"""),"#DIV/0!")</f>
        <v>#DIV/0!</v>
      </c>
    </row>
    <row r="37">
      <c r="G37" s="952"/>
      <c r="H37" s="967"/>
      <c r="I37" s="952"/>
      <c r="J37" s="952" t="str">
        <f>IFERROR(__xludf.DUMMYFUNCTION("""COMPUTED_VALUE"""),"#DIV/0!")</f>
        <v>#DIV/0!</v>
      </c>
    </row>
    <row r="38">
      <c r="G38" s="952"/>
      <c r="H38" s="967"/>
      <c r="I38" s="952"/>
      <c r="J38" s="952" t="str">
        <f>IFERROR(__xludf.DUMMYFUNCTION("""COMPUTED_VALUE"""),"#DIV/0!")</f>
        <v>#DIV/0!</v>
      </c>
    </row>
    <row r="39">
      <c r="G39" s="952"/>
      <c r="H39" s="967"/>
      <c r="I39" s="952"/>
      <c r="J39" s="952" t="str">
        <f>IFERROR(__xludf.DUMMYFUNCTION("""COMPUTED_VALUE"""),"#DIV/0!")</f>
        <v>#DIV/0!</v>
      </c>
    </row>
    <row r="40">
      <c r="G40" s="952"/>
      <c r="H40" s="967"/>
      <c r="I40" s="952"/>
      <c r="J40" s="952" t="str">
        <f>IFERROR(__xludf.DUMMYFUNCTION("""COMPUTED_VALUE"""),"#DIV/0!")</f>
        <v>#DIV/0!</v>
      </c>
    </row>
    <row r="41">
      <c r="G41" s="952"/>
      <c r="H41" s="967"/>
      <c r="I41" s="952"/>
      <c r="J41" s="952" t="str">
        <f>IFERROR(__xludf.DUMMYFUNCTION("""COMPUTED_VALUE"""),"#DIV/0!")</f>
        <v>#DIV/0!</v>
      </c>
    </row>
    <row r="42">
      <c r="G42" s="952"/>
      <c r="H42" s="967"/>
      <c r="I42" s="952"/>
      <c r="J42" s="952" t="str">
        <f>IFERROR(__xludf.DUMMYFUNCTION("""COMPUTED_VALUE"""),"#DIV/0!")</f>
        <v>#DIV/0!</v>
      </c>
    </row>
    <row r="43">
      <c r="G43" s="952"/>
      <c r="H43" s="967"/>
      <c r="I43" s="952"/>
      <c r="J43" s="952" t="str">
        <f>IFERROR(__xludf.DUMMYFUNCTION("""COMPUTED_VALUE"""),"#DIV/0!")</f>
        <v>#DIV/0!</v>
      </c>
    </row>
    <row r="44">
      <c r="G44" s="952"/>
      <c r="H44" s="967"/>
      <c r="I44" s="952"/>
      <c r="J44" s="952" t="str">
        <f>IFERROR(__xludf.DUMMYFUNCTION("""COMPUTED_VALUE"""),"#DIV/0!")</f>
        <v>#DIV/0!</v>
      </c>
    </row>
    <row r="45">
      <c r="G45" s="952"/>
      <c r="H45" s="967"/>
      <c r="I45" s="952"/>
      <c r="J45" s="952" t="str">
        <f>IFERROR(__xludf.DUMMYFUNCTION("""COMPUTED_VALUE"""),"#DIV/0!")</f>
        <v>#DIV/0!</v>
      </c>
    </row>
    <row r="46">
      <c r="G46" s="952"/>
      <c r="H46" s="967"/>
      <c r="I46" s="952"/>
      <c r="J46" s="952" t="str">
        <f>IFERROR(__xludf.DUMMYFUNCTION("""COMPUTED_VALUE"""),"#DIV/0!")</f>
        <v>#DIV/0!</v>
      </c>
    </row>
    <row r="47">
      <c r="G47" s="952"/>
      <c r="H47" s="967"/>
      <c r="I47" s="952"/>
      <c r="J47" s="952" t="str">
        <f>IFERROR(__xludf.DUMMYFUNCTION("""COMPUTED_VALUE"""),"#DIV/0!")</f>
        <v>#DIV/0!</v>
      </c>
    </row>
    <row r="48">
      <c r="G48" s="952"/>
      <c r="H48" s="967"/>
      <c r="I48" s="952"/>
      <c r="J48" s="952" t="str">
        <f>IFERROR(__xludf.DUMMYFUNCTION("""COMPUTED_VALUE"""),"#DIV/0!")</f>
        <v>#DIV/0!</v>
      </c>
    </row>
    <row r="49">
      <c r="G49" s="952"/>
      <c r="H49" s="967"/>
      <c r="I49" s="952"/>
      <c r="J49" s="952" t="str">
        <f>IFERROR(__xludf.DUMMYFUNCTION("""COMPUTED_VALUE"""),"#DIV/0!")</f>
        <v>#DIV/0!</v>
      </c>
    </row>
    <row r="50">
      <c r="G50" s="952"/>
      <c r="H50" s="967"/>
      <c r="I50" s="952"/>
      <c r="J50" s="952" t="str">
        <f>IFERROR(__xludf.DUMMYFUNCTION("""COMPUTED_VALUE"""),"#DIV/0!")</f>
        <v>#DIV/0!</v>
      </c>
    </row>
    <row r="51">
      <c r="G51" s="952"/>
      <c r="H51" s="967"/>
      <c r="I51" s="952"/>
      <c r="J51" s="952" t="str">
        <f>IFERROR(__xludf.DUMMYFUNCTION("""COMPUTED_VALUE"""),"#DIV/0!")</f>
        <v>#DIV/0!</v>
      </c>
    </row>
    <row r="52">
      <c r="G52" s="952"/>
      <c r="H52" s="967"/>
      <c r="I52" s="952"/>
      <c r="J52" s="952" t="str">
        <f>IFERROR(__xludf.DUMMYFUNCTION("""COMPUTED_VALUE"""),"#DIV/0!")</f>
        <v>#DIV/0!</v>
      </c>
    </row>
    <row r="53">
      <c r="G53" s="952"/>
      <c r="H53" s="967"/>
      <c r="I53" s="952"/>
      <c r="J53" s="952" t="str">
        <f>IFERROR(__xludf.DUMMYFUNCTION("""COMPUTED_VALUE"""),"#DIV/0!")</f>
        <v>#DIV/0!</v>
      </c>
    </row>
    <row r="54">
      <c r="G54" s="952"/>
      <c r="H54" s="967"/>
      <c r="I54" s="952"/>
      <c r="J54" s="952"/>
    </row>
    <row r="55">
      <c r="G55" s="952"/>
      <c r="H55" s="967"/>
      <c r="I55" s="952"/>
      <c r="J55" s="952"/>
    </row>
    <row r="56">
      <c r="G56" s="952"/>
      <c r="H56" s="967"/>
      <c r="I56" s="952"/>
      <c r="J56" s="952"/>
    </row>
    <row r="57">
      <c r="G57" s="952"/>
      <c r="H57" s="967"/>
      <c r="I57" s="952"/>
      <c r="J57" s="952"/>
    </row>
    <row r="58">
      <c r="G58" s="952"/>
      <c r="H58" s="967"/>
      <c r="I58" s="952"/>
      <c r="J58" s="952"/>
    </row>
    <row r="59">
      <c r="G59" s="952"/>
      <c r="H59" s="967"/>
      <c r="I59" s="952"/>
      <c r="J59" s="952"/>
    </row>
    <row r="60">
      <c r="G60" s="952"/>
      <c r="H60" s="967"/>
      <c r="I60" s="952"/>
      <c r="J60" s="952"/>
    </row>
    <row r="61">
      <c r="G61" s="952"/>
      <c r="H61" s="967"/>
      <c r="I61" s="952"/>
      <c r="J61" s="952"/>
    </row>
    <row r="62">
      <c r="G62" s="952"/>
      <c r="H62" s="967"/>
      <c r="I62" s="952"/>
      <c r="J62" s="952"/>
    </row>
    <row r="63">
      <c r="G63" s="952"/>
      <c r="H63" s="967"/>
      <c r="I63" s="952"/>
      <c r="J63" s="952"/>
    </row>
    <row r="64">
      <c r="G64" s="952"/>
      <c r="H64" s="967"/>
      <c r="I64" s="952"/>
      <c r="J64" s="952"/>
    </row>
    <row r="65">
      <c r="G65" s="952"/>
      <c r="H65" s="967"/>
      <c r="I65" s="952"/>
      <c r="J65" s="952"/>
    </row>
    <row r="66">
      <c r="G66" s="952"/>
      <c r="H66" s="967"/>
      <c r="I66" s="952"/>
      <c r="J66" s="952"/>
    </row>
    <row r="67">
      <c r="G67" s="952"/>
      <c r="H67" s="967"/>
      <c r="I67" s="952"/>
      <c r="J67" s="952"/>
    </row>
    <row r="68">
      <c r="G68" s="952"/>
      <c r="H68" s="967"/>
      <c r="I68" s="952"/>
      <c r="J68" s="952"/>
    </row>
    <row r="69">
      <c r="G69" s="952"/>
      <c r="H69" s="967"/>
      <c r="I69" s="952"/>
      <c r="J69" s="952"/>
    </row>
    <row r="70">
      <c r="G70" s="952"/>
      <c r="H70" s="967"/>
      <c r="I70" s="952"/>
      <c r="J70" s="952"/>
    </row>
    <row r="71">
      <c r="G71" s="952"/>
      <c r="H71" s="967"/>
      <c r="I71" s="952"/>
      <c r="J71" s="952"/>
    </row>
    <row r="72">
      <c r="G72" s="952"/>
      <c r="H72" s="967"/>
      <c r="I72" s="952"/>
      <c r="J72" s="952"/>
    </row>
    <row r="73">
      <c r="G73" s="952"/>
      <c r="H73" s="967"/>
      <c r="I73" s="952"/>
      <c r="J73" s="952"/>
    </row>
    <row r="74">
      <c r="G74" s="952"/>
      <c r="H74" s="967"/>
      <c r="I74" s="952"/>
      <c r="J74" s="952"/>
    </row>
    <row r="75">
      <c r="G75" s="952"/>
      <c r="H75" s="967"/>
      <c r="I75" s="952"/>
      <c r="J75" s="952"/>
    </row>
    <row r="76">
      <c r="G76" s="952"/>
      <c r="H76" s="967"/>
      <c r="I76" s="952"/>
      <c r="J76" s="952"/>
    </row>
    <row r="77">
      <c r="G77" s="952"/>
      <c r="H77" s="967"/>
      <c r="I77" s="952"/>
      <c r="J77" s="952"/>
    </row>
    <row r="78">
      <c r="G78" s="952"/>
      <c r="H78" s="967"/>
      <c r="I78" s="952"/>
      <c r="J78" s="952"/>
    </row>
    <row r="79">
      <c r="G79" s="952"/>
      <c r="H79" s="967"/>
      <c r="I79" s="952"/>
      <c r="J79" s="952"/>
    </row>
    <row r="80">
      <c r="G80" s="952"/>
      <c r="H80" s="967"/>
      <c r="I80" s="952"/>
      <c r="J80" s="952"/>
    </row>
    <row r="81">
      <c r="G81" s="952"/>
      <c r="H81" s="967"/>
      <c r="I81" s="952"/>
      <c r="J81" s="952"/>
    </row>
    <row r="82">
      <c r="G82" s="952"/>
      <c r="H82" s="967"/>
      <c r="I82" s="952"/>
      <c r="J82" s="952"/>
    </row>
    <row r="83">
      <c r="G83" s="952"/>
      <c r="H83" s="967"/>
      <c r="I83" s="952"/>
      <c r="J83" s="952"/>
    </row>
    <row r="84">
      <c r="G84" s="952"/>
      <c r="H84" s="967"/>
      <c r="I84" s="952"/>
      <c r="J84" s="952"/>
    </row>
    <row r="85">
      <c r="G85" s="952"/>
      <c r="H85" s="967"/>
      <c r="I85" s="952"/>
      <c r="J85" s="952"/>
    </row>
    <row r="86">
      <c r="G86" s="952"/>
      <c r="H86" s="967"/>
      <c r="I86" s="952"/>
      <c r="J86" s="952"/>
    </row>
    <row r="87">
      <c r="G87" s="952"/>
      <c r="H87" s="967"/>
      <c r="I87" s="952"/>
      <c r="J87" s="952"/>
    </row>
    <row r="88">
      <c r="G88" s="952"/>
      <c r="H88" s="967"/>
      <c r="I88" s="952"/>
      <c r="J88" s="952"/>
    </row>
    <row r="89">
      <c r="G89" s="952"/>
      <c r="H89" s="967"/>
      <c r="I89" s="952"/>
      <c r="J89" s="952"/>
    </row>
    <row r="90">
      <c r="G90" s="952"/>
      <c r="H90" s="967"/>
      <c r="I90" s="952"/>
      <c r="J90" s="952"/>
    </row>
    <row r="91">
      <c r="G91" s="952"/>
      <c r="H91" s="967"/>
      <c r="I91" s="952"/>
      <c r="J91" s="952"/>
    </row>
    <row r="92">
      <c r="G92" s="952"/>
      <c r="H92" s="967"/>
      <c r="I92" s="952"/>
      <c r="J92" s="952"/>
    </row>
    <row r="93">
      <c r="G93" s="952"/>
      <c r="H93" s="967"/>
      <c r="I93" s="952"/>
      <c r="J93" s="952"/>
    </row>
    <row r="94">
      <c r="G94" s="952"/>
      <c r="H94" s="967"/>
      <c r="I94" s="952"/>
      <c r="J94" s="952"/>
    </row>
    <row r="95">
      <c r="G95" s="952"/>
      <c r="H95" s="967"/>
      <c r="I95" s="952"/>
      <c r="J95" s="952"/>
    </row>
    <row r="96">
      <c r="G96" s="952"/>
      <c r="H96" s="967"/>
      <c r="I96" s="952"/>
      <c r="J96" s="952"/>
    </row>
    <row r="97">
      <c r="G97" s="952"/>
      <c r="H97" s="967"/>
      <c r="I97" s="952"/>
      <c r="J97" s="952"/>
    </row>
    <row r="98">
      <c r="G98" s="952"/>
      <c r="H98" s="967"/>
      <c r="I98" s="952"/>
      <c r="J98" s="952"/>
    </row>
    <row r="99">
      <c r="G99" s="952"/>
      <c r="H99" s="967"/>
      <c r="I99" s="952"/>
      <c r="J99" s="952"/>
    </row>
    <row r="100">
      <c r="G100" s="952"/>
      <c r="H100" s="967"/>
      <c r="I100" s="952"/>
      <c r="J100" s="952"/>
    </row>
    <row r="101">
      <c r="G101" s="952"/>
      <c r="H101" s="967"/>
      <c r="I101" s="952"/>
      <c r="J101" s="952"/>
    </row>
  </sheetData>
  <mergeCells count="4">
    <mergeCell ref="A1:D1"/>
    <mergeCell ref="G1:J1"/>
    <mergeCell ref="A11:D11"/>
    <mergeCell ref="A18:D1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71"/>
  </cols>
  <sheetData>
    <row r="1">
      <c r="A1" s="968" t="s">
        <v>443</v>
      </c>
      <c r="B1" s="969" t="s">
        <v>597</v>
      </c>
      <c r="C1" s="969" t="s">
        <v>598</v>
      </c>
      <c r="D1" s="970" t="s">
        <v>599</v>
      </c>
      <c r="E1" s="970" t="s">
        <v>448</v>
      </c>
    </row>
    <row r="2">
      <c r="A2" s="971" t="str">
        <f>IFERROR(__xludf.DUMMYFUNCTION("QUERY(Calcul_mensuel!A2:AB1000,""SELECT A,J,AB,X WHERE A ENDS WITH '-GV' ORDER BY X DESC "")"),"#N/A")</f>
        <v>#N/A</v>
      </c>
      <c r="B2" s="972"/>
      <c r="C2" s="972"/>
      <c r="D2" s="972"/>
      <c r="E2" s="972" t="str">
        <f t="shared" ref="E2:E9" si="1">RANK(D2,D$2:D$9,0)</f>
        <v>#N/A</v>
      </c>
    </row>
    <row r="3">
      <c r="A3" s="973"/>
      <c r="B3" s="972"/>
      <c r="C3" s="972"/>
      <c r="D3" s="972"/>
      <c r="E3" s="972" t="str">
        <f t="shared" si="1"/>
        <v>#N/A</v>
      </c>
    </row>
    <row r="4">
      <c r="A4" s="973"/>
      <c r="B4" s="972"/>
      <c r="C4" s="972"/>
      <c r="D4" s="972"/>
      <c r="E4" s="972" t="str">
        <f t="shared" si="1"/>
        <v>#N/A</v>
      </c>
    </row>
    <row r="5">
      <c r="A5" s="973"/>
      <c r="B5" s="972"/>
      <c r="C5" s="972"/>
      <c r="D5" s="972"/>
      <c r="E5" s="972" t="str">
        <f t="shared" si="1"/>
        <v>#N/A</v>
      </c>
    </row>
    <row r="6">
      <c r="A6" s="973"/>
      <c r="B6" s="972"/>
      <c r="C6" s="972"/>
      <c r="D6" s="972"/>
      <c r="E6" s="972" t="str">
        <f t="shared" si="1"/>
        <v>#N/A</v>
      </c>
    </row>
    <row r="7">
      <c r="A7" s="973"/>
      <c r="B7" s="972"/>
      <c r="C7" s="972"/>
      <c r="D7" s="972"/>
      <c r="E7" s="972" t="str">
        <f t="shared" si="1"/>
        <v>#N/A</v>
      </c>
    </row>
    <row r="8">
      <c r="A8" s="973"/>
      <c r="B8" s="972"/>
      <c r="C8" s="972"/>
      <c r="D8" s="972"/>
      <c r="E8" s="972" t="str">
        <f t="shared" si="1"/>
        <v>#N/A</v>
      </c>
    </row>
    <row r="9">
      <c r="A9" s="973"/>
      <c r="B9" s="972"/>
      <c r="C9" s="972"/>
      <c r="D9" s="972"/>
      <c r="E9" s="972" t="str">
        <f t="shared" si="1"/>
        <v>#N/A</v>
      </c>
    </row>
    <row r="14">
      <c r="A14" s="974"/>
      <c r="B14" s="975"/>
      <c r="C14" s="975"/>
      <c r="D14" s="975"/>
      <c r="E14" s="975"/>
      <c r="F14" s="975"/>
      <c r="G14" s="975"/>
    </row>
    <row r="15">
      <c r="A15" s="971"/>
      <c r="B15" s="976"/>
      <c r="C15" s="976"/>
      <c r="D15" s="976"/>
      <c r="E15" s="976"/>
      <c r="F15" s="893"/>
      <c r="G15" s="893"/>
    </row>
    <row r="16">
      <c r="A16" s="977"/>
      <c r="B16" s="976"/>
      <c r="C16" s="976"/>
      <c r="D16" s="976"/>
      <c r="E16" s="976"/>
      <c r="F16" s="893"/>
      <c r="G16" s="893"/>
    </row>
    <row r="17">
      <c r="A17" s="977"/>
      <c r="B17" s="976"/>
      <c r="C17" s="976"/>
      <c r="D17" s="976"/>
      <c r="E17" s="976"/>
      <c r="F17" s="893"/>
      <c r="G17" s="893"/>
    </row>
    <row r="18">
      <c r="A18" s="977"/>
      <c r="B18" s="976"/>
      <c r="C18" s="976"/>
      <c r="D18" s="976"/>
      <c r="E18" s="976"/>
      <c r="F18" s="893"/>
      <c r="G18" s="893"/>
    </row>
    <row r="19">
      <c r="A19" s="977"/>
      <c r="B19" s="976"/>
      <c r="C19" s="976"/>
      <c r="D19" s="976"/>
      <c r="E19" s="976"/>
      <c r="F19" s="893"/>
      <c r="G19" s="893"/>
    </row>
    <row r="20">
      <c r="A20" s="977"/>
      <c r="B20" s="976"/>
      <c r="C20" s="976"/>
      <c r="D20" s="976"/>
      <c r="E20" s="976"/>
      <c r="F20" s="893"/>
      <c r="G20" s="893"/>
    </row>
    <row r="21">
      <c r="A21" s="977"/>
      <c r="B21" s="976"/>
      <c r="C21" s="976"/>
      <c r="D21" s="976"/>
      <c r="E21" s="976"/>
      <c r="F21" s="893"/>
      <c r="G21" s="893"/>
    </row>
    <row r="22">
      <c r="A22" s="977"/>
      <c r="B22" s="976"/>
      <c r="C22" s="976"/>
      <c r="D22" s="976"/>
      <c r="E22" s="976"/>
      <c r="F22" s="893"/>
      <c r="G22" s="893"/>
    </row>
    <row r="23">
      <c r="A23" s="893"/>
      <c r="B23" s="893"/>
      <c r="C23" s="893"/>
      <c r="D23" s="893"/>
      <c r="E23" s="893"/>
      <c r="F23" s="893"/>
      <c r="G23" s="893"/>
    </row>
    <row r="24">
      <c r="A24" s="893"/>
      <c r="B24" s="893"/>
      <c r="C24" s="893"/>
      <c r="D24" s="893"/>
      <c r="E24" s="893"/>
      <c r="F24" s="893"/>
      <c r="G24" s="89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71"/>
  </cols>
  <sheetData>
    <row r="1">
      <c r="A1" s="978" t="s">
        <v>443</v>
      </c>
      <c r="B1" s="979" t="s">
        <v>600</v>
      </c>
      <c r="C1" s="979" t="s">
        <v>447</v>
      </c>
      <c r="D1" s="979" t="s">
        <v>446</v>
      </c>
      <c r="E1" s="979" t="s">
        <v>601</v>
      </c>
      <c r="F1" s="979" t="s">
        <v>455</v>
      </c>
      <c r="G1" s="979" t="s">
        <v>448</v>
      </c>
    </row>
    <row r="2">
      <c r="A2" s="971" t="str">
        <f>IFERROR(__xludf.DUMMYFUNCTION("QUERY(Calcul_mensuel!A2:AE1000,""SELECT A,F,AE,AD,AC,E WHERE A ENDS WITH '-GV' ORDER BY E DESC "")"),"#N/A")</f>
        <v>#N/A</v>
      </c>
      <c r="B2" s="972"/>
      <c r="C2" s="972"/>
      <c r="D2" s="972"/>
      <c r="E2" s="972"/>
      <c r="G2" s="952" t="str">
        <f t="shared" ref="G2:G9" si="1">RANK(F2,F$2:F$10,0)</f>
        <v>#N/A</v>
      </c>
    </row>
    <row r="3">
      <c r="A3" s="973"/>
      <c r="B3" s="972"/>
      <c r="C3" s="972"/>
      <c r="D3" s="972"/>
      <c r="E3" s="972"/>
      <c r="G3" s="952" t="str">
        <f t="shared" si="1"/>
        <v>#N/A</v>
      </c>
    </row>
    <row r="4">
      <c r="A4" s="973"/>
      <c r="B4" s="972"/>
      <c r="C4" s="972"/>
      <c r="D4" s="972"/>
      <c r="E4" s="972"/>
      <c r="G4" s="952" t="str">
        <f t="shared" si="1"/>
        <v>#N/A</v>
      </c>
    </row>
    <row r="5">
      <c r="A5" s="973"/>
      <c r="B5" s="972"/>
      <c r="C5" s="972"/>
      <c r="D5" s="972"/>
      <c r="E5" s="972"/>
      <c r="G5" s="952" t="str">
        <f t="shared" si="1"/>
        <v>#N/A</v>
      </c>
    </row>
    <row r="6">
      <c r="A6" s="973"/>
      <c r="B6" s="972"/>
      <c r="C6" s="972"/>
      <c r="D6" s="972"/>
      <c r="E6" s="972"/>
      <c r="G6" s="952" t="str">
        <f t="shared" si="1"/>
        <v>#N/A</v>
      </c>
    </row>
    <row r="7">
      <c r="A7" s="973"/>
      <c r="B7" s="972"/>
      <c r="C7" s="972"/>
      <c r="D7" s="972"/>
      <c r="E7" s="972"/>
      <c r="G7" s="952" t="str">
        <f t="shared" si="1"/>
        <v>#N/A</v>
      </c>
    </row>
    <row r="8">
      <c r="A8" s="973"/>
      <c r="B8" s="972"/>
      <c r="C8" s="972"/>
      <c r="D8" s="972"/>
      <c r="E8" s="972"/>
      <c r="G8" s="952" t="str">
        <f t="shared" si="1"/>
        <v>#N/A</v>
      </c>
    </row>
    <row r="9">
      <c r="A9" s="973"/>
      <c r="B9" s="972"/>
      <c r="C9" s="972"/>
      <c r="D9" s="972"/>
      <c r="E9" s="972"/>
      <c r="G9" s="952" t="str">
        <f t="shared" si="1"/>
        <v>#N/A</v>
      </c>
    </row>
    <row r="14">
      <c r="A14" s="974"/>
      <c r="B14" s="975"/>
      <c r="C14" s="975"/>
      <c r="D14" s="975"/>
      <c r="E14" s="975"/>
      <c r="F14" s="975"/>
      <c r="G14" s="975"/>
    </row>
    <row r="15">
      <c r="A15" s="971"/>
      <c r="B15" s="976"/>
      <c r="C15" s="976"/>
      <c r="D15" s="976"/>
      <c r="E15" s="976"/>
      <c r="F15" s="893"/>
      <c r="G15" s="893"/>
    </row>
    <row r="16">
      <c r="A16" s="977"/>
      <c r="B16" s="976"/>
      <c r="C16" s="976"/>
      <c r="D16" s="976"/>
      <c r="E16" s="976"/>
      <c r="F16" s="893"/>
      <c r="G16" s="893"/>
    </row>
    <row r="17">
      <c r="A17" s="977"/>
      <c r="B17" s="976"/>
      <c r="C17" s="976"/>
      <c r="D17" s="976"/>
      <c r="E17" s="976"/>
      <c r="F17" s="893"/>
      <c r="G17" s="893"/>
    </row>
    <row r="18">
      <c r="A18" s="977"/>
      <c r="B18" s="976"/>
      <c r="C18" s="976"/>
      <c r="D18" s="976"/>
      <c r="E18" s="976"/>
      <c r="F18" s="893"/>
      <c r="G18" s="893"/>
    </row>
    <row r="19">
      <c r="A19" s="977"/>
      <c r="B19" s="976"/>
      <c r="C19" s="976"/>
      <c r="D19" s="976"/>
      <c r="E19" s="976"/>
      <c r="F19" s="893"/>
      <c r="G19" s="893"/>
    </row>
    <row r="20">
      <c r="A20" s="977"/>
      <c r="B20" s="976"/>
      <c r="C20" s="976"/>
      <c r="D20" s="976"/>
      <c r="E20" s="976"/>
      <c r="F20" s="893"/>
      <c r="G20" s="893"/>
    </row>
    <row r="21">
      <c r="A21" s="977"/>
      <c r="B21" s="976"/>
      <c r="C21" s="976"/>
      <c r="D21" s="976"/>
      <c r="E21" s="976"/>
      <c r="F21" s="893"/>
      <c r="G21" s="893"/>
    </row>
    <row r="22">
      <c r="A22" s="977"/>
      <c r="B22" s="976"/>
      <c r="C22" s="976"/>
      <c r="D22" s="976"/>
      <c r="E22" s="976"/>
      <c r="F22" s="893"/>
      <c r="G22" s="893"/>
    </row>
    <row r="23">
      <c r="A23" s="893"/>
      <c r="B23" s="893"/>
      <c r="C23" s="893"/>
      <c r="D23" s="893"/>
      <c r="E23" s="893"/>
      <c r="F23" s="893"/>
      <c r="G23" s="89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80" t="s">
        <v>443</v>
      </c>
      <c r="B1" s="981" t="s">
        <v>597</v>
      </c>
      <c r="C1" s="981" t="s">
        <v>598</v>
      </c>
      <c r="D1" s="981" t="s">
        <v>599</v>
      </c>
      <c r="E1" s="982" t="s">
        <v>448</v>
      </c>
    </row>
    <row r="2">
      <c r="A2" s="966" t="str">
        <f>IFERROR(__xludf.DUMMYFUNCTION("QUERY(Calcul_mensuel!A2:AB1000,""SELECT A,J,AB,X WHERE A ENDS WITH '-MONO' ORDER BY X DESC "")"),"#N/A")</f>
        <v>#N/A</v>
      </c>
      <c r="E2" s="966" t="str">
        <f>RANK(D2,D$2:D$6,0)</f>
        <v>#N/A</v>
      </c>
    </row>
    <row r="3">
      <c r="E3" s="966" t="str">
        <f t="shared" ref="E3:E7" si="1">RANK(D3,D$2:D$9,0)</f>
        <v>#N/A</v>
      </c>
    </row>
    <row r="4">
      <c r="E4" s="966" t="str">
        <f t="shared" si="1"/>
        <v>#N/A</v>
      </c>
    </row>
    <row r="5">
      <c r="E5" s="966" t="str">
        <f t="shared" si="1"/>
        <v>#N/A</v>
      </c>
    </row>
    <row r="6">
      <c r="E6" s="966" t="str">
        <f t="shared" si="1"/>
        <v>#N/A</v>
      </c>
    </row>
    <row r="7">
      <c r="E7" s="952" t="str">
        <f t="shared" si="1"/>
        <v>#N/A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83" t="s">
        <v>443</v>
      </c>
      <c r="B1" s="984" t="s">
        <v>597</v>
      </c>
      <c r="C1" s="984" t="s">
        <v>598</v>
      </c>
      <c r="D1" s="983" t="s">
        <v>599</v>
      </c>
      <c r="E1" s="983" t="s">
        <v>448</v>
      </c>
    </row>
    <row r="2">
      <c r="A2" s="966" t="str">
        <f>IFERROR(__xludf.DUMMYFUNCTION("QUERY(Calcul_mensuel!A2:AB1000,""SELECT A,J,AB,X WHERE A ENDS WITH '-INSTALL' ORDER BY X DESC "")"),"#N/A")</f>
        <v>#N/A</v>
      </c>
      <c r="E2" s="966" t="str">
        <f t="shared" ref="E2:E7" si="1">RANK(D2,D$2:D$6,0)</f>
        <v>#N/A</v>
      </c>
    </row>
    <row r="3">
      <c r="E3" s="966" t="str">
        <f t="shared" si="1"/>
        <v>#N/A</v>
      </c>
    </row>
    <row r="4">
      <c r="E4" s="966" t="str">
        <f t="shared" si="1"/>
        <v>#N/A</v>
      </c>
    </row>
    <row r="5">
      <c r="E5" s="966" t="str">
        <f t="shared" si="1"/>
        <v>#N/A</v>
      </c>
    </row>
    <row r="6">
      <c r="E6" s="966" t="str">
        <f t="shared" si="1"/>
        <v>#N/A</v>
      </c>
    </row>
    <row r="7">
      <c r="E7" s="952" t="str">
        <f t="shared" si="1"/>
        <v>#N/A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85" t="str">
        <f>IFERROR(__xludf.DUMMYFUNCTION("IMPORTRANGE(""https://docs.google.com/spreadsheets/d/1HSh_7ZbJ8mqpm7E5jz4xv0u9KlGNb9jU1lPjlqhwYZs/edit?gid=1136274861#gid=1136274861"",""Calcul_mensuel!BR1:CI"")"),"Nom")</f>
        <v>Nom</v>
      </c>
      <c r="B1" s="986" t="str">
        <f>IFERROR(__xludf.DUMMYFUNCTION("""COMPUTED_VALUE"""),"-")</f>
        <v>-</v>
      </c>
      <c r="C1" s="987" t="str">
        <f>IFERROR(__xludf.DUMMYFUNCTION("""COMPUTED_VALUE"""),"=")</f>
        <v>=</v>
      </c>
      <c r="D1" s="987" t="str">
        <f>IFERROR(__xludf.DUMMYFUNCTION("""COMPUTED_VALUE"""),"+")</f>
        <v>+</v>
      </c>
      <c r="E1" s="987" t="str">
        <f>IFERROR(__xludf.DUMMYFUNCTION("""COMPUTED_VALUE"""),"NPS")</f>
        <v>NPS</v>
      </c>
      <c r="F1" s="987" t="str">
        <f>IFERROR(__xludf.DUMMYFUNCTION("""COMPUTED_VALUE"""),"Nb rép")</f>
        <v>Nb rép</v>
      </c>
      <c r="G1" s="987" t="str">
        <f>IFERROR(__xludf.DUMMYFUNCTION("""COMPUTED_VALUE"""),"Tx rép")</f>
        <v>Tx rép</v>
      </c>
      <c r="H1" s="987" t="str">
        <f>IFERROR(__xludf.DUMMYFUNCTION("""COMPUTED_VALUE"""),"Nbr pos")</f>
        <v>Nbr pos</v>
      </c>
      <c r="I1" s="987" t="str">
        <f>IFERROR(__xludf.DUMMYFUNCTION("""COMPUTED_VALUE"""),"Nb rép ")</f>
        <v>Nb rép </v>
      </c>
      <c r="J1" s="987" t="str">
        <f>IFERROR(__xludf.DUMMYFUNCTION("""COMPUTED_VALUE"""),"Bringg")</f>
        <v>Bringg</v>
      </c>
      <c r="K1" s="987" t="str">
        <f>IFERROR(__xludf.DUMMYFUNCTION("""COMPUTED_VALUE"""),"Tx rép")</f>
        <v>Tx rép</v>
      </c>
      <c r="L1" s="987" t="str">
        <f>IFERROR(__xludf.DUMMYFUNCTION("""COMPUTED_VALUE"""),"Nbr cam")</f>
        <v>Nbr cam</v>
      </c>
      <c r="M1" s="987" t="str">
        <f>IFERROR(__xludf.DUMMYFUNCTION("""COMPUTED_VALUE"""),"Ratio")</f>
        <v>Ratio</v>
      </c>
      <c r="N1" s="987">
        <f>IFERROR(__xludf.DUMMYFUNCTION("""COMPUTED_VALUE"""),1.0)</f>
        <v>1</v>
      </c>
      <c r="O1" s="987">
        <f>IFERROR(__xludf.DUMMYFUNCTION("""COMPUTED_VALUE"""),2.0)</f>
        <v>2</v>
      </c>
      <c r="P1" s="987">
        <f>IFERROR(__xludf.DUMMYFUNCTION("""COMPUTED_VALUE"""),3.0)</f>
        <v>3</v>
      </c>
      <c r="Q1" s="987">
        <f>IFERROR(__xludf.DUMMYFUNCTION("""COMPUTED_VALUE"""),4.0)</f>
        <v>4</v>
      </c>
      <c r="R1" s="987">
        <f>IFERROR(__xludf.DUMMYFUNCTION("""COMPUTED_VALUE"""),5.0)</f>
        <v>5</v>
      </c>
      <c r="S1" s="986" t="s">
        <v>599</v>
      </c>
      <c r="T1" s="986" t="s">
        <v>602</v>
      </c>
      <c r="U1" s="986" t="s">
        <v>603</v>
      </c>
      <c r="V1" s="986" t="s">
        <v>604</v>
      </c>
      <c r="W1" s="988" t="s">
        <v>605</v>
      </c>
      <c r="X1" s="989" t="s">
        <v>606</v>
      </c>
      <c r="Y1" s="989" t="s">
        <v>598</v>
      </c>
      <c r="Z1" s="989"/>
      <c r="AA1" s="967" t="str">
        <f>IFERROR(__xludf.DUMMYFUNCTION("IMPORTRANGE(""https://docs.google.com/spreadsheets/d/1HSh_7ZbJ8mqpm7E5jz4xv0u9KlGNb9jU1lPjlqhwYZs/edit?gid=1136274861#gid=1136274861"",""Calcul_mensuel!DK1:DL60"")"),"Nom")</f>
        <v>Nom</v>
      </c>
      <c r="AB1" s="967" t="str">
        <f>IFERROR(__xludf.DUMMYFUNCTION("""COMPUTED_VALUE"""),"Satis NPS")</f>
        <v>Satis NPS</v>
      </c>
    </row>
    <row r="2">
      <c r="A2" s="990" t="str">
        <f>IFERROR(__xludf.DUMMYFUNCTION("""COMPUTED_VALUE"""),"#N/A")</f>
        <v>#N/A</v>
      </c>
      <c r="B2" s="991">
        <f>IFERROR(__xludf.DUMMYFUNCTION("""COMPUTED_VALUE"""),46.0)</f>
        <v>46</v>
      </c>
      <c r="C2" s="991">
        <f>IFERROR(__xludf.DUMMYFUNCTION("""COMPUTED_VALUE"""),161.0)</f>
        <v>161</v>
      </c>
      <c r="D2" s="991">
        <f>IFERROR(__xludf.DUMMYFUNCTION("""COMPUTED_VALUE"""),930.0)</f>
        <v>930</v>
      </c>
      <c r="E2" s="990">
        <f>IFERROR(__xludf.DUMMYFUNCTION("""COMPUTED_VALUE"""),77.74846086191732)</f>
        <v>77.74846086</v>
      </c>
      <c r="F2" s="991">
        <f>IFERROR(__xludf.DUMMYFUNCTION("""COMPUTED_VALUE"""),1137.0)</f>
        <v>1137</v>
      </c>
      <c r="G2" s="992">
        <f>IFERROR(__xludf.DUMMYFUNCTION("""COMPUTED_VALUE"""),0.05782139951179821)</f>
        <v>0.05782139951</v>
      </c>
      <c r="H2" s="991">
        <f>IFERROR(__xludf.DUMMYFUNCTION("""COMPUTED_VALUE"""),19664.0)</f>
        <v>19664</v>
      </c>
      <c r="I2" s="991">
        <f>IFERROR(__xludf.DUMMYFUNCTION("""COMPUTED_VALUE"""),5909.0)</f>
        <v>5909</v>
      </c>
      <c r="J2" s="990">
        <f>IFERROR(__xludf.DUMMYFUNCTION("""COMPUTED_VALUE"""),4.821120324928076)</f>
        <v>4.821120325</v>
      </c>
      <c r="K2" s="992">
        <f>IFERROR(__xludf.DUMMYFUNCTION("""COMPUTED_VALUE"""),0.30049837266069973)</f>
        <v>0.3004983727</v>
      </c>
      <c r="L2" s="993">
        <f>IFERROR(__xludf.DUMMYFUNCTION("""COMPUTED_VALUE"""),0.0)</f>
        <v>0</v>
      </c>
      <c r="M2" s="994" t="str">
        <f>IFERROR(__xludf.DUMMYFUNCTION("""COMPUTED_VALUE"""),"#DIV/0!")</f>
        <v>#DIV/0!</v>
      </c>
      <c r="N2" s="993">
        <f>IFERROR(__xludf.DUMMYFUNCTION("""COMPUTED_VALUE"""),128.0)</f>
        <v>128</v>
      </c>
      <c r="O2" s="993">
        <f>IFERROR(__xludf.DUMMYFUNCTION("""COMPUTED_VALUE"""),46.0)</f>
        <v>46</v>
      </c>
      <c r="P2" s="993">
        <f>IFERROR(__xludf.DUMMYFUNCTION("""COMPUTED_VALUE"""),64.0)</f>
        <v>64</v>
      </c>
      <c r="Q2" s="993">
        <f>IFERROR(__xludf.DUMMYFUNCTION("""COMPUTED_VALUE"""),279.0)</f>
        <v>279</v>
      </c>
      <c r="R2" s="993">
        <f>IFERROR(__xludf.DUMMYFUNCTION("""COMPUTED_VALUE"""),5392.0)</f>
        <v>5392</v>
      </c>
      <c r="S2" s="990">
        <f t="shared" ref="S2:S53" si="2">AVERAGE(E2,W2)</f>
        <v>87.08543368</v>
      </c>
      <c r="T2" s="987">
        <f t="shared" ref="T2:T53" si="3">RANK(J2,J$2:J$55,0)</f>
        <v>1</v>
      </c>
      <c r="U2" s="987">
        <f t="shared" ref="U2:U53" si="4">RANK(E2,E$2:E$55,0)</f>
        <v>1</v>
      </c>
      <c r="V2" s="987">
        <f t="shared" ref="V2:V53" si="5">AVERAGE(T2:U2)</f>
        <v>1</v>
      </c>
      <c r="W2" s="995">
        <f t="shared" ref="W2:W53" si="6">SUM((J2/5)*100)</f>
        <v>96.4224065</v>
      </c>
      <c r="X2" s="990" t="str">
        <f t="shared" ref="X2:X53" si="7">AVERAGE(AB2,J2)</f>
        <v>#DIV/0!</v>
      </c>
      <c r="Y2" s="990"/>
      <c r="AA2" s="996" t="str">
        <f>IFERROR(__xludf.DUMMYFUNCTION("""COMPUTED_VALUE"""),"#N/A")</f>
        <v>#N/A</v>
      </c>
      <c r="AB2" s="996" t="str">
        <f>IFERROR(__xludf.DUMMYFUNCTION("""COMPUTED_VALUE"""),"#DIV/0!")</f>
        <v>#DIV/0!</v>
      </c>
      <c r="AC2" s="696">
        <f t="shared" ref="AC2:AE2" si="1">(B2/$F2)</f>
        <v>0.04045734389</v>
      </c>
      <c r="AD2" s="696">
        <f t="shared" si="1"/>
        <v>0.1416007036</v>
      </c>
      <c r="AE2" s="696">
        <f t="shared" si="1"/>
        <v>0.8179419525</v>
      </c>
    </row>
    <row r="3">
      <c r="A3" s="987"/>
      <c r="B3" s="987"/>
      <c r="C3" s="987"/>
      <c r="D3" s="987"/>
      <c r="E3" s="987"/>
      <c r="F3" s="987"/>
      <c r="G3" s="987"/>
      <c r="H3" s="987"/>
      <c r="I3" s="987"/>
      <c r="J3" s="987"/>
      <c r="K3" s="987"/>
      <c r="L3" s="987"/>
      <c r="M3" s="987"/>
      <c r="N3" s="987"/>
      <c r="O3" s="987"/>
      <c r="P3" s="987"/>
      <c r="Q3" s="987"/>
      <c r="R3" s="987"/>
      <c r="S3" s="990">
        <f t="shared" si="2"/>
        <v>0</v>
      </c>
      <c r="T3" s="987" t="str">
        <f t="shared" si="3"/>
        <v>#N/A</v>
      </c>
      <c r="U3" s="987" t="str">
        <f t="shared" si="4"/>
        <v>#N/A</v>
      </c>
      <c r="V3" s="987" t="str">
        <f t="shared" si="5"/>
        <v>#N/A</v>
      </c>
      <c r="W3" s="995">
        <f t="shared" si="6"/>
        <v>0</v>
      </c>
      <c r="X3" s="990" t="str">
        <f t="shared" si="7"/>
        <v>#DIV/0!</v>
      </c>
      <c r="Y3" s="990"/>
      <c r="AA3" s="952"/>
      <c r="AB3" s="952"/>
      <c r="AC3" s="696" t="str">
        <f t="shared" ref="AC3:AE3" si="8">(B3/$F3)</f>
        <v>#DIV/0!</v>
      </c>
      <c r="AD3" s="696" t="str">
        <f t="shared" si="8"/>
        <v>#DIV/0!</v>
      </c>
      <c r="AE3" s="696" t="str">
        <f t="shared" si="8"/>
        <v>#DIV/0!</v>
      </c>
    </row>
    <row r="4">
      <c r="A4" s="987"/>
      <c r="B4" s="987"/>
      <c r="C4" s="987"/>
      <c r="D4" s="987"/>
      <c r="E4" s="987"/>
      <c r="F4" s="987"/>
      <c r="G4" s="987"/>
      <c r="H4" s="987"/>
      <c r="I4" s="987"/>
      <c r="J4" s="987"/>
      <c r="K4" s="987"/>
      <c r="L4" s="987"/>
      <c r="M4" s="987"/>
      <c r="N4" s="987"/>
      <c r="O4" s="987"/>
      <c r="P4" s="987"/>
      <c r="Q4" s="987"/>
      <c r="R4" s="987"/>
      <c r="S4" s="990">
        <f t="shared" si="2"/>
        <v>0</v>
      </c>
      <c r="T4" s="987" t="str">
        <f t="shared" si="3"/>
        <v>#N/A</v>
      </c>
      <c r="U4" s="987" t="str">
        <f t="shared" si="4"/>
        <v>#N/A</v>
      </c>
      <c r="V4" s="987" t="str">
        <f t="shared" si="5"/>
        <v>#N/A</v>
      </c>
      <c r="W4" s="995">
        <f t="shared" si="6"/>
        <v>0</v>
      </c>
      <c r="X4" s="990" t="str">
        <f t="shared" si="7"/>
        <v>#DIV/0!</v>
      </c>
      <c r="Y4" s="990"/>
      <c r="AA4" s="952"/>
      <c r="AB4" s="952"/>
      <c r="AC4" s="696" t="str">
        <f t="shared" ref="AC4:AE4" si="9">(B4/$F4)</f>
        <v>#DIV/0!</v>
      </c>
      <c r="AD4" s="696" t="str">
        <f t="shared" si="9"/>
        <v>#DIV/0!</v>
      </c>
      <c r="AE4" s="696" t="str">
        <f t="shared" si="9"/>
        <v>#DIV/0!</v>
      </c>
    </row>
    <row r="5">
      <c r="A5" s="987"/>
      <c r="B5" s="987"/>
      <c r="C5" s="987"/>
      <c r="D5" s="987"/>
      <c r="E5" s="987"/>
      <c r="F5" s="987"/>
      <c r="G5" s="987"/>
      <c r="H5" s="987"/>
      <c r="I5" s="987"/>
      <c r="J5" s="987"/>
      <c r="K5" s="987"/>
      <c r="L5" s="987"/>
      <c r="M5" s="987"/>
      <c r="N5" s="987"/>
      <c r="O5" s="987"/>
      <c r="P5" s="987"/>
      <c r="Q5" s="987"/>
      <c r="R5" s="987"/>
      <c r="S5" s="990">
        <f t="shared" si="2"/>
        <v>0</v>
      </c>
      <c r="T5" s="987" t="str">
        <f t="shared" si="3"/>
        <v>#N/A</v>
      </c>
      <c r="U5" s="987" t="str">
        <f t="shared" si="4"/>
        <v>#N/A</v>
      </c>
      <c r="V5" s="987" t="str">
        <f t="shared" si="5"/>
        <v>#N/A</v>
      </c>
      <c r="W5" s="995">
        <f t="shared" si="6"/>
        <v>0</v>
      </c>
      <c r="X5" s="990" t="str">
        <f t="shared" si="7"/>
        <v>#DIV/0!</v>
      </c>
      <c r="Y5" s="990"/>
      <c r="AA5" s="952"/>
      <c r="AB5" s="952"/>
      <c r="AC5" s="696" t="str">
        <f t="shared" ref="AC5:AE5" si="10">(B5/$F5)</f>
        <v>#DIV/0!</v>
      </c>
      <c r="AD5" s="696" t="str">
        <f t="shared" si="10"/>
        <v>#DIV/0!</v>
      </c>
      <c r="AE5" s="696" t="str">
        <f t="shared" si="10"/>
        <v>#DIV/0!</v>
      </c>
    </row>
    <row r="6">
      <c r="A6" s="987"/>
      <c r="B6" s="987"/>
      <c r="C6" s="987"/>
      <c r="D6" s="987"/>
      <c r="E6" s="987"/>
      <c r="F6" s="987"/>
      <c r="G6" s="987"/>
      <c r="H6" s="987"/>
      <c r="I6" s="987"/>
      <c r="J6" s="987"/>
      <c r="K6" s="987"/>
      <c r="L6" s="987"/>
      <c r="M6" s="987"/>
      <c r="N6" s="987"/>
      <c r="O6" s="987"/>
      <c r="P6" s="987"/>
      <c r="Q6" s="987"/>
      <c r="R6" s="987"/>
      <c r="S6" s="990">
        <f t="shared" si="2"/>
        <v>0</v>
      </c>
      <c r="T6" s="987" t="str">
        <f t="shared" si="3"/>
        <v>#N/A</v>
      </c>
      <c r="U6" s="987" t="str">
        <f t="shared" si="4"/>
        <v>#N/A</v>
      </c>
      <c r="V6" s="987" t="str">
        <f t="shared" si="5"/>
        <v>#N/A</v>
      </c>
      <c r="W6" s="995">
        <f t="shared" si="6"/>
        <v>0</v>
      </c>
      <c r="X6" s="990" t="str">
        <f t="shared" si="7"/>
        <v>#DIV/0!</v>
      </c>
      <c r="Y6" s="990"/>
      <c r="AA6" s="952"/>
      <c r="AB6" s="952"/>
      <c r="AC6" s="696" t="str">
        <f t="shared" ref="AC6:AE6" si="11">(B6/$F6)</f>
        <v>#DIV/0!</v>
      </c>
      <c r="AD6" s="696" t="str">
        <f t="shared" si="11"/>
        <v>#DIV/0!</v>
      </c>
      <c r="AE6" s="696" t="str">
        <f t="shared" si="11"/>
        <v>#DIV/0!</v>
      </c>
    </row>
    <row r="7">
      <c r="A7" s="987"/>
      <c r="B7" s="987"/>
      <c r="C7" s="987"/>
      <c r="D7" s="987"/>
      <c r="E7" s="987"/>
      <c r="F7" s="987"/>
      <c r="G7" s="987"/>
      <c r="H7" s="987"/>
      <c r="I7" s="987"/>
      <c r="J7" s="987"/>
      <c r="K7" s="987"/>
      <c r="L7" s="987"/>
      <c r="M7" s="987"/>
      <c r="N7" s="987"/>
      <c r="O7" s="987"/>
      <c r="P7" s="987"/>
      <c r="Q7" s="987"/>
      <c r="R7" s="987"/>
      <c r="S7" s="990">
        <f t="shared" si="2"/>
        <v>0</v>
      </c>
      <c r="T7" s="987" t="str">
        <f t="shared" si="3"/>
        <v>#N/A</v>
      </c>
      <c r="U7" s="987" t="str">
        <f t="shared" si="4"/>
        <v>#N/A</v>
      </c>
      <c r="V7" s="987" t="str">
        <f t="shared" si="5"/>
        <v>#N/A</v>
      </c>
      <c r="W7" s="995">
        <f t="shared" si="6"/>
        <v>0</v>
      </c>
      <c r="X7" s="990" t="str">
        <f t="shared" si="7"/>
        <v>#DIV/0!</v>
      </c>
      <c r="Y7" s="990"/>
      <c r="AA7" s="952"/>
      <c r="AB7" s="952"/>
      <c r="AC7" s="696" t="str">
        <f t="shared" ref="AC7:AE7" si="12">(B7/$F7)</f>
        <v>#DIV/0!</v>
      </c>
      <c r="AD7" s="696" t="str">
        <f t="shared" si="12"/>
        <v>#DIV/0!</v>
      </c>
      <c r="AE7" s="696" t="str">
        <f t="shared" si="12"/>
        <v>#DIV/0!</v>
      </c>
    </row>
    <row r="8">
      <c r="A8" s="987"/>
      <c r="B8" s="987"/>
      <c r="C8" s="987"/>
      <c r="D8" s="987"/>
      <c r="E8" s="987"/>
      <c r="F8" s="987"/>
      <c r="G8" s="987"/>
      <c r="H8" s="987"/>
      <c r="I8" s="987"/>
      <c r="J8" s="987"/>
      <c r="K8" s="987"/>
      <c r="L8" s="987"/>
      <c r="M8" s="987"/>
      <c r="N8" s="987"/>
      <c r="O8" s="987"/>
      <c r="P8" s="987"/>
      <c r="Q8" s="987"/>
      <c r="R8" s="987"/>
      <c r="S8" s="990">
        <f t="shared" si="2"/>
        <v>0</v>
      </c>
      <c r="T8" s="987" t="str">
        <f t="shared" si="3"/>
        <v>#N/A</v>
      </c>
      <c r="U8" s="987" t="str">
        <f t="shared" si="4"/>
        <v>#N/A</v>
      </c>
      <c r="V8" s="987" t="str">
        <f t="shared" si="5"/>
        <v>#N/A</v>
      </c>
      <c r="W8" s="995">
        <f t="shared" si="6"/>
        <v>0</v>
      </c>
      <c r="X8" s="990" t="str">
        <f t="shared" si="7"/>
        <v>#DIV/0!</v>
      </c>
      <c r="Y8" s="990"/>
      <c r="AA8" s="952"/>
      <c r="AB8" s="952"/>
      <c r="AC8" s="696" t="str">
        <f t="shared" ref="AC8:AE8" si="13">(B8/$F8)</f>
        <v>#DIV/0!</v>
      </c>
      <c r="AD8" s="696" t="str">
        <f t="shared" si="13"/>
        <v>#DIV/0!</v>
      </c>
      <c r="AE8" s="696" t="str">
        <f t="shared" si="13"/>
        <v>#DIV/0!</v>
      </c>
    </row>
    <row r="9">
      <c r="A9" s="987"/>
      <c r="B9" s="987"/>
      <c r="C9" s="987"/>
      <c r="D9" s="987"/>
      <c r="E9" s="987"/>
      <c r="F9" s="987"/>
      <c r="G9" s="987"/>
      <c r="H9" s="987"/>
      <c r="I9" s="987"/>
      <c r="J9" s="987"/>
      <c r="K9" s="987"/>
      <c r="L9" s="987"/>
      <c r="M9" s="987"/>
      <c r="N9" s="987"/>
      <c r="O9" s="987"/>
      <c r="P9" s="987"/>
      <c r="Q9" s="987"/>
      <c r="R9" s="987"/>
      <c r="S9" s="990">
        <f t="shared" si="2"/>
        <v>0</v>
      </c>
      <c r="T9" s="987" t="str">
        <f t="shared" si="3"/>
        <v>#N/A</v>
      </c>
      <c r="U9" s="987" t="str">
        <f t="shared" si="4"/>
        <v>#N/A</v>
      </c>
      <c r="V9" s="987" t="str">
        <f t="shared" si="5"/>
        <v>#N/A</v>
      </c>
      <c r="W9" s="995">
        <f t="shared" si="6"/>
        <v>0</v>
      </c>
      <c r="X9" s="990" t="str">
        <f t="shared" si="7"/>
        <v>#DIV/0!</v>
      </c>
      <c r="Y9" s="990"/>
      <c r="AA9" s="952"/>
      <c r="AB9" s="952"/>
      <c r="AC9" s="696" t="str">
        <f t="shared" ref="AC9:AE9" si="14">(B9/$F9)</f>
        <v>#DIV/0!</v>
      </c>
      <c r="AD9" s="696" t="str">
        <f t="shared" si="14"/>
        <v>#DIV/0!</v>
      </c>
      <c r="AE9" s="696" t="str">
        <f t="shared" si="14"/>
        <v>#DIV/0!</v>
      </c>
    </row>
    <row r="10">
      <c r="A10" s="987"/>
      <c r="B10" s="987"/>
      <c r="C10" s="987"/>
      <c r="D10" s="987"/>
      <c r="E10" s="987"/>
      <c r="F10" s="987"/>
      <c r="G10" s="987"/>
      <c r="H10" s="987"/>
      <c r="I10" s="987"/>
      <c r="J10" s="987"/>
      <c r="K10" s="987"/>
      <c r="L10" s="987"/>
      <c r="M10" s="987"/>
      <c r="N10" s="987"/>
      <c r="O10" s="987"/>
      <c r="P10" s="987"/>
      <c r="Q10" s="987"/>
      <c r="R10" s="987"/>
      <c r="S10" s="990">
        <f t="shared" si="2"/>
        <v>0</v>
      </c>
      <c r="T10" s="987" t="str">
        <f t="shared" si="3"/>
        <v>#N/A</v>
      </c>
      <c r="U10" s="987" t="str">
        <f t="shared" si="4"/>
        <v>#N/A</v>
      </c>
      <c r="V10" s="987" t="str">
        <f t="shared" si="5"/>
        <v>#N/A</v>
      </c>
      <c r="W10" s="995">
        <f t="shared" si="6"/>
        <v>0</v>
      </c>
      <c r="X10" s="990" t="str">
        <f t="shared" si="7"/>
        <v>#DIV/0!</v>
      </c>
      <c r="Y10" s="990"/>
      <c r="AA10" s="952"/>
      <c r="AB10" s="952"/>
      <c r="AC10" s="696" t="str">
        <f t="shared" ref="AC10:AE10" si="15">(B10/$F10)</f>
        <v>#DIV/0!</v>
      </c>
      <c r="AD10" s="696" t="str">
        <f t="shared" si="15"/>
        <v>#DIV/0!</v>
      </c>
      <c r="AE10" s="696" t="str">
        <f t="shared" si="15"/>
        <v>#DIV/0!</v>
      </c>
    </row>
    <row r="11">
      <c r="A11" s="987"/>
      <c r="B11" s="987"/>
      <c r="C11" s="987"/>
      <c r="D11" s="987"/>
      <c r="E11" s="987"/>
      <c r="F11" s="987"/>
      <c r="G11" s="987"/>
      <c r="H11" s="987"/>
      <c r="I11" s="987"/>
      <c r="J11" s="987"/>
      <c r="K11" s="987"/>
      <c r="L11" s="987"/>
      <c r="M11" s="987"/>
      <c r="N11" s="987"/>
      <c r="O11" s="987"/>
      <c r="P11" s="987"/>
      <c r="Q11" s="987"/>
      <c r="R11" s="987"/>
      <c r="S11" s="990">
        <f t="shared" si="2"/>
        <v>0</v>
      </c>
      <c r="T11" s="987" t="str">
        <f t="shared" si="3"/>
        <v>#N/A</v>
      </c>
      <c r="U11" s="987" t="str">
        <f t="shared" si="4"/>
        <v>#N/A</v>
      </c>
      <c r="V11" s="987" t="str">
        <f t="shared" si="5"/>
        <v>#N/A</v>
      </c>
      <c r="W11" s="995">
        <f t="shared" si="6"/>
        <v>0</v>
      </c>
      <c r="X11" s="990" t="str">
        <f t="shared" si="7"/>
        <v>#DIV/0!</v>
      </c>
      <c r="Y11" s="990"/>
      <c r="AA11" s="952"/>
      <c r="AB11" s="952"/>
      <c r="AC11" s="696" t="str">
        <f t="shared" ref="AC11:AE11" si="16">(B11/$F11)</f>
        <v>#DIV/0!</v>
      </c>
      <c r="AD11" s="696" t="str">
        <f t="shared" si="16"/>
        <v>#DIV/0!</v>
      </c>
      <c r="AE11" s="696" t="str">
        <f t="shared" si="16"/>
        <v>#DIV/0!</v>
      </c>
    </row>
    <row r="12">
      <c r="A12" s="987"/>
      <c r="B12" s="987"/>
      <c r="C12" s="987"/>
      <c r="D12" s="987"/>
      <c r="E12" s="987"/>
      <c r="F12" s="987"/>
      <c r="G12" s="987"/>
      <c r="H12" s="987"/>
      <c r="I12" s="987"/>
      <c r="J12" s="987"/>
      <c r="K12" s="987"/>
      <c r="L12" s="987"/>
      <c r="M12" s="987"/>
      <c r="N12" s="987"/>
      <c r="O12" s="987"/>
      <c r="P12" s="987"/>
      <c r="Q12" s="987"/>
      <c r="R12" s="987"/>
      <c r="S12" s="990">
        <f t="shared" si="2"/>
        <v>0</v>
      </c>
      <c r="T12" s="987" t="str">
        <f t="shared" si="3"/>
        <v>#N/A</v>
      </c>
      <c r="U12" s="987" t="str">
        <f t="shared" si="4"/>
        <v>#N/A</v>
      </c>
      <c r="V12" s="987" t="str">
        <f t="shared" si="5"/>
        <v>#N/A</v>
      </c>
      <c r="W12" s="995">
        <f t="shared" si="6"/>
        <v>0</v>
      </c>
      <c r="X12" s="990" t="str">
        <f t="shared" si="7"/>
        <v>#DIV/0!</v>
      </c>
      <c r="Y12" s="990"/>
      <c r="AA12" s="952"/>
      <c r="AB12" s="952"/>
      <c r="AC12" s="696" t="str">
        <f t="shared" ref="AC12:AE12" si="17">(B12/$F12)</f>
        <v>#DIV/0!</v>
      </c>
      <c r="AD12" s="696" t="str">
        <f t="shared" si="17"/>
        <v>#DIV/0!</v>
      </c>
      <c r="AE12" s="696" t="str">
        <f t="shared" si="17"/>
        <v>#DIV/0!</v>
      </c>
    </row>
    <row r="13">
      <c r="A13" s="987"/>
      <c r="B13" s="987"/>
      <c r="C13" s="987"/>
      <c r="D13" s="987"/>
      <c r="E13" s="987"/>
      <c r="F13" s="987"/>
      <c r="G13" s="987"/>
      <c r="H13" s="987"/>
      <c r="I13" s="987"/>
      <c r="J13" s="987"/>
      <c r="K13" s="987"/>
      <c r="L13" s="987"/>
      <c r="M13" s="987"/>
      <c r="N13" s="987"/>
      <c r="O13" s="987"/>
      <c r="P13" s="987"/>
      <c r="Q13" s="987"/>
      <c r="R13" s="987"/>
      <c r="S13" s="990">
        <f t="shared" si="2"/>
        <v>0</v>
      </c>
      <c r="T13" s="987" t="str">
        <f t="shared" si="3"/>
        <v>#N/A</v>
      </c>
      <c r="U13" s="987" t="str">
        <f t="shared" si="4"/>
        <v>#N/A</v>
      </c>
      <c r="V13" s="987" t="str">
        <f t="shared" si="5"/>
        <v>#N/A</v>
      </c>
      <c r="W13" s="995">
        <f t="shared" si="6"/>
        <v>0</v>
      </c>
      <c r="X13" s="990" t="str">
        <f t="shared" si="7"/>
        <v>#DIV/0!</v>
      </c>
      <c r="Y13" s="990"/>
      <c r="AA13" s="952"/>
      <c r="AB13" s="952"/>
      <c r="AC13" s="696" t="str">
        <f t="shared" ref="AC13:AE13" si="18">(B13/$F13)</f>
        <v>#DIV/0!</v>
      </c>
      <c r="AD13" s="696" t="str">
        <f t="shared" si="18"/>
        <v>#DIV/0!</v>
      </c>
      <c r="AE13" s="696" t="str">
        <f t="shared" si="18"/>
        <v>#DIV/0!</v>
      </c>
    </row>
    <row r="14">
      <c r="A14" s="987"/>
      <c r="B14" s="987"/>
      <c r="C14" s="987"/>
      <c r="D14" s="987"/>
      <c r="E14" s="987"/>
      <c r="F14" s="987"/>
      <c r="G14" s="987"/>
      <c r="H14" s="987"/>
      <c r="I14" s="987"/>
      <c r="J14" s="987"/>
      <c r="K14" s="987"/>
      <c r="L14" s="987"/>
      <c r="M14" s="987"/>
      <c r="N14" s="987"/>
      <c r="O14" s="987"/>
      <c r="P14" s="987"/>
      <c r="Q14" s="987"/>
      <c r="R14" s="987"/>
      <c r="S14" s="990">
        <f t="shared" si="2"/>
        <v>0</v>
      </c>
      <c r="T14" s="987" t="str">
        <f t="shared" si="3"/>
        <v>#N/A</v>
      </c>
      <c r="U14" s="987" t="str">
        <f t="shared" si="4"/>
        <v>#N/A</v>
      </c>
      <c r="V14" s="987" t="str">
        <f t="shared" si="5"/>
        <v>#N/A</v>
      </c>
      <c r="W14" s="995">
        <f t="shared" si="6"/>
        <v>0</v>
      </c>
      <c r="X14" s="990" t="str">
        <f t="shared" si="7"/>
        <v>#DIV/0!</v>
      </c>
      <c r="Y14" s="990"/>
      <c r="AA14" s="952"/>
      <c r="AB14" s="952"/>
      <c r="AC14" s="696" t="str">
        <f t="shared" ref="AC14:AE14" si="19">(B14/$F14)</f>
        <v>#DIV/0!</v>
      </c>
      <c r="AD14" s="696" t="str">
        <f t="shared" si="19"/>
        <v>#DIV/0!</v>
      </c>
      <c r="AE14" s="696" t="str">
        <f t="shared" si="19"/>
        <v>#DIV/0!</v>
      </c>
    </row>
    <row r="15">
      <c r="A15" s="987"/>
      <c r="B15" s="987"/>
      <c r="C15" s="987"/>
      <c r="D15" s="987"/>
      <c r="E15" s="987"/>
      <c r="F15" s="987"/>
      <c r="G15" s="987"/>
      <c r="H15" s="987"/>
      <c r="I15" s="987"/>
      <c r="J15" s="987"/>
      <c r="K15" s="987"/>
      <c r="L15" s="987"/>
      <c r="M15" s="987"/>
      <c r="N15" s="987"/>
      <c r="O15" s="987"/>
      <c r="P15" s="987"/>
      <c r="Q15" s="987"/>
      <c r="R15" s="987"/>
      <c r="S15" s="990">
        <f t="shared" si="2"/>
        <v>0</v>
      </c>
      <c r="T15" s="987" t="str">
        <f t="shared" si="3"/>
        <v>#N/A</v>
      </c>
      <c r="U15" s="987" t="str">
        <f t="shared" si="4"/>
        <v>#N/A</v>
      </c>
      <c r="V15" s="987" t="str">
        <f t="shared" si="5"/>
        <v>#N/A</v>
      </c>
      <c r="W15" s="995">
        <f t="shared" si="6"/>
        <v>0</v>
      </c>
      <c r="X15" s="990" t="str">
        <f t="shared" si="7"/>
        <v>#DIV/0!</v>
      </c>
      <c r="Y15" s="990"/>
      <c r="AA15" s="952"/>
      <c r="AB15" s="952"/>
      <c r="AC15" s="696" t="str">
        <f t="shared" ref="AC15:AE15" si="20">(B15/$F15)</f>
        <v>#DIV/0!</v>
      </c>
      <c r="AD15" s="696" t="str">
        <f t="shared" si="20"/>
        <v>#DIV/0!</v>
      </c>
      <c r="AE15" s="696" t="str">
        <f t="shared" si="20"/>
        <v>#DIV/0!</v>
      </c>
    </row>
    <row r="16">
      <c r="A16" s="987"/>
      <c r="B16" s="987"/>
      <c r="C16" s="987"/>
      <c r="D16" s="987"/>
      <c r="E16" s="987"/>
      <c r="F16" s="987"/>
      <c r="G16" s="987"/>
      <c r="H16" s="987"/>
      <c r="I16" s="987"/>
      <c r="J16" s="987"/>
      <c r="K16" s="987"/>
      <c r="L16" s="987"/>
      <c r="M16" s="987"/>
      <c r="N16" s="987"/>
      <c r="O16" s="987"/>
      <c r="P16" s="987"/>
      <c r="Q16" s="987"/>
      <c r="R16" s="987"/>
      <c r="S16" s="990">
        <f t="shared" si="2"/>
        <v>0</v>
      </c>
      <c r="T16" s="987" t="str">
        <f t="shared" si="3"/>
        <v>#N/A</v>
      </c>
      <c r="U16" s="987" t="str">
        <f t="shared" si="4"/>
        <v>#N/A</v>
      </c>
      <c r="V16" s="987" t="str">
        <f t="shared" si="5"/>
        <v>#N/A</v>
      </c>
      <c r="W16" s="995">
        <f t="shared" si="6"/>
        <v>0</v>
      </c>
      <c r="X16" s="990" t="str">
        <f t="shared" si="7"/>
        <v>#DIV/0!</v>
      </c>
      <c r="Y16" s="990"/>
      <c r="AA16" s="952"/>
      <c r="AB16" s="952"/>
      <c r="AC16" s="696" t="str">
        <f t="shared" ref="AC16:AE16" si="21">(B16/$F16)</f>
        <v>#DIV/0!</v>
      </c>
      <c r="AD16" s="696" t="str">
        <f t="shared" si="21"/>
        <v>#DIV/0!</v>
      </c>
      <c r="AE16" s="696" t="str">
        <f t="shared" si="21"/>
        <v>#DIV/0!</v>
      </c>
    </row>
    <row r="17">
      <c r="A17" s="987"/>
      <c r="B17" s="987"/>
      <c r="C17" s="987"/>
      <c r="D17" s="987"/>
      <c r="E17" s="987"/>
      <c r="F17" s="987"/>
      <c r="G17" s="987"/>
      <c r="H17" s="987"/>
      <c r="I17" s="987"/>
      <c r="J17" s="987"/>
      <c r="K17" s="987"/>
      <c r="L17" s="987"/>
      <c r="M17" s="987"/>
      <c r="N17" s="987"/>
      <c r="O17" s="987"/>
      <c r="P17" s="987"/>
      <c r="Q17" s="987"/>
      <c r="R17" s="987"/>
      <c r="S17" s="990">
        <f t="shared" si="2"/>
        <v>0</v>
      </c>
      <c r="T17" s="987" t="str">
        <f t="shared" si="3"/>
        <v>#N/A</v>
      </c>
      <c r="U17" s="987" t="str">
        <f t="shared" si="4"/>
        <v>#N/A</v>
      </c>
      <c r="V17" s="987" t="str">
        <f t="shared" si="5"/>
        <v>#N/A</v>
      </c>
      <c r="W17" s="995">
        <f t="shared" si="6"/>
        <v>0</v>
      </c>
      <c r="X17" s="990" t="str">
        <f t="shared" si="7"/>
        <v>#DIV/0!</v>
      </c>
      <c r="Y17" s="990"/>
      <c r="AA17" s="952"/>
      <c r="AB17" s="952"/>
      <c r="AC17" s="696" t="str">
        <f t="shared" ref="AC17:AE17" si="22">(B17/$F17)</f>
        <v>#DIV/0!</v>
      </c>
      <c r="AD17" s="696" t="str">
        <f t="shared" si="22"/>
        <v>#DIV/0!</v>
      </c>
      <c r="AE17" s="696" t="str">
        <f t="shared" si="22"/>
        <v>#DIV/0!</v>
      </c>
    </row>
    <row r="18">
      <c r="A18" s="987"/>
      <c r="B18" s="987"/>
      <c r="C18" s="987"/>
      <c r="D18" s="987"/>
      <c r="E18" s="987"/>
      <c r="F18" s="987"/>
      <c r="G18" s="987"/>
      <c r="H18" s="987"/>
      <c r="I18" s="987"/>
      <c r="J18" s="987"/>
      <c r="K18" s="987"/>
      <c r="L18" s="987"/>
      <c r="M18" s="987"/>
      <c r="N18" s="987"/>
      <c r="O18" s="987"/>
      <c r="P18" s="987"/>
      <c r="Q18" s="987"/>
      <c r="R18" s="987"/>
      <c r="S18" s="990">
        <f t="shared" si="2"/>
        <v>0</v>
      </c>
      <c r="T18" s="987" t="str">
        <f t="shared" si="3"/>
        <v>#N/A</v>
      </c>
      <c r="U18" s="987" t="str">
        <f t="shared" si="4"/>
        <v>#N/A</v>
      </c>
      <c r="V18" s="987" t="str">
        <f t="shared" si="5"/>
        <v>#N/A</v>
      </c>
      <c r="W18" s="995">
        <f t="shared" si="6"/>
        <v>0</v>
      </c>
      <c r="X18" s="990" t="str">
        <f t="shared" si="7"/>
        <v>#DIV/0!</v>
      </c>
      <c r="Y18" s="990"/>
      <c r="AA18" s="952"/>
      <c r="AB18" s="952"/>
      <c r="AC18" s="696" t="str">
        <f t="shared" ref="AC18:AE18" si="23">(B18/$F18)</f>
        <v>#DIV/0!</v>
      </c>
      <c r="AD18" s="696" t="str">
        <f t="shared" si="23"/>
        <v>#DIV/0!</v>
      </c>
      <c r="AE18" s="696" t="str">
        <f t="shared" si="23"/>
        <v>#DIV/0!</v>
      </c>
    </row>
    <row r="19">
      <c r="A19" s="987"/>
      <c r="B19" s="987"/>
      <c r="C19" s="987"/>
      <c r="D19" s="987"/>
      <c r="E19" s="987"/>
      <c r="F19" s="987"/>
      <c r="G19" s="987"/>
      <c r="H19" s="987"/>
      <c r="I19" s="987"/>
      <c r="J19" s="987"/>
      <c r="K19" s="987"/>
      <c r="L19" s="987"/>
      <c r="M19" s="987"/>
      <c r="N19" s="987"/>
      <c r="O19" s="987"/>
      <c r="P19" s="987"/>
      <c r="Q19" s="987"/>
      <c r="R19" s="987"/>
      <c r="S19" s="990">
        <f t="shared" si="2"/>
        <v>0</v>
      </c>
      <c r="T19" s="987" t="str">
        <f t="shared" si="3"/>
        <v>#N/A</v>
      </c>
      <c r="U19" s="987" t="str">
        <f t="shared" si="4"/>
        <v>#N/A</v>
      </c>
      <c r="V19" s="987" t="str">
        <f t="shared" si="5"/>
        <v>#N/A</v>
      </c>
      <c r="W19" s="995">
        <f t="shared" si="6"/>
        <v>0</v>
      </c>
      <c r="X19" s="990" t="str">
        <f t="shared" si="7"/>
        <v>#DIV/0!</v>
      </c>
      <c r="Y19" s="990"/>
      <c r="AA19" s="952"/>
      <c r="AB19" s="952"/>
      <c r="AC19" s="696" t="str">
        <f t="shared" ref="AC19:AE19" si="24">(B19/$F19)</f>
        <v>#DIV/0!</v>
      </c>
      <c r="AD19" s="696" t="str">
        <f t="shared" si="24"/>
        <v>#DIV/0!</v>
      </c>
      <c r="AE19" s="696" t="str">
        <f t="shared" si="24"/>
        <v>#DIV/0!</v>
      </c>
    </row>
    <row r="20">
      <c r="A20" s="987"/>
      <c r="B20" s="987"/>
      <c r="C20" s="987"/>
      <c r="D20" s="987"/>
      <c r="E20" s="987"/>
      <c r="F20" s="987"/>
      <c r="G20" s="987"/>
      <c r="H20" s="987"/>
      <c r="I20" s="987"/>
      <c r="J20" s="987"/>
      <c r="K20" s="987"/>
      <c r="L20" s="987"/>
      <c r="M20" s="987"/>
      <c r="N20" s="987"/>
      <c r="O20" s="987"/>
      <c r="P20" s="987"/>
      <c r="Q20" s="987"/>
      <c r="R20" s="987"/>
      <c r="S20" s="990">
        <f t="shared" si="2"/>
        <v>0</v>
      </c>
      <c r="T20" s="987" t="str">
        <f t="shared" si="3"/>
        <v>#N/A</v>
      </c>
      <c r="U20" s="987" t="str">
        <f t="shared" si="4"/>
        <v>#N/A</v>
      </c>
      <c r="V20" s="987" t="str">
        <f t="shared" si="5"/>
        <v>#N/A</v>
      </c>
      <c r="W20" s="995">
        <f t="shared" si="6"/>
        <v>0</v>
      </c>
      <c r="X20" s="990" t="str">
        <f t="shared" si="7"/>
        <v>#DIV/0!</v>
      </c>
      <c r="Y20" s="990"/>
      <c r="AA20" s="952"/>
      <c r="AB20" s="952"/>
      <c r="AC20" s="696" t="str">
        <f t="shared" ref="AC20:AE20" si="25">(B20/$F20)</f>
        <v>#DIV/0!</v>
      </c>
      <c r="AD20" s="696" t="str">
        <f t="shared" si="25"/>
        <v>#DIV/0!</v>
      </c>
      <c r="AE20" s="696" t="str">
        <f t="shared" si="25"/>
        <v>#DIV/0!</v>
      </c>
    </row>
    <row r="21">
      <c r="A21" s="987"/>
      <c r="B21" s="987"/>
      <c r="C21" s="987"/>
      <c r="D21" s="987"/>
      <c r="E21" s="987"/>
      <c r="F21" s="987"/>
      <c r="G21" s="987"/>
      <c r="H21" s="987"/>
      <c r="I21" s="987"/>
      <c r="J21" s="987"/>
      <c r="K21" s="987"/>
      <c r="L21" s="987"/>
      <c r="M21" s="987"/>
      <c r="N21" s="987"/>
      <c r="O21" s="987"/>
      <c r="P21" s="987"/>
      <c r="Q21" s="987"/>
      <c r="R21" s="987"/>
      <c r="S21" s="990">
        <f t="shared" si="2"/>
        <v>0</v>
      </c>
      <c r="T21" s="987" t="str">
        <f t="shared" si="3"/>
        <v>#N/A</v>
      </c>
      <c r="U21" s="987" t="str">
        <f t="shared" si="4"/>
        <v>#N/A</v>
      </c>
      <c r="V21" s="987" t="str">
        <f t="shared" si="5"/>
        <v>#N/A</v>
      </c>
      <c r="W21" s="995">
        <f t="shared" si="6"/>
        <v>0</v>
      </c>
      <c r="X21" s="990" t="str">
        <f t="shared" si="7"/>
        <v>#DIV/0!</v>
      </c>
      <c r="Y21" s="990"/>
      <c r="AA21" s="952"/>
      <c r="AB21" s="952"/>
      <c r="AC21" s="696" t="str">
        <f t="shared" ref="AC21:AE21" si="26">(B21/$F21)</f>
        <v>#DIV/0!</v>
      </c>
      <c r="AD21" s="696" t="str">
        <f t="shared" si="26"/>
        <v>#DIV/0!</v>
      </c>
      <c r="AE21" s="696" t="str">
        <f t="shared" si="26"/>
        <v>#DIV/0!</v>
      </c>
    </row>
    <row r="22">
      <c r="A22" s="987"/>
      <c r="B22" s="987"/>
      <c r="C22" s="987"/>
      <c r="D22" s="987"/>
      <c r="E22" s="987"/>
      <c r="F22" s="987"/>
      <c r="G22" s="987"/>
      <c r="H22" s="987"/>
      <c r="I22" s="987"/>
      <c r="J22" s="987"/>
      <c r="K22" s="987"/>
      <c r="L22" s="987"/>
      <c r="M22" s="987"/>
      <c r="N22" s="987"/>
      <c r="O22" s="987"/>
      <c r="P22" s="987"/>
      <c r="Q22" s="987"/>
      <c r="R22" s="987"/>
      <c r="S22" s="990">
        <f t="shared" si="2"/>
        <v>0</v>
      </c>
      <c r="T22" s="987" t="str">
        <f t="shared" si="3"/>
        <v>#N/A</v>
      </c>
      <c r="U22" s="987" t="str">
        <f t="shared" si="4"/>
        <v>#N/A</v>
      </c>
      <c r="V22" s="987" t="str">
        <f t="shared" si="5"/>
        <v>#N/A</v>
      </c>
      <c r="W22" s="995">
        <f t="shared" si="6"/>
        <v>0</v>
      </c>
      <c r="X22" s="990" t="str">
        <f t="shared" si="7"/>
        <v>#DIV/0!</v>
      </c>
      <c r="Y22" s="990"/>
      <c r="AA22" s="952"/>
      <c r="AB22" s="952"/>
      <c r="AC22" s="696" t="str">
        <f t="shared" ref="AC22:AE22" si="27">(B22/$F22)</f>
        <v>#DIV/0!</v>
      </c>
      <c r="AD22" s="696" t="str">
        <f t="shared" si="27"/>
        <v>#DIV/0!</v>
      </c>
      <c r="AE22" s="696" t="str">
        <f t="shared" si="27"/>
        <v>#DIV/0!</v>
      </c>
    </row>
    <row r="23">
      <c r="A23" s="987"/>
      <c r="B23" s="987"/>
      <c r="C23" s="987"/>
      <c r="D23" s="987"/>
      <c r="E23" s="987"/>
      <c r="F23" s="987"/>
      <c r="G23" s="987"/>
      <c r="H23" s="987"/>
      <c r="I23" s="987"/>
      <c r="J23" s="987"/>
      <c r="K23" s="987"/>
      <c r="L23" s="987"/>
      <c r="M23" s="987"/>
      <c r="N23" s="987"/>
      <c r="O23" s="987"/>
      <c r="P23" s="987"/>
      <c r="Q23" s="987"/>
      <c r="R23" s="987"/>
      <c r="S23" s="990">
        <f t="shared" si="2"/>
        <v>0</v>
      </c>
      <c r="T23" s="987" t="str">
        <f t="shared" si="3"/>
        <v>#N/A</v>
      </c>
      <c r="U23" s="987" t="str">
        <f t="shared" si="4"/>
        <v>#N/A</v>
      </c>
      <c r="V23" s="987" t="str">
        <f t="shared" si="5"/>
        <v>#N/A</v>
      </c>
      <c r="W23" s="995">
        <f t="shared" si="6"/>
        <v>0</v>
      </c>
      <c r="X23" s="990" t="str">
        <f t="shared" si="7"/>
        <v>#DIV/0!</v>
      </c>
      <c r="Y23" s="990"/>
      <c r="AA23" s="952"/>
      <c r="AB23" s="952"/>
      <c r="AC23" s="696" t="str">
        <f t="shared" ref="AC23:AE23" si="28">(B23/$F23)</f>
        <v>#DIV/0!</v>
      </c>
      <c r="AD23" s="696" t="str">
        <f t="shared" si="28"/>
        <v>#DIV/0!</v>
      </c>
      <c r="AE23" s="696" t="str">
        <f t="shared" si="28"/>
        <v>#DIV/0!</v>
      </c>
    </row>
    <row r="24">
      <c r="A24" s="987"/>
      <c r="B24" s="987"/>
      <c r="C24" s="987"/>
      <c r="D24" s="987"/>
      <c r="E24" s="987"/>
      <c r="F24" s="987"/>
      <c r="G24" s="987"/>
      <c r="H24" s="987"/>
      <c r="I24" s="987"/>
      <c r="J24" s="987"/>
      <c r="K24" s="987"/>
      <c r="L24" s="987"/>
      <c r="M24" s="987"/>
      <c r="N24" s="987"/>
      <c r="O24" s="987"/>
      <c r="P24" s="987"/>
      <c r="Q24" s="987"/>
      <c r="R24" s="987"/>
      <c r="S24" s="990">
        <f t="shared" si="2"/>
        <v>0</v>
      </c>
      <c r="T24" s="987" t="str">
        <f t="shared" si="3"/>
        <v>#N/A</v>
      </c>
      <c r="U24" s="987" t="str">
        <f t="shared" si="4"/>
        <v>#N/A</v>
      </c>
      <c r="V24" s="987" t="str">
        <f t="shared" si="5"/>
        <v>#N/A</v>
      </c>
      <c r="W24" s="995">
        <f t="shared" si="6"/>
        <v>0</v>
      </c>
      <c r="X24" s="990" t="str">
        <f t="shared" si="7"/>
        <v>#DIV/0!</v>
      </c>
      <c r="Y24" s="990"/>
      <c r="AA24" s="952"/>
      <c r="AB24" s="952"/>
      <c r="AC24" s="696" t="str">
        <f t="shared" ref="AC24:AE24" si="29">(B24/$F24)</f>
        <v>#DIV/0!</v>
      </c>
      <c r="AD24" s="696" t="str">
        <f t="shared" si="29"/>
        <v>#DIV/0!</v>
      </c>
      <c r="AE24" s="696" t="str">
        <f t="shared" si="29"/>
        <v>#DIV/0!</v>
      </c>
    </row>
    <row r="25">
      <c r="A25" s="987"/>
      <c r="B25" s="987"/>
      <c r="C25" s="987"/>
      <c r="D25" s="987"/>
      <c r="E25" s="987"/>
      <c r="F25" s="987"/>
      <c r="G25" s="987"/>
      <c r="H25" s="987"/>
      <c r="I25" s="987"/>
      <c r="J25" s="987"/>
      <c r="K25" s="987"/>
      <c r="L25" s="987"/>
      <c r="M25" s="987"/>
      <c r="N25" s="987"/>
      <c r="O25" s="987"/>
      <c r="P25" s="987"/>
      <c r="Q25" s="987"/>
      <c r="R25" s="987"/>
      <c r="S25" s="990">
        <f t="shared" si="2"/>
        <v>0</v>
      </c>
      <c r="T25" s="987" t="str">
        <f t="shared" si="3"/>
        <v>#N/A</v>
      </c>
      <c r="U25" s="987" t="str">
        <f t="shared" si="4"/>
        <v>#N/A</v>
      </c>
      <c r="V25" s="987" t="str">
        <f t="shared" si="5"/>
        <v>#N/A</v>
      </c>
      <c r="W25" s="995">
        <f t="shared" si="6"/>
        <v>0</v>
      </c>
      <c r="X25" s="990" t="str">
        <f t="shared" si="7"/>
        <v>#DIV/0!</v>
      </c>
      <c r="Y25" s="990"/>
      <c r="AA25" s="952"/>
      <c r="AB25" s="952"/>
      <c r="AC25" s="696" t="str">
        <f t="shared" ref="AC25:AE25" si="30">(B25/$F25)</f>
        <v>#DIV/0!</v>
      </c>
      <c r="AD25" s="696" t="str">
        <f t="shared" si="30"/>
        <v>#DIV/0!</v>
      </c>
      <c r="AE25" s="696" t="str">
        <f t="shared" si="30"/>
        <v>#DIV/0!</v>
      </c>
    </row>
    <row r="26">
      <c r="A26" s="987"/>
      <c r="B26" s="987"/>
      <c r="C26" s="987"/>
      <c r="D26" s="987"/>
      <c r="E26" s="987"/>
      <c r="F26" s="987"/>
      <c r="G26" s="987"/>
      <c r="H26" s="987"/>
      <c r="I26" s="987"/>
      <c r="J26" s="987"/>
      <c r="K26" s="987"/>
      <c r="L26" s="987"/>
      <c r="M26" s="987"/>
      <c r="N26" s="987"/>
      <c r="O26" s="987"/>
      <c r="P26" s="987"/>
      <c r="Q26" s="987"/>
      <c r="R26" s="987"/>
      <c r="S26" s="990">
        <f t="shared" si="2"/>
        <v>0</v>
      </c>
      <c r="T26" s="987" t="str">
        <f t="shared" si="3"/>
        <v>#N/A</v>
      </c>
      <c r="U26" s="987" t="str">
        <f t="shared" si="4"/>
        <v>#N/A</v>
      </c>
      <c r="V26" s="987" t="str">
        <f t="shared" si="5"/>
        <v>#N/A</v>
      </c>
      <c r="W26" s="995">
        <f t="shared" si="6"/>
        <v>0</v>
      </c>
      <c r="X26" s="990" t="str">
        <f t="shared" si="7"/>
        <v>#DIV/0!</v>
      </c>
      <c r="Y26" s="990"/>
      <c r="AA26" s="952"/>
      <c r="AB26" s="952"/>
      <c r="AC26" s="696" t="str">
        <f t="shared" ref="AC26:AE26" si="31">(B26/$F26)</f>
        <v>#DIV/0!</v>
      </c>
      <c r="AD26" s="696" t="str">
        <f t="shared" si="31"/>
        <v>#DIV/0!</v>
      </c>
      <c r="AE26" s="696" t="str">
        <f t="shared" si="31"/>
        <v>#DIV/0!</v>
      </c>
    </row>
    <row r="27">
      <c r="A27" s="987"/>
      <c r="B27" s="987"/>
      <c r="C27" s="987"/>
      <c r="D27" s="987"/>
      <c r="E27" s="987"/>
      <c r="F27" s="987"/>
      <c r="G27" s="987"/>
      <c r="H27" s="987"/>
      <c r="I27" s="987"/>
      <c r="J27" s="987"/>
      <c r="K27" s="987"/>
      <c r="L27" s="987"/>
      <c r="M27" s="987"/>
      <c r="N27" s="987"/>
      <c r="O27" s="987"/>
      <c r="P27" s="987"/>
      <c r="Q27" s="987"/>
      <c r="R27" s="987"/>
      <c r="S27" s="990">
        <f t="shared" si="2"/>
        <v>0</v>
      </c>
      <c r="T27" s="987" t="str">
        <f t="shared" si="3"/>
        <v>#N/A</v>
      </c>
      <c r="U27" s="987" t="str">
        <f t="shared" si="4"/>
        <v>#N/A</v>
      </c>
      <c r="V27" s="987" t="str">
        <f t="shared" si="5"/>
        <v>#N/A</v>
      </c>
      <c r="W27" s="995">
        <f t="shared" si="6"/>
        <v>0</v>
      </c>
      <c r="X27" s="990" t="str">
        <f t="shared" si="7"/>
        <v>#DIV/0!</v>
      </c>
      <c r="Y27" s="990"/>
      <c r="AA27" s="952"/>
      <c r="AB27" s="952"/>
      <c r="AC27" s="696" t="str">
        <f t="shared" ref="AC27:AE27" si="32">(B27/$F27)</f>
        <v>#DIV/0!</v>
      </c>
      <c r="AD27" s="696" t="str">
        <f t="shared" si="32"/>
        <v>#DIV/0!</v>
      </c>
      <c r="AE27" s="696" t="str">
        <f t="shared" si="32"/>
        <v>#DIV/0!</v>
      </c>
    </row>
    <row r="28">
      <c r="A28" s="987"/>
      <c r="B28" s="987"/>
      <c r="C28" s="987"/>
      <c r="D28" s="987"/>
      <c r="E28" s="987"/>
      <c r="F28" s="987"/>
      <c r="G28" s="987"/>
      <c r="H28" s="987"/>
      <c r="I28" s="987"/>
      <c r="J28" s="987"/>
      <c r="K28" s="987"/>
      <c r="L28" s="987"/>
      <c r="M28" s="987"/>
      <c r="N28" s="987"/>
      <c r="O28" s="987"/>
      <c r="P28" s="987"/>
      <c r="Q28" s="987"/>
      <c r="R28" s="987"/>
      <c r="S28" s="990">
        <f t="shared" si="2"/>
        <v>0</v>
      </c>
      <c r="T28" s="987" t="str">
        <f t="shared" si="3"/>
        <v>#N/A</v>
      </c>
      <c r="U28" s="987" t="str">
        <f t="shared" si="4"/>
        <v>#N/A</v>
      </c>
      <c r="V28" s="987" t="str">
        <f t="shared" si="5"/>
        <v>#N/A</v>
      </c>
      <c r="W28" s="995">
        <f t="shared" si="6"/>
        <v>0</v>
      </c>
      <c r="X28" s="990" t="str">
        <f t="shared" si="7"/>
        <v>#DIV/0!</v>
      </c>
      <c r="Y28" s="990"/>
      <c r="AA28" s="952"/>
      <c r="AB28" s="952"/>
      <c r="AC28" s="696" t="str">
        <f t="shared" ref="AC28:AE28" si="33">(B28/$F28)</f>
        <v>#DIV/0!</v>
      </c>
      <c r="AD28" s="696" t="str">
        <f t="shared" si="33"/>
        <v>#DIV/0!</v>
      </c>
      <c r="AE28" s="696" t="str">
        <f t="shared" si="33"/>
        <v>#DIV/0!</v>
      </c>
    </row>
    <row r="29">
      <c r="A29" s="987"/>
      <c r="B29" s="987"/>
      <c r="C29" s="987"/>
      <c r="D29" s="987"/>
      <c r="E29" s="987"/>
      <c r="F29" s="987"/>
      <c r="G29" s="987"/>
      <c r="H29" s="987"/>
      <c r="I29" s="987"/>
      <c r="J29" s="987"/>
      <c r="K29" s="987"/>
      <c r="L29" s="987"/>
      <c r="M29" s="987"/>
      <c r="N29" s="987"/>
      <c r="O29" s="987"/>
      <c r="P29" s="987"/>
      <c r="Q29" s="987"/>
      <c r="R29" s="987"/>
      <c r="S29" s="990">
        <f t="shared" si="2"/>
        <v>0</v>
      </c>
      <c r="T29" s="987" t="str">
        <f t="shared" si="3"/>
        <v>#N/A</v>
      </c>
      <c r="U29" s="987" t="str">
        <f t="shared" si="4"/>
        <v>#N/A</v>
      </c>
      <c r="V29" s="987" t="str">
        <f t="shared" si="5"/>
        <v>#N/A</v>
      </c>
      <c r="W29" s="995">
        <f t="shared" si="6"/>
        <v>0</v>
      </c>
      <c r="X29" s="990" t="str">
        <f t="shared" si="7"/>
        <v>#DIV/0!</v>
      </c>
      <c r="Y29" s="990"/>
      <c r="AA29" s="952"/>
      <c r="AB29" s="952"/>
      <c r="AC29" s="696" t="str">
        <f t="shared" ref="AC29:AE29" si="34">(B29/$F29)</f>
        <v>#DIV/0!</v>
      </c>
      <c r="AD29" s="696" t="str">
        <f t="shared" si="34"/>
        <v>#DIV/0!</v>
      </c>
      <c r="AE29" s="696" t="str">
        <f t="shared" si="34"/>
        <v>#DIV/0!</v>
      </c>
    </row>
    <row r="30">
      <c r="A30" s="987"/>
      <c r="B30" s="987"/>
      <c r="C30" s="987"/>
      <c r="D30" s="987"/>
      <c r="E30" s="987"/>
      <c r="F30" s="987"/>
      <c r="G30" s="987"/>
      <c r="H30" s="987"/>
      <c r="I30" s="987"/>
      <c r="J30" s="987"/>
      <c r="K30" s="987"/>
      <c r="L30" s="987"/>
      <c r="M30" s="987"/>
      <c r="N30" s="987"/>
      <c r="O30" s="987"/>
      <c r="P30" s="987"/>
      <c r="Q30" s="987"/>
      <c r="R30" s="987"/>
      <c r="S30" s="990">
        <f t="shared" si="2"/>
        <v>0</v>
      </c>
      <c r="T30" s="987" t="str">
        <f t="shared" si="3"/>
        <v>#N/A</v>
      </c>
      <c r="U30" s="987" t="str">
        <f t="shared" si="4"/>
        <v>#N/A</v>
      </c>
      <c r="V30" s="987" t="str">
        <f t="shared" si="5"/>
        <v>#N/A</v>
      </c>
      <c r="W30" s="995">
        <f t="shared" si="6"/>
        <v>0</v>
      </c>
      <c r="X30" s="990" t="str">
        <f t="shared" si="7"/>
        <v>#DIV/0!</v>
      </c>
      <c r="Y30" s="990"/>
      <c r="AA30" s="952"/>
      <c r="AB30" s="952"/>
      <c r="AC30" s="696" t="str">
        <f t="shared" ref="AC30:AE30" si="35">(B30/$F30)</f>
        <v>#DIV/0!</v>
      </c>
      <c r="AD30" s="696" t="str">
        <f t="shared" si="35"/>
        <v>#DIV/0!</v>
      </c>
      <c r="AE30" s="696" t="str">
        <f t="shared" si="35"/>
        <v>#DIV/0!</v>
      </c>
    </row>
    <row r="31">
      <c r="A31" s="987"/>
      <c r="B31" s="987"/>
      <c r="C31" s="987"/>
      <c r="D31" s="987"/>
      <c r="E31" s="987"/>
      <c r="F31" s="987"/>
      <c r="G31" s="987"/>
      <c r="H31" s="987"/>
      <c r="I31" s="987"/>
      <c r="J31" s="987"/>
      <c r="K31" s="987"/>
      <c r="L31" s="987"/>
      <c r="M31" s="987"/>
      <c r="N31" s="987"/>
      <c r="O31" s="987"/>
      <c r="P31" s="987"/>
      <c r="Q31" s="987"/>
      <c r="R31" s="987"/>
      <c r="S31" s="990">
        <f t="shared" si="2"/>
        <v>0</v>
      </c>
      <c r="T31" s="987" t="str">
        <f t="shared" si="3"/>
        <v>#N/A</v>
      </c>
      <c r="U31" s="987" t="str">
        <f t="shared" si="4"/>
        <v>#N/A</v>
      </c>
      <c r="V31" s="987" t="str">
        <f t="shared" si="5"/>
        <v>#N/A</v>
      </c>
      <c r="W31" s="995">
        <f t="shared" si="6"/>
        <v>0</v>
      </c>
      <c r="X31" s="990" t="str">
        <f t="shared" si="7"/>
        <v>#DIV/0!</v>
      </c>
      <c r="Y31" s="990"/>
      <c r="AA31" s="952"/>
      <c r="AB31" s="952"/>
      <c r="AC31" s="696" t="str">
        <f t="shared" ref="AC31:AE31" si="36">(B31/$F31)</f>
        <v>#DIV/0!</v>
      </c>
      <c r="AD31" s="696" t="str">
        <f t="shared" si="36"/>
        <v>#DIV/0!</v>
      </c>
      <c r="AE31" s="696" t="str">
        <f t="shared" si="36"/>
        <v>#DIV/0!</v>
      </c>
    </row>
    <row r="32">
      <c r="A32" s="987"/>
      <c r="B32" s="987"/>
      <c r="C32" s="987"/>
      <c r="D32" s="987"/>
      <c r="E32" s="987"/>
      <c r="F32" s="987"/>
      <c r="G32" s="987"/>
      <c r="H32" s="987"/>
      <c r="I32" s="987"/>
      <c r="J32" s="987"/>
      <c r="K32" s="987"/>
      <c r="L32" s="987"/>
      <c r="M32" s="987"/>
      <c r="N32" s="987"/>
      <c r="O32" s="987"/>
      <c r="P32" s="987"/>
      <c r="Q32" s="987"/>
      <c r="R32" s="987"/>
      <c r="S32" s="990">
        <f t="shared" si="2"/>
        <v>0</v>
      </c>
      <c r="T32" s="987" t="str">
        <f t="shared" si="3"/>
        <v>#N/A</v>
      </c>
      <c r="U32" s="987" t="str">
        <f t="shared" si="4"/>
        <v>#N/A</v>
      </c>
      <c r="V32" s="987" t="str">
        <f t="shared" si="5"/>
        <v>#N/A</v>
      </c>
      <c r="W32" s="995">
        <f t="shared" si="6"/>
        <v>0</v>
      </c>
      <c r="X32" s="990" t="str">
        <f t="shared" si="7"/>
        <v>#DIV/0!</v>
      </c>
      <c r="Y32" s="990"/>
      <c r="AA32" s="952"/>
      <c r="AB32" s="952"/>
      <c r="AC32" s="696" t="str">
        <f t="shared" ref="AC32:AE32" si="37">(B32/$F32)</f>
        <v>#DIV/0!</v>
      </c>
      <c r="AD32" s="696" t="str">
        <f t="shared" si="37"/>
        <v>#DIV/0!</v>
      </c>
      <c r="AE32" s="696" t="str">
        <f t="shared" si="37"/>
        <v>#DIV/0!</v>
      </c>
    </row>
    <row r="33">
      <c r="A33" s="987"/>
      <c r="B33" s="987"/>
      <c r="C33" s="987"/>
      <c r="D33" s="987"/>
      <c r="E33" s="987"/>
      <c r="F33" s="987"/>
      <c r="G33" s="987"/>
      <c r="H33" s="987"/>
      <c r="I33" s="987"/>
      <c r="J33" s="987"/>
      <c r="K33" s="987"/>
      <c r="L33" s="987"/>
      <c r="M33" s="987"/>
      <c r="N33" s="987"/>
      <c r="O33" s="987"/>
      <c r="P33" s="987"/>
      <c r="Q33" s="987"/>
      <c r="R33" s="987"/>
      <c r="S33" s="990">
        <f t="shared" si="2"/>
        <v>0</v>
      </c>
      <c r="T33" s="987" t="str">
        <f t="shared" si="3"/>
        <v>#N/A</v>
      </c>
      <c r="U33" s="987" t="str">
        <f t="shared" si="4"/>
        <v>#N/A</v>
      </c>
      <c r="V33" s="987" t="str">
        <f t="shared" si="5"/>
        <v>#N/A</v>
      </c>
      <c r="W33" s="995">
        <f t="shared" si="6"/>
        <v>0</v>
      </c>
      <c r="X33" s="990" t="str">
        <f t="shared" si="7"/>
        <v>#DIV/0!</v>
      </c>
      <c r="Y33" s="990"/>
      <c r="AA33" s="952"/>
      <c r="AB33" s="952"/>
      <c r="AC33" s="696" t="str">
        <f t="shared" ref="AC33:AE33" si="38">(B33/$F33)</f>
        <v>#DIV/0!</v>
      </c>
      <c r="AD33" s="696" t="str">
        <f t="shared" si="38"/>
        <v>#DIV/0!</v>
      </c>
      <c r="AE33" s="696" t="str">
        <f t="shared" si="38"/>
        <v>#DIV/0!</v>
      </c>
    </row>
    <row r="34">
      <c r="A34" s="987"/>
      <c r="B34" s="987"/>
      <c r="C34" s="987"/>
      <c r="D34" s="987"/>
      <c r="E34" s="987"/>
      <c r="F34" s="987"/>
      <c r="G34" s="987"/>
      <c r="H34" s="987"/>
      <c r="I34" s="987"/>
      <c r="J34" s="987"/>
      <c r="K34" s="987"/>
      <c r="L34" s="987"/>
      <c r="M34" s="987"/>
      <c r="N34" s="987"/>
      <c r="O34" s="987"/>
      <c r="P34" s="987"/>
      <c r="Q34" s="987"/>
      <c r="R34" s="987"/>
      <c r="S34" s="990">
        <f t="shared" si="2"/>
        <v>0</v>
      </c>
      <c r="T34" s="987" t="str">
        <f t="shared" si="3"/>
        <v>#N/A</v>
      </c>
      <c r="U34" s="987" t="str">
        <f t="shared" si="4"/>
        <v>#N/A</v>
      </c>
      <c r="V34" s="987" t="str">
        <f t="shared" si="5"/>
        <v>#N/A</v>
      </c>
      <c r="W34" s="995">
        <f t="shared" si="6"/>
        <v>0</v>
      </c>
      <c r="X34" s="990" t="str">
        <f t="shared" si="7"/>
        <v>#DIV/0!</v>
      </c>
      <c r="Y34" s="990"/>
      <c r="AA34" s="952"/>
      <c r="AB34" s="952"/>
      <c r="AC34" s="696" t="str">
        <f t="shared" ref="AC34:AE34" si="39">(B34/$F34)</f>
        <v>#DIV/0!</v>
      </c>
      <c r="AD34" s="696" t="str">
        <f t="shared" si="39"/>
        <v>#DIV/0!</v>
      </c>
      <c r="AE34" s="696" t="str">
        <f t="shared" si="39"/>
        <v>#DIV/0!</v>
      </c>
    </row>
    <row r="35">
      <c r="A35" s="987"/>
      <c r="B35" s="987"/>
      <c r="C35" s="987"/>
      <c r="D35" s="987"/>
      <c r="E35" s="987"/>
      <c r="F35" s="987"/>
      <c r="G35" s="987"/>
      <c r="H35" s="987"/>
      <c r="I35" s="987"/>
      <c r="J35" s="987"/>
      <c r="K35" s="987"/>
      <c r="L35" s="987"/>
      <c r="M35" s="987"/>
      <c r="N35" s="987"/>
      <c r="O35" s="987"/>
      <c r="P35" s="987"/>
      <c r="Q35" s="987"/>
      <c r="R35" s="987"/>
      <c r="S35" s="990">
        <f t="shared" si="2"/>
        <v>0</v>
      </c>
      <c r="T35" s="987" t="str">
        <f t="shared" si="3"/>
        <v>#N/A</v>
      </c>
      <c r="U35" s="987" t="str">
        <f t="shared" si="4"/>
        <v>#N/A</v>
      </c>
      <c r="V35" s="987" t="str">
        <f t="shared" si="5"/>
        <v>#N/A</v>
      </c>
      <c r="W35" s="995">
        <f t="shared" si="6"/>
        <v>0</v>
      </c>
      <c r="X35" s="990" t="str">
        <f t="shared" si="7"/>
        <v>#DIV/0!</v>
      </c>
      <c r="Y35" s="990"/>
      <c r="AA35" s="952"/>
      <c r="AB35" s="952"/>
      <c r="AC35" s="696" t="str">
        <f t="shared" ref="AC35:AE35" si="40">(B35/$F35)</f>
        <v>#DIV/0!</v>
      </c>
      <c r="AD35" s="696" t="str">
        <f t="shared" si="40"/>
        <v>#DIV/0!</v>
      </c>
      <c r="AE35" s="696" t="str">
        <f t="shared" si="40"/>
        <v>#DIV/0!</v>
      </c>
    </row>
    <row r="36">
      <c r="A36" s="987"/>
      <c r="B36" s="987"/>
      <c r="C36" s="987"/>
      <c r="D36" s="987"/>
      <c r="E36" s="987"/>
      <c r="F36" s="987"/>
      <c r="G36" s="987"/>
      <c r="H36" s="987"/>
      <c r="I36" s="987"/>
      <c r="J36" s="987"/>
      <c r="K36" s="987"/>
      <c r="L36" s="987"/>
      <c r="M36" s="987"/>
      <c r="N36" s="987"/>
      <c r="O36" s="987"/>
      <c r="P36" s="987"/>
      <c r="Q36" s="987"/>
      <c r="R36" s="987"/>
      <c r="S36" s="990">
        <f t="shared" si="2"/>
        <v>0</v>
      </c>
      <c r="T36" s="987" t="str">
        <f t="shared" si="3"/>
        <v>#N/A</v>
      </c>
      <c r="U36" s="987" t="str">
        <f t="shared" si="4"/>
        <v>#N/A</v>
      </c>
      <c r="V36" s="987" t="str">
        <f t="shared" si="5"/>
        <v>#N/A</v>
      </c>
      <c r="W36" s="995">
        <f t="shared" si="6"/>
        <v>0</v>
      </c>
      <c r="X36" s="990" t="str">
        <f t="shared" si="7"/>
        <v>#DIV/0!</v>
      </c>
      <c r="Y36" s="990"/>
      <c r="AA36" s="952"/>
      <c r="AB36" s="952"/>
      <c r="AC36" s="696" t="str">
        <f t="shared" ref="AC36:AE36" si="41">(B36/$F36)</f>
        <v>#DIV/0!</v>
      </c>
      <c r="AD36" s="696" t="str">
        <f t="shared" si="41"/>
        <v>#DIV/0!</v>
      </c>
      <c r="AE36" s="696" t="str">
        <f t="shared" si="41"/>
        <v>#DIV/0!</v>
      </c>
    </row>
    <row r="37">
      <c r="A37" s="987"/>
      <c r="B37" s="987"/>
      <c r="C37" s="987"/>
      <c r="D37" s="987"/>
      <c r="E37" s="987"/>
      <c r="F37" s="987"/>
      <c r="G37" s="987"/>
      <c r="H37" s="987"/>
      <c r="I37" s="987"/>
      <c r="J37" s="987"/>
      <c r="K37" s="987"/>
      <c r="L37" s="987"/>
      <c r="M37" s="987"/>
      <c r="N37" s="987"/>
      <c r="O37" s="987"/>
      <c r="P37" s="987"/>
      <c r="Q37" s="987"/>
      <c r="R37" s="987"/>
      <c r="S37" s="990">
        <f t="shared" si="2"/>
        <v>0</v>
      </c>
      <c r="T37" s="987" t="str">
        <f t="shared" si="3"/>
        <v>#N/A</v>
      </c>
      <c r="U37" s="987" t="str">
        <f t="shared" si="4"/>
        <v>#N/A</v>
      </c>
      <c r="V37" s="987" t="str">
        <f t="shared" si="5"/>
        <v>#N/A</v>
      </c>
      <c r="W37" s="995">
        <f t="shared" si="6"/>
        <v>0</v>
      </c>
      <c r="X37" s="990" t="str">
        <f t="shared" si="7"/>
        <v>#DIV/0!</v>
      </c>
      <c r="Y37" s="990"/>
      <c r="AA37" s="952"/>
      <c r="AB37" s="952"/>
      <c r="AC37" s="696" t="str">
        <f t="shared" ref="AC37:AE37" si="42">(B37/$F37)</f>
        <v>#DIV/0!</v>
      </c>
      <c r="AD37" s="696" t="str">
        <f t="shared" si="42"/>
        <v>#DIV/0!</v>
      </c>
      <c r="AE37" s="696" t="str">
        <f t="shared" si="42"/>
        <v>#DIV/0!</v>
      </c>
    </row>
    <row r="38">
      <c r="A38" s="987"/>
      <c r="B38" s="987"/>
      <c r="C38" s="987"/>
      <c r="D38" s="987"/>
      <c r="E38" s="987"/>
      <c r="F38" s="987"/>
      <c r="G38" s="987"/>
      <c r="H38" s="987"/>
      <c r="I38" s="987"/>
      <c r="J38" s="987"/>
      <c r="K38" s="987"/>
      <c r="L38" s="987"/>
      <c r="M38" s="987"/>
      <c r="N38" s="987"/>
      <c r="O38" s="987"/>
      <c r="P38" s="987"/>
      <c r="Q38" s="987"/>
      <c r="R38" s="987"/>
      <c r="S38" s="990">
        <f t="shared" si="2"/>
        <v>0</v>
      </c>
      <c r="T38" s="987" t="str">
        <f t="shared" si="3"/>
        <v>#N/A</v>
      </c>
      <c r="U38" s="987" t="str">
        <f t="shared" si="4"/>
        <v>#N/A</v>
      </c>
      <c r="V38" s="987" t="str">
        <f t="shared" si="5"/>
        <v>#N/A</v>
      </c>
      <c r="W38" s="995">
        <f t="shared" si="6"/>
        <v>0</v>
      </c>
      <c r="X38" s="990" t="str">
        <f t="shared" si="7"/>
        <v>#DIV/0!</v>
      </c>
      <c r="Y38" s="990"/>
      <c r="AA38" s="952"/>
      <c r="AB38" s="952"/>
      <c r="AC38" s="696" t="str">
        <f t="shared" ref="AC38:AE38" si="43">(B38/$F38)</f>
        <v>#DIV/0!</v>
      </c>
      <c r="AD38" s="696" t="str">
        <f t="shared" si="43"/>
        <v>#DIV/0!</v>
      </c>
      <c r="AE38" s="696" t="str">
        <f t="shared" si="43"/>
        <v>#DIV/0!</v>
      </c>
    </row>
    <row r="39">
      <c r="A39" s="987"/>
      <c r="B39" s="987"/>
      <c r="C39" s="987"/>
      <c r="D39" s="987"/>
      <c r="E39" s="987"/>
      <c r="F39" s="987"/>
      <c r="G39" s="987"/>
      <c r="H39" s="987"/>
      <c r="I39" s="987"/>
      <c r="J39" s="987"/>
      <c r="K39" s="987"/>
      <c r="L39" s="987"/>
      <c r="M39" s="987"/>
      <c r="N39" s="987"/>
      <c r="O39" s="987"/>
      <c r="P39" s="987"/>
      <c r="Q39" s="987"/>
      <c r="R39" s="987"/>
      <c r="S39" s="990">
        <f t="shared" si="2"/>
        <v>0</v>
      </c>
      <c r="T39" s="987" t="str">
        <f t="shared" si="3"/>
        <v>#N/A</v>
      </c>
      <c r="U39" s="987" t="str">
        <f t="shared" si="4"/>
        <v>#N/A</v>
      </c>
      <c r="V39" s="987" t="str">
        <f t="shared" si="5"/>
        <v>#N/A</v>
      </c>
      <c r="W39" s="995">
        <f t="shared" si="6"/>
        <v>0</v>
      </c>
      <c r="X39" s="990" t="str">
        <f t="shared" si="7"/>
        <v>#DIV/0!</v>
      </c>
      <c r="Y39" s="990"/>
      <c r="AA39" s="952"/>
      <c r="AB39" s="952"/>
      <c r="AC39" s="696" t="str">
        <f t="shared" ref="AC39:AE39" si="44">(B39/$F39)</f>
        <v>#DIV/0!</v>
      </c>
      <c r="AD39" s="696" t="str">
        <f t="shared" si="44"/>
        <v>#DIV/0!</v>
      </c>
      <c r="AE39" s="696" t="str">
        <f t="shared" si="44"/>
        <v>#DIV/0!</v>
      </c>
    </row>
    <row r="40">
      <c r="A40" s="987"/>
      <c r="B40" s="987"/>
      <c r="C40" s="987"/>
      <c r="D40" s="987"/>
      <c r="E40" s="987"/>
      <c r="F40" s="987"/>
      <c r="G40" s="987"/>
      <c r="H40" s="987"/>
      <c r="I40" s="987"/>
      <c r="J40" s="987"/>
      <c r="K40" s="987"/>
      <c r="L40" s="987"/>
      <c r="M40" s="987"/>
      <c r="N40" s="987"/>
      <c r="O40" s="987"/>
      <c r="P40" s="987"/>
      <c r="Q40" s="987"/>
      <c r="R40" s="987"/>
      <c r="S40" s="990">
        <f t="shared" si="2"/>
        <v>0</v>
      </c>
      <c r="T40" s="987" t="str">
        <f t="shared" si="3"/>
        <v>#N/A</v>
      </c>
      <c r="U40" s="987" t="str">
        <f t="shared" si="4"/>
        <v>#N/A</v>
      </c>
      <c r="V40" s="987" t="str">
        <f t="shared" si="5"/>
        <v>#N/A</v>
      </c>
      <c r="W40" s="995">
        <f t="shared" si="6"/>
        <v>0</v>
      </c>
      <c r="X40" s="990" t="str">
        <f t="shared" si="7"/>
        <v>#DIV/0!</v>
      </c>
      <c r="Y40" s="990"/>
      <c r="AA40" s="952"/>
      <c r="AB40" s="952"/>
      <c r="AC40" s="696" t="str">
        <f t="shared" ref="AC40:AE40" si="45">(B40/$F40)</f>
        <v>#DIV/0!</v>
      </c>
      <c r="AD40" s="696" t="str">
        <f t="shared" si="45"/>
        <v>#DIV/0!</v>
      </c>
      <c r="AE40" s="696" t="str">
        <f t="shared" si="45"/>
        <v>#DIV/0!</v>
      </c>
    </row>
    <row r="41">
      <c r="A41" s="987"/>
      <c r="B41" s="987"/>
      <c r="C41" s="987"/>
      <c r="D41" s="987"/>
      <c r="E41" s="987"/>
      <c r="F41" s="987"/>
      <c r="G41" s="987"/>
      <c r="H41" s="987"/>
      <c r="I41" s="987"/>
      <c r="J41" s="987"/>
      <c r="K41" s="987"/>
      <c r="L41" s="987"/>
      <c r="M41" s="987"/>
      <c r="N41" s="987"/>
      <c r="O41" s="987"/>
      <c r="P41" s="987"/>
      <c r="Q41" s="987"/>
      <c r="R41" s="987"/>
      <c r="S41" s="990">
        <f t="shared" si="2"/>
        <v>0</v>
      </c>
      <c r="T41" s="987" t="str">
        <f t="shared" si="3"/>
        <v>#N/A</v>
      </c>
      <c r="U41" s="987" t="str">
        <f t="shared" si="4"/>
        <v>#N/A</v>
      </c>
      <c r="V41" s="987" t="str">
        <f t="shared" si="5"/>
        <v>#N/A</v>
      </c>
      <c r="W41" s="995">
        <f t="shared" si="6"/>
        <v>0</v>
      </c>
      <c r="X41" s="990" t="str">
        <f t="shared" si="7"/>
        <v>#DIV/0!</v>
      </c>
      <c r="Y41" s="990"/>
      <c r="AA41" s="952"/>
      <c r="AB41" s="952"/>
      <c r="AC41" s="696" t="str">
        <f t="shared" ref="AC41:AE41" si="46">(B41/$F41)</f>
        <v>#DIV/0!</v>
      </c>
      <c r="AD41" s="696" t="str">
        <f t="shared" si="46"/>
        <v>#DIV/0!</v>
      </c>
      <c r="AE41" s="696" t="str">
        <f t="shared" si="46"/>
        <v>#DIV/0!</v>
      </c>
    </row>
    <row r="42">
      <c r="A42" s="987"/>
      <c r="B42" s="987"/>
      <c r="C42" s="987"/>
      <c r="D42" s="987"/>
      <c r="E42" s="987"/>
      <c r="F42" s="987"/>
      <c r="G42" s="987"/>
      <c r="H42" s="987"/>
      <c r="I42" s="987"/>
      <c r="J42" s="987"/>
      <c r="K42" s="987"/>
      <c r="L42" s="987"/>
      <c r="M42" s="987"/>
      <c r="N42" s="987"/>
      <c r="O42" s="987"/>
      <c r="P42" s="987"/>
      <c r="Q42" s="987"/>
      <c r="R42" s="987"/>
      <c r="S42" s="990">
        <f t="shared" si="2"/>
        <v>0</v>
      </c>
      <c r="T42" s="987" t="str">
        <f t="shared" si="3"/>
        <v>#N/A</v>
      </c>
      <c r="U42" s="987" t="str">
        <f t="shared" si="4"/>
        <v>#N/A</v>
      </c>
      <c r="V42" s="987" t="str">
        <f t="shared" si="5"/>
        <v>#N/A</v>
      </c>
      <c r="W42" s="995">
        <f t="shared" si="6"/>
        <v>0</v>
      </c>
      <c r="X42" s="990" t="str">
        <f t="shared" si="7"/>
        <v>#DIV/0!</v>
      </c>
      <c r="Y42" s="990"/>
      <c r="AA42" s="952"/>
      <c r="AB42" s="952"/>
      <c r="AC42" s="696" t="str">
        <f t="shared" ref="AC42:AE42" si="47">(B42/$F42)</f>
        <v>#DIV/0!</v>
      </c>
      <c r="AD42" s="696" t="str">
        <f t="shared" si="47"/>
        <v>#DIV/0!</v>
      </c>
      <c r="AE42" s="696" t="str">
        <f t="shared" si="47"/>
        <v>#DIV/0!</v>
      </c>
    </row>
    <row r="43">
      <c r="A43" s="987"/>
      <c r="B43" s="987"/>
      <c r="C43" s="987"/>
      <c r="D43" s="987"/>
      <c r="E43" s="987"/>
      <c r="F43" s="987"/>
      <c r="G43" s="987"/>
      <c r="H43" s="987"/>
      <c r="I43" s="987"/>
      <c r="J43" s="987"/>
      <c r="K43" s="987"/>
      <c r="L43" s="987"/>
      <c r="M43" s="987"/>
      <c r="N43" s="987"/>
      <c r="O43" s="987"/>
      <c r="P43" s="987"/>
      <c r="Q43" s="987"/>
      <c r="R43" s="987"/>
      <c r="S43" s="990">
        <f t="shared" si="2"/>
        <v>0</v>
      </c>
      <c r="T43" s="987" t="str">
        <f t="shared" si="3"/>
        <v>#N/A</v>
      </c>
      <c r="U43" s="987" t="str">
        <f t="shared" si="4"/>
        <v>#N/A</v>
      </c>
      <c r="V43" s="987" t="str">
        <f t="shared" si="5"/>
        <v>#N/A</v>
      </c>
      <c r="W43" s="995">
        <f t="shared" si="6"/>
        <v>0</v>
      </c>
      <c r="X43" s="987" t="str">
        <f t="shared" si="7"/>
        <v>#DIV/0!</v>
      </c>
      <c r="Y43" s="987"/>
      <c r="AA43" s="952"/>
      <c r="AB43" s="952"/>
      <c r="AC43" s="696" t="str">
        <f t="shared" ref="AC43:AE43" si="48">(B43/$F43)</f>
        <v>#DIV/0!</v>
      </c>
      <c r="AD43" s="696" t="str">
        <f t="shared" si="48"/>
        <v>#DIV/0!</v>
      </c>
      <c r="AE43" s="696" t="str">
        <f t="shared" si="48"/>
        <v>#DIV/0!</v>
      </c>
    </row>
    <row r="44">
      <c r="A44" s="990"/>
      <c r="B44" s="991"/>
      <c r="C44" s="991"/>
      <c r="D44" s="991"/>
      <c r="E44" s="990"/>
      <c r="F44" s="991"/>
      <c r="G44" s="992"/>
      <c r="H44" s="991"/>
      <c r="I44" s="991"/>
      <c r="J44" s="990"/>
      <c r="K44" s="992"/>
      <c r="L44" s="993"/>
      <c r="M44" s="994"/>
      <c r="N44" s="993"/>
      <c r="O44" s="993"/>
      <c r="P44" s="993"/>
      <c r="Q44" s="993"/>
      <c r="R44" s="993"/>
      <c r="S44" s="990">
        <f t="shared" si="2"/>
        <v>0</v>
      </c>
      <c r="T44" s="987" t="str">
        <f t="shared" si="3"/>
        <v>#N/A</v>
      </c>
      <c r="U44" s="987" t="str">
        <f t="shared" si="4"/>
        <v>#N/A</v>
      </c>
      <c r="V44" s="987" t="str">
        <f t="shared" si="5"/>
        <v>#N/A</v>
      </c>
      <c r="W44" s="995">
        <f t="shared" si="6"/>
        <v>0</v>
      </c>
      <c r="X44" s="990" t="str">
        <f t="shared" si="7"/>
        <v>#DIV/0!</v>
      </c>
      <c r="Y44" s="990"/>
      <c r="AA44" s="952"/>
      <c r="AB44" s="952"/>
      <c r="AC44" s="696" t="str">
        <f t="shared" ref="AC44:AE44" si="49">(B44/$F44)</f>
        <v>#DIV/0!</v>
      </c>
      <c r="AD44" s="696" t="str">
        <f t="shared" si="49"/>
        <v>#DIV/0!</v>
      </c>
      <c r="AE44" s="696" t="str">
        <f t="shared" si="49"/>
        <v>#DIV/0!</v>
      </c>
    </row>
    <row r="45">
      <c r="A45" s="987"/>
      <c r="B45" s="991"/>
      <c r="C45" s="991"/>
      <c r="D45" s="991"/>
      <c r="E45" s="990"/>
      <c r="F45" s="991"/>
      <c r="G45" s="992"/>
      <c r="H45" s="991"/>
      <c r="I45" s="991"/>
      <c r="J45" s="990"/>
      <c r="K45" s="992"/>
      <c r="L45" s="993"/>
      <c r="M45" s="994"/>
      <c r="N45" s="993"/>
      <c r="O45" s="993"/>
      <c r="P45" s="993"/>
      <c r="Q45" s="993"/>
      <c r="R45" s="993"/>
      <c r="S45" s="990">
        <f t="shared" si="2"/>
        <v>0</v>
      </c>
      <c r="T45" s="987" t="str">
        <f t="shared" si="3"/>
        <v>#N/A</v>
      </c>
      <c r="U45" s="987" t="str">
        <f t="shared" si="4"/>
        <v>#N/A</v>
      </c>
      <c r="V45" s="987" t="str">
        <f t="shared" si="5"/>
        <v>#N/A</v>
      </c>
      <c r="W45" s="995">
        <f t="shared" si="6"/>
        <v>0</v>
      </c>
      <c r="X45" s="990" t="str">
        <f t="shared" si="7"/>
        <v>#DIV/0!</v>
      </c>
      <c r="Y45" s="990"/>
      <c r="AA45" s="952"/>
      <c r="AB45" s="952"/>
      <c r="AC45" s="696" t="str">
        <f t="shared" ref="AC45:AE45" si="50">(B45/$F45)</f>
        <v>#DIV/0!</v>
      </c>
      <c r="AD45" s="696" t="str">
        <f t="shared" si="50"/>
        <v>#DIV/0!</v>
      </c>
      <c r="AE45" s="696" t="str">
        <f t="shared" si="50"/>
        <v>#DIV/0!</v>
      </c>
    </row>
    <row r="46">
      <c r="A46" s="987"/>
      <c r="B46" s="991"/>
      <c r="C46" s="991"/>
      <c r="D46" s="991"/>
      <c r="E46" s="990"/>
      <c r="F46" s="991"/>
      <c r="G46" s="992"/>
      <c r="H46" s="991"/>
      <c r="I46" s="991"/>
      <c r="J46" s="990"/>
      <c r="K46" s="992"/>
      <c r="L46" s="993"/>
      <c r="M46" s="994"/>
      <c r="N46" s="993"/>
      <c r="O46" s="993"/>
      <c r="P46" s="993"/>
      <c r="Q46" s="993"/>
      <c r="R46" s="993"/>
      <c r="S46" s="990">
        <f t="shared" si="2"/>
        <v>0</v>
      </c>
      <c r="T46" s="987" t="str">
        <f t="shared" si="3"/>
        <v>#N/A</v>
      </c>
      <c r="U46" s="987" t="str">
        <f t="shared" si="4"/>
        <v>#N/A</v>
      </c>
      <c r="V46" s="987" t="str">
        <f t="shared" si="5"/>
        <v>#N/A</v>
      </c>
      <c r="W46" s="995">
        <f t="shared" si="6"/>
        <v>0</v>
      </c>
      <c r="X46" s="990" t="str">
        <f t="shared" si="7"/>
        <v>#DIV/0!</v>
      </c>
      <c r="Y46" s="990"/>
      <c r="AA46" s="952"/>
      <c r="AB46" s="952"/>
      <c r="AC46" s="696" t="str">
        <f t="shared" ref="AC46:AE46" si="51">(B46/$F46)</f>
        <v>#DIV/0!</v>
      </c>
      <c r="AD46" s="696" t="str">
        <f t="shared" si="51"/>
        <v>#DIV/0!</v>
      </c>
      <c r="AE46" s="696" t="str">
        <f t="shared" si="51"/>
        <v>#DIV/0!</v>
      </c>
    </row>
    <row r="47">
      <c r="A47" s="987"/>
      <c r="B47" s="991"/>
      <c r="C47" s="991"/>
      <c r="D47" s="991"/>
      <c r="E47" s="990"/>
      <c r="F47" s="991"/>
      <c r="G47" s="992"/>
      <c r="H47" s="991"/>
      <c r="I47" s="991"/>
      <c r="J47" s="990"/>
      <c r="K47" s="992"/>
      <c r="L47" s="993"/>
      <c r="M47" s="994"/>
      <c r="N47" s="993"/>
      <c r="O47" s="993"/>
      <c r="P47" s="993"/>
      <c r="Q47" s="993"/>
      <c r="R47" s="993"/>
      <c r="S47" s="990">
        <f t="shared" si="2"/>
        <v>0</v>
      </c>
      <c r="T47" s="987" t="str">
        <f t="shared" si="3"/>
        <v>#N/A</v>
      </c>
      <c r="U47" s="987" t="str">
        <f t="shared" si="4"/>
        <v>#N/A</v>
      </c>
      <c r="V47" s="987" t="str">
        <f t="shared" si="5"/>
        <v>#N/A</v>
      </c>
      <c r="W47" s="995">
        <f t="shared" si="6"/>
        <v>0</v>
      </c>
      <c r="X47" s="990" t="str">
        <f t="shared" si="7"/>
        <v>#DIV/0!</v>
      </c>
      <c r="Y47" s="990"/>
      <c r="AA47" s="952"/>
      <c r="AB47" s="952"/>
      <c r="AC47" s="696" t="str">
        <f t="shared" ref="AC47:AE47" si="52">(B47/$F47)</f>
        <v>#DIV/0!</v>
      </c>
      <c r="AD47" s="696" t="str">
        <f t="shared" si="52"/>
        <v>#DIV/0!</v>
      </c>
      <c r="AE47" s="696" t="str">
        <f t="shared" si="52"/>
        <v>#DIV/0!</v>
      </c>
    </row>
    <row r="48">
      <c r="A48" s="987"/>
      <c r="B48" s="991"/>
      <c r="C48" s="991"/>
      <c r="D48" s="991"/>
      <c r="E48" s="990"/>
      <c r="F48" s="991"/>
      <c r="G48" s="992"/>
      <c r="H48" s="991"/>
      <c r="I48" s="991"/>
      <c r="J48" s="990"/>
      <c r="K48" s="992"/>
      <c r="L48" s="993"/>
      <c r="M48" s="994"/>
      <c r="N48" s="993"/>
      <c r="O48" s="993"/>
      <c r="P48" s="993"/>
      <c r="Q48" s="993"/>
      <c r="R48" s="993"/>
      <c r="S48" s="990">
        <f t="shared" si="2"/>
        <v>0</v>
      </c>
      <c r="T48" s="987" t="str">
        <f t="shared" si="3"/>
        <v>#N/A</v>
      </c>
      <c r="U48" s="987" t="str">
        <f t="shared" si="4"/>
        <v>#N/A</v>
      </c>
      <c r="V48" s="987" t="str">
        <f t="shared" si="5"/>
        <v>#N/A</v>
      </c>
      <c r="W48" s="995">
        <f t="shared" si="6"/>
        <v>0</v>
      </c>
      <c r="X48" s="990" t="str">
        <f t="shared" si="7"/>
        <v>#DIV/0!</v>
      </c>
      <c r="Y48" s="990"/>
      <c r="AA48" s="952"/>
      <c r="AB48" s="952"/>
      <c r="AC48" s="696" t="str">
        <f t="shared" ref="AC48:AE48" si="53">(B48/$F48)</f>
        <v>#DIV/0!</v>
      </c>
      <c r="AD48" s="696" t="str">
        <f t="shared" si="53"/>
        <v>#DIV/0!</v>
      </c>
      <c r="AE48" s="696" t="str">
        <f t="shared" si="53"/>
        <v>#DIV/0!</v>
      </c>
    </row>
    <row r="49">
      <c r="A49" s="987"/>
      <c r="B49" s="991"/>
      <c r="C49" s="991"/>
      <c r="D49" s="991"/>
      <c r="E49" s="990"/>
      <c r="F49" s="991"/>
      <c r="G49" s="992"/>
      <c r="H49" s="991"/>
      <c r="I49" s="991"/>
      <c r="J49" s="990"/>
      <c r="K49" s="992"/>
      <c r="L49" s="993"/>
      <c r="M49" s="994"/>
      <c r="N49" s="993"/>
      <c r="O49" s="993"/>
      <c r="P49" s="993"/>
      <c r="Q49" s="993"/>
      <c r="R49" s="993"/>
      <c r="S49" s="990">
        <f t="shared" si="2"/>
        <v>0</v>
      </c>
      <c r="T49" s="987" t="str">
        <f t="shared" si="3"/>
        <v>#N/A</v>
      </c>
      <c r="U49" s="987" t="str">
        <f t="shared" si="4"/>
        <v>#N/A</v>
      </c>
      <c r="V49" s="987" t="str">
        <f t="shared" si="5"/>
        <v>#N/A</v>
      </c>
      <c r="W49" s="995">
        <f t="shared" si="6"/>
        <v>0</v>
      </c>
      <c r="X49" s="990" t="str">
        <f t="shared" si="7"/>
        <v>#DIV/0!</v>
      </c>
      <c r="Y49" s="990"/>
      <c r="AA49" s="952"/>
      <c r="AB49" s="952"/>
      <c r="AC49" s="696" t="str">
        <f t="shared" ref="AC49:AE49" si="54">(B49/$F49)</f>
        <v>#DIV/0!</v>
      </c>
      <c r="AD49" s="696" t="str">
        <f t="shared" si="54"/>
        <v>#DIV/0!</v>
      </c>
      <c r="AE49" s="696" t="str">
        <f t="shared" si="54"/>
        <v>#DIV/0!</v>
      </c>
    </row>
    <row r="50">
      <c r="A50" s="987"/>
      <c r="B50" s="991"/>
      <c r="C50" s="991"/>
      <c r="D50" s="991"/>
      <c r="E50" s="990"/>
      <c r="F50" s="991"/>
      <c r="G50" s="992"/>
      <c r="H50" s="991"/>
      <c r="I50" s="991"/>
      <c r="J50" s="990"/>
      <c r="K50" s="992"/>
      <c r="L50" s="993"/>
      <c r="M50" s="994"/>
      <c r="N50" s="993"/>
      <c r="O50" s="993"/>
      <c r="P50" s="993"/>
      <c r="Q50" s="993"/>
      <c r="R50" s="993"/>
      <c r="S50" s="990">
        <f t="shared" si="2"/>
        <v>0</v>
      </c>
      <c r="T50" s="987" t="str">
        <f t="shared" si="3"/>
        <v>#N/A</v>
      </c>
      <c r="U50" s="987" t="str">
        <f t="shared" si="4"/>
        <v>#N/A</v>
      </c>
      <c r="V50" s="987" t="str">
        <f t="shared" si="5"/>
        <v>#N/A</v>
      </c>
      <c r="W50" s="995">
        <f t="shared" si="6"/>
        <v>0</v>
      </c>
      <c r="X50" s="990" t="str">
        <f t="shared" si="7"/>
        <v>#DIV/0!</v>
      </c>
      <c r="Y50" s="990"/>
      <c r="AA50" s="952"/>
      <c r="AB50" s="952"/>
      <c r="AC50" s="696" t="str">
        <f t="shared" ref="AC50:AE50" si="55">(B50/$F50)</f>
        <v>#DIV/0!</v>
      </c>
      <c r="AD50" s="696" t="str">
        <f t="shared" si="55"/>
        <v>#DIV/0!</v>
      </c>
      <c r="AE50" s="696" t="str">
        <f t="shared" si="55"/>
        <v>#DIV/0!</v>
      </c>
    </row>
    <row r="51">
      <c r="A51" s="987"/>
      <c r="B51" s="991"/>
      <c r="C51" s="991"/>
      <c r="D51" s="991"/>
      <c r="E51" s="990"/>
      <c r="F51" s="991"/>
      <c r="G51" s="992"/>
      <c r="H51" s="991"/>
      <c r="I51" s="991"/>
      <c r="J51" s="990"/>
      <c r="K51" s="992"/>
      <c r="L51" s="993"/>
      <c r="M51" s="994"/>
      <c r="N51" s="993"/>
      <c r="O51" s="993"/>
      <c r="P51" s="993"/>
      <c r="Q51" s="993"/>
      <c r="R51" s="993"/>
      <c r="S51" s="990">
        <f t="shared" si="2"/>
        <v>0</v>
      </c>
      <c r="T51" s="987" t="str">
        <f t="shared" si="3"/>
        <v>#N/A</v>
      </c>
      <c r="U51" s="987" t="str">
        <f t="shared" si="4"/>
        <v>#N/A</v>
      </c>
      <c r="V51" s="987" t="str">
        <f t="shared" si="5"/>
        <v>#N/A</v>
      </c>
      <c r="W51" s="995">
        <f t="shared" si="6"/>
        <v>0</v>
      </c>
      <c r="X51" s="990" t="str">
        <f t="shared" si="7"/>
        <v>#DIV/0!</v>
      </c>
      <c r="Y51" s="990"/>
      <c r="AA51" s="952"/>
      <c r="AB51" s="952"/>
      <c r="AC51" s="696" t="str">
        <f t="shared" ref="AC51:AE51" si="56">(B51/$F51)</f>
        <v>#DIV/0!</v>
      </c>
      <c r="AD51" s="696" t="str">
        <f t="shared" si="56"/>
        <v>#DIV/0!</v>
      </c>
      <c r="AE51" s="696" t="str">
        <f t="shared" si="56"/>
        <v>#DIV/0!</v>
      </c>
    </row>
    <row r="52">
      <c r="A52" s="987"/>
      <c r="B52" s="991"/>
      <c r="C52" s="991"/>
      <c r="D52" s="991"/>
      <c r="E52" s="990"/>
      <c r="F52" s="991"/>
      <c r="G52" s="992"/>
      <c r="H52" s="991"/>
      <c r="I52" s="991"/>
      <c r="J52" s="990"/>
      <c r="K52" s="992"/>
      <c r="L52" s="993"/>
      <c r="M52" s="994"/>
      <c r="N52" s="993"/>
      <c r="O52" s="993"/>
      <c r="P52" s="993"/>
      <c r="Q52" s="993"/>
      <c r="R52" s="993"/>
      <c r="S52" s="990">
        <f t="shared" si="2"/>
        <v>0</v>
      </c>
      <c r="T52" s="987" t="str">
        <f t="shared" si="3"/>
        <v>#N/A</v>
      </c>
      <c r="U52" s="987" t="str">
        <f t="shared" si="4"/>
        <v>#N/A</v>
      </c>
      <c r="V52" s="987" t="str">
        <f t="shared" si="5"/>
        <v>#N/A</v>
      </c>
      <c r="W52" s="995">
        <f t="shared" si="6"/>
        <v>0</v>
      </c>
      <c r="X52" s="990" t="str">
        <f t="shared" si="7"/>
        <v>#DIV/0!</v>
      </c>
      <c r="Y52" s="990"/>
      <c r="AA52" s="952"/>
      <c r="AB52" s="952"/>
      <c r="AC52" s="696" t="str">
        <f t="shared" ref="AC52:AE52" si="57">(B52/$F52)</f>
        <v>#DIV/0!</v>
      </c>
      <c r="AD52" s="696" t="str">
        <f t="shared" si="57"/>
        <v>#DIV/0!</v>
      </c>
      <c r="AE52" s="696" t="str">
        <f t="shared" si="57"/>
        <v>#DIV/0!</v>
      </c>
    </row>
    <row r="53">
      <c r="A53" s="987"/>
      <c r="B53" s="991"/>
      <c r="C53" s="991"/>
      <c r="D53" s="991"/>
      <c r="E53" s="990"/>
      <c r="F53" s="991"/>
      <c r="G53" s="992"/>
      <c r="H53" s="991"/>
      <c r="I53" s="991"/>
      <c r="J53" s="990"/>
      <c r="K53" s="992"/>
      <c r="L53" s="993"/>
      <c r="M53" s="994"/>
      <c r="N53" s="993"/>
      <c r="O53" s="993"/>
      <c r="P53" s="993"/>
      <c r="Q53" s="993"/>
      <c r="R53" s="993"/>
      <c r="S53" s="990">
        <f t="shared" si="2"/>
        <v>0</v>
      </c>
      <c r="T53" s="987" t="str">
        <f t="shared" si="3"/>
        <v>#N/A</v>
      </c>
      <c r="U53" s="987" t="str">
        <f t="shared" si="4"/>
        <v>#N/A</v>
      </c>
      <c r="V53" s="987" t="str">
        <f t="shared" si="5"/>
        <v>#N/A</v>
      </c>
      <c r="W53" s="995">
        <f t="shared" si="6"/>
        <v>0</v>
      </c>
      <c r="X53" s="990" t="str">
        <f t="shared" si="7"/>
        <v>#DIV/0!</v>
      </c>
      <c r="Y53" s="990"/>
      <c r="AA53" s="952"/>
      <c r="AB53" s="952"/>
      <c r="AC53" s="696"/>
    </row>
    <row r="54">
      <c r="A54" s="987"/>
      <c r="B54" s="991"/>
      <c r="C54" s="991"/>
      <c r="D54" s="991"/>
      <c r="E54" s="990"/>
      <c r="F54" s="991"/>
      <c r="G54" s="992"/>
      <c r="H54" s="991"/>
      <c r="I54" s="991"/>
      <c r="J54" s="990"/>
      <c r="K54" s="992"/>
      <c r="L54" s="993"/>
      <c r="M54" s="994"/>
      <c r="N54" s="993"/>
      <c r="O54" s="993"/>
      <c r="P54" s="993"/>
      <c r="Q54" s="993"/>
      <c r="R54" s="993"/>
      <c r="S54" s="990"/>
      <c r="T54" s="987"/>
      <c r="U54" s="987"/>
      <c r="V54" s="987"/>
      <c r="W54" s="995"/>
      <c r="X54" s="990"/>
      <c r="Y54" s="990"/>
      <c r="AA54" s="952"/>
      <c r="AB54" s="952"/>
      <c r="AC54" s="696"/>
    </row>
    <row r="55">
      <c r="A55" s="987"/>
      <c r="B55" s="991"/>
      <c r="C55" s="991"/>
      <c r="D55" s="991"/>
      <c r="E55" s="990"/>
      <c r="F55" s="991"/>
      <c r="G55" s="992"/>
      <c r="H55" s="991"/>
      <c r="I55" s="991"/>
      <c r="J55" s="990"/>
      <c r="K55" s="992"/>
      <c r="L55" s="993"/>
      <c r="M55" s="994"/>
      <c r="N55" s="993"/>
      <c r="O55" s="993"/>
      <c r="P55" s="993"/>
      <c r="Q55" s="993"/>
      <c r="R55" s="993"/>
      <c r="S55" s="990"/>
      <c r="T55" s="987"/>
      <c r="U55" s="987"/>
      <c r="V55" s="987"/>
      <c r="W55" s="995"/>
      <c r="X55" s="990"/>
      <c r="Y55" s="990"/>
      <c r="AA55" s="952"/>
      <c r="AB55" s="952"/>
      <c r="AC55" s="696"/>
    </row>
    <row r="56">
      <c r="A56" s="987"/>
      <c r="B56" s="991"/>
      <c r="C56" s="991"/>
      <c r="D56" s="991"/>
      <c r="E56" s="990"/>
      <c r="F56" s="991"/>
      <c r="G56" s="992"/>
      <c r="H56" s="991"/>
      <c r="I56" s="991"/>
      <c r="J56" s="990"/>
      <c r="K56" s="992"/>
      <c r="L56" s="993"/>
      <c r="M56" s="994"/>
      <c r="N56" s="993"/>
      <c r="O56" s="993"/>
      <c r="P56" s="993"/>
      <c r="Q56" s="993"/>
      <c r="R56" s="993"/>
      <c r="S56" s="990"/>
      <c r="T56" s="987"/>
      <c r="U56" s="987"/>
      <c r="V56" s="987"/>
      <c r="W56" s="995"/>
      <c r="X56" s="990"/>
      <c r="Y56" s="990"/>
      <c r="AA56" s="952"/>
      <c r="AB56" s="952"/>
      <c r="AC56" s="696"/>
    </row>
    <row r="57">
      <c r="A57" s="987"/>
      <c r="B57" s="991"/>
      <c r="C57" s="991"/>
      <c r="D57" s="991"/>
      <c r="E57" s="990"/>
      <c r="F57" s="991"/>
      <c r="G57" s="992"/>
      <c r="H57" s="991"/>
      <c r="I57" s="991"/>
      <c r="J57" s="990"/>
      <c r="K57" s="992"/>
      <c r="L57" s="993"/>
      <c r="M57" s="994"/>
      <c r="N57" s="993"/>
      <c r="O57" s="993"/>
      <c r="P57" s="993"/>
      <c r="Q57" s="993"/>
      <c r="R57" s="993"/>
      <c r="S57" s="990"/>
      <c r="T57" s="987"/>
      <c r="U57" s="987"/>
      <c r="V57" s="987"/>
      <c r="W57" s="995"/>
      <c r="X57" s="990"/>
      <c r="Y57" s="990"/>
      <c r="AA57" s="952"/>
      <c r="AB57" s="952"/>
      <c r="AC57" s="696"/>
    </row>
    <row r="58">
      <c r="A58" s="987"/>
      <c r="B58" s="991"/>
      <c r="C58" s="991"/>
      <c r="D58" s="991"/>
      <c r="E58" s="990"/>
      <c r="F58" s="991"/>
      <c r="G58" s="992"/>
      <c r="H58" s="991"/>
      <c r="I58" s="991"/>
      <c r="J58" s="990"/>
      <c r="K58" s="992"/>
      <c r="L58" s="993"/>
      <c r="M58" s="994"/>
      <c r="N58" s="993"/>
      <c r="O58" s="993"/>
      <c r="P58" s="993"/>
      <c r="Q58" s="993"/>
      <c r="R58" s="993"/>
      <c r="S58" s="990"/>
      <c r="T58" s="987"/>
      <c r="U58" s="987"/>
      <c r="V58" s="987"/>
      <c r="W58" s="995"/>
      <c r="X58" s="990"/>
      <c r="Y58" s="990"/>
      <c r="AA58" s="952"/>
      <c r="AB58" s="952"/>
      <c r="AC58" s="696"/>
    </row>
    <row r="59">
      <c r="A59" s="987"/>
      <c r="B59" s="991"/>
      <c r="C59" s="991"/>
      <c r="D59" s="991"/>
      <c r="E59" s="990"/>
      <c r="F59" s="991"/>
      <c r="G59" s="992"/>
      <c r="H59" s="991"/>
      <c r="I59" s="991"/>
      <c r="J59" s="990"/>
      <c r="K59" s="992"/>
      <c r="L59" s="993"/>
      <c r="M59" s="994"/>
      <c r="N59" s="993"/>
      <c r="O59" s="993"/>
      <c r="P59" s="993"/>
      <c r="Q59" s="993"/>
      <c r="R59" s="993"/>
      <c r="S59" s="990"/>
      <c r="T59" s="987"/>
      <c r="U59" s="987"/>
      <c r="V59" s="987"/>
      <c r="W59" s="995"/>
      <c r="X59" s="990"/>
      <c r="Y59" s="990"/>
      <c r="AA59" s="952"/>
      <c r="AB59" s="952"/>
      <c r="AC59" s="696"/>
    </row>
    <row r="60">
      <c r="A60" s="952"/>
      <c r="B60" s="952"/>
      <c r="C60" s="952"/>
      <c r="D60" s="952"/>
      <c r="E60" s="952"/>
      <c r="F60" s="952"/>
      <c r="G60" s="952"/>
      <c r="H60" s="952"/>
      <c r="I60" s="952"/>
      <c r="J60" s="952"/>
      <c r="K60" s="952"/>
      <c r="L60" s="952"/>
      <c r="M60" s="952"/>
      <c r="N60" s="952"/>
      <c r="O60" s="952"/>
      <c r="P60" s="952"/>
      <c r="Q60" s="952"/>
      <c r="R60" s="952"/>
      <c r="W60" s="997"/>
      <c r="AA60" s="952"/>
      <c r="AB60" s="952"/>
      <c r="AC60" s="696"/>
    </row>
    <row r="61">
      <c r="A61" s="952"/>
      <c r="B61" s="952"/>
      <c r="C61" s="952"/>
      <c r="D61" s="952"/>
      <c r="E61" s="952"/>
      <c r="F61" s="952"/>
      <c r="G61" s="952"/>
      <c r="H61" s="952"/>
      <c r="I61" s="952"/>
      <c r="J61" s="952"/>
      <c r="K61" s="952"/>
      <c r="L61" s="952"/>
      <c r="M61" s="952"/>
      <c r="N61" s="952"/>
      <c r="O61" s="952"/>
      <c r="P61" s="952"/>
      <c r="Q61" s="952"/>
      <c r="R61" s="952"/>
      <c r="W61" s="997"/>
      <c r="AC61" s="696"/>
    </row>
    <row r="62">
      <c r="A62" s="952"/>
      <c r="B62" s="952"/>
      <c r="C62" s="952"/>
      <c r="D62" s="952"/>
      <c r="E62" s="952"/>
      <c r="F62" s="952"/>
      <c r="G62" s="952"/>
      <c r="H62" s="952"/>
      <c r="I62" s="952"/>
      <c r="J62" s="952"/>
      <c r="K62" s="952"/>
      <c r="L62" s="952"/>
      <c r="M62" s="952"/>
      <c r="N62" s="952"/>
      <c r="O62" s="952"/>
      <c r="P62" s="952"/>
      <c r="Q62" s="952"/>
      <c r="R62" s="952"/>
      <c r="W62" s="997"/>
      <c r="AC62" s="696"/>
    </row>
    <row r="63">
      <c r="A63" s="952"/>
      <c r="B63" s="952"/>
      <c r="C63" s="952"/>
      <c r="D63" s="952"/>
      <c r="E63" s="952"/>
      <c r="F63" s="952"/>
      <c r="G63" s="952"/>
      <c r="H63" s="952"/>
      <c r="I63" s="952"/>
      <c r="J63" s="952"/>
      <c r="K63" s="952"/>
      <c r="L63" s="952"/>
      <c r="M63" s="952"/>
      <c r="N63" s="952"/>
      <c r="O63" s="952"/>
      <c r="P63" s="952"/>
      <c r="Q63" s="952"/>
      <c r="R63" s="952"/>
      <c r="W63" s="997"/>
      <c r="AC63" s="696"/>
    </row>
    <row r="64">
      <c r="A64" s="952"/>
      <c r="B64" s="952"/>
      <c r="C64" s="952"/>
      <c r="D64" s="952"/>
      <c r="E64" s="952"/>
      <c r="F64" s="952"/>
      <c r="G64" s="952"/>
      <c r="H64" s="952"/>
      <c r="I64" s="952"/>
      <c r="J64" s="952"/>
      <c r="K64" s="952"/>
      <c r="L64" s="952"/>
      <c r="M64" s="952"/>
      <c r="N64" s="952"/>
      <c r="O64" s="952"/>
      <c r="P64" s="952"/>
      <c r="Q64" s="952"/>
      <c r="R64" s="952"/>
      <c r="W64" s="997"/>
      <c r="AC64" s="696"/>
    </row>
    <row r="65">
      <c r="A65" s="952"/>
      <c r="B65" s="952"/>
      <c r="C65" s="952"/>
      <c r="D65" s="952"/>
      <c r="E65" s="952"/>
      <c r="F65" s="952"/>
      <c r="G65" s="952"/>
      <c r="H65" s="952"/>
      <c r="I65" s="952"/>
      <c r="J65" s="952"/>
      <c r="K65" s="952"/>
      <c r="L65" s="952"/>
      <c r="M65" s="952"/>
      <c r="N65" s="952"/>
      <c r="O65" s="952"/>
      <c r="P65" s="952"/>
      <c r="Q65" s="952"/>
      <c r="R65" s="952"/>
      <c r="W65" s="997"/>
      <c r="AC65" s="696"/>
    </row>
    <row r="66">
      <c r="A66" s="952"/>
      <c r="B66" s="952"/>
      <c r="C66" s="952"/>
      <c r="D66" s="952"/>
      <c r="E66" s="952"/>
      <c r="F66" s="952"/>
      <c r="G66" s="952"/>
      <c r="H66" s="952"/>
      <c r="I66" s="952"/>
      <c r="J66" s="952"/>
      <c r="K66" s="952"/>
      <c r="L66" s="952"/>
      <c r="M66" s="952"/>
      <c r="N66" s="952"/>
      <c r="O66" s="952"/>
      <c r="P66" s="952"/>
      <c r="Q66" s="952"/>
      <c r="R66" s="952"/>
      <c r="W66" s="997"/>
      <c r="AC66" s="696"/>
    </row>
    <row r="67">
      <c r="A67" s="952"/>
      <c r="B67" s="952"/>
      <c r="C67" s="952"/>
      <c r="D67" s="952"/>
      <c r="E67" s="952"/>
      <c r="F67" s="952"/>
      <c r="G67" s="952"/>
      <c r="H67" s="952"/>
      <c r="I67" s="952"/>
      <c r="J67" s="952"/>
      <c r="K67" s="952"/>
      <c r="L67" s="952"/>
      <c r="M67" s="952"/>
      <c r="N67" s="952"/>
      <c r="O67" s="952"/>
      <c r="P67" s="952"/>
      <c r="Q67" s="952"/>
      <c r="R67" s="952"/>
      <c r="W67" s="997"/>
      <c r="AC67" s="696"/>
    </row>
    <row r="68">
      <c r="A68" s="952"/>
      <c r="B68" s="952"/>
      <c r="C68" s="952"/>
      <c r="D68" s="952"/>
      <c r="E68" s="952"/>
      <c r="F68" s="952"/>
      <c r="G68" s="952"/>
      <c r="H68" s="952"/>
      <c r="I68" s="952"/>
      <c r="J68" s="952"/>
      <c r="K68" s="952"/>
      <c r="L68" s="952"/>
      <c r="M68" s="952"/>
      <c r="N68" s="952"/>
      <c r="O68" s="952"/>
      <c r="P68" s="952"/>
      <c r="Q68" s="952"/>
      <c r="R68" s="952"/>
      <c r="W68" s="997"/>
      <c r="AC68" s="696"/>
    </row>
    <row r="69">
      <c r="A69" s="952"/>
      <c r="B69" s="952"/>
      <c r="C69" s="952"/>
      <c r="D69" s="952"/>
      <c r="E69" s="952"/>
      <c r="F69" s="952"/>
      <c r="G69" s="952"/>
      <c r="H69" s="952"/>
      <c r="I69" s="952"/>
      <c r="J69" s="952"/>
      <c r="K69" s="952"/>
      <c r="L69" s="952"/>
      <c r="M69" s="952"/>
      <c r="N69" s="952"/>
      <c r="O69" s="952"/>
      <c r="P69" s="952"/>
      <c r="Q69" s="952"/>
      <c r="R69" s="952"/>
      <c r="W69" s="997"/>
      <c r="AC69" s="696"/>
    </row>
    <row r="70">
      <c r="A70" s="952"/>
      <c r="B70" s="952"/>
      <c r="C70" s="952"/>
      <c r="D70" s="952"/>
      <c r="E70" s="952"/>
      <c r="F70" s="952"/>
      <c r="G70" s="952"/>
      <c r="H70" s="952"/>
      <c r="I70" s="952"/>
      <c r="J70" s="952"/>
      <c r="K70" s="952"/>
      <c r="L70" s="952"/>
      <c r="M70" s="952"/>
      <c r="N70" s="952"/>
      <c r="O70" s="952"/>
      <c r="P70" s="952"/>
      <c r="Q70" s="952"/>
      <c r="R70" s="952"/>
      <c r="W70" s="997"/>
      <c r="AC70" s="696"/>
    </row>
    <row r="71">
      <c r="A71" s="952"/>
      <c r="B71" s="952"/>
      <c r="C71" s="952"/>
      <c r="D71" s="952"/>
      <c r="E71" s="952"/>
      <c r="F71" s="952"/>
      <c r="G71" s="952"/>
      <c r="H71" s="952"/>
      <c r="I71" s="952"/>
      <c r="J71" s="952"/>
      <c r="K71" s="952"/>
      <c r="L71" s="952"/>
      <c r="M71" s="952"/>
      <c r="N71" s="952"/>
      <c r="O71" s="952"/>
      <c r="P71" s="952"/>
      <c r="Q71" s="952"/>
      <c r="R71" s="952"/>
      <c r="W71" s="997"/>
      <c r="AC71" s="696"/>
    </row>
    <row r="72">
      <c r="A72" s="952"/>
      <c r="B72" s="952"/>
      <c r="C72" s="952"/>
      <c r="D72" s="952"/>
      <c r="E72" s="952"/>
      <c r="F72" s="952"/>
      <c r="G72" s="952"/>
      <c r="H72" s="952"/>
      <c r="I72" s="952"/>
      <c r="J72" s="952"/>
      <c r="K72" s="952"/>
      <c r="L72" s="952"/>
      <c r="M72" s="952"/>
      <c r="N72" s="952"/>
      <c r="O72" s="952"/>
      <c r="P72" s="952"/>
      <c r="Q72" s="952"/>
      <c r="R72" s="952"/>
      <c r="W72" s="997"/>
      <c r="AC72" s="696"/>
    </row>
    <row r="73">
      <c r="A73" s="952"/>
      <c r="B73" s="952"/>
      <c r="C73" s="952"/>
      <c r="D73" s="952"/>
      <c r="E73" s="952"/>
      <c r="F73" s="952"/>
      <c r="G73" s="952"/>
      <c r="H73" s="952"/>
      <c r="I73" s="952"/>
      <c r="J73" s="952"/>
      <c r="K73" s="952"/>
      <c r="L73" s="952"/>
      <c r="M73" s="952"/>
      <c r="N73" s="952"/>
      <c r="O73" s="952"/>
      <c r="P73" s="952"/>
      <c r="Q73" s="952"/>
      <c r="R73" s="952"/>
      <c r="W73" s="997"/>
      <c r="AC73" s="696"/>
    </row>
    <row r="74">
      <c r="A74" s="952"/>
      <c r="B74" s="952"/>
      <c r="C74" s="952"/>
      <c r="D74" s="952"/>
      <c r="E74" s="952"/>
      <c r="F74" s="952"/>
      <c r="G74" s="952"/>
      <c r="H74" s="952"/>
      <c r="I74" s="952"/>
      <c r="J74" s="952"/>
      <c r="K74" s="952"/>
      <c r="L74" s="952"/>
      <c r="M74" s="952"/>
      <c r="N74" s="952"/>
      <c r="O74" s="952"/>
      <c r="P74" s="952"/>
      <c r="Q74" s="952"/>
      <c r="R74" s="952"/>
      <c r="W74" s="997"/>
      <c r="AC74" s="696"/>
    </row>
    <row r="75">
      <c r="A75" s="952"/>
      <c r="B75" s="952"/>
      <c r="C75" s="952"/>
      <c r="D75" s="952"/>
      <c r="E75" s="952"/>
      <c r="F75" s="952"/>
      <c r="G75" s="952"/>
      <c r="H75" s="952"/>
      <c r="I75" s="952"/>
      <c r="J75" s="952"/>
      <c r="K75" s="952"/>
      <c r="L75" s="952"/>
      <c r="M75" s="952"/>
      <c r="N75" s="952"/>
      <c r="O75" s="952"/>
      <c r="P75" s="952"/>
      <c r="Q75" s="952"/>
      <c r="R75" s="952"/>
      <c r="W75" s="997"/>
      <c r="AC75" s="696"/>
    </row>
    <row r="76">
      <c r="A76" s="952"/>
      <c r="B76" s="952"/>
      <c r="C76" s="952"/>
      <c r="D76" s="952"/>
      <c r="E76" s="952"/>
      <c r="F76" s="952"/>
      <c r="G76" s="952"/>
      <c r="H76" s="952"/>
      <c r="I76" s="952"/>
      <c r="J76" s="952"/>
      <c r="K76" s="952"/>
      <c r="L76" s="952"/>
      <c r="M76" s="952"/>
      <c r="N76" s="952"/>
      <c r="O76" s="952"/>
      <c r="P76" s="952"/>
      <c r="Q76" s="952"/>
      <c r="R76" s="952"/>
      <c r="W76" s="997"/>
      <c r="AC76" s="696"/>
    </row>
    <row r="77">
      <c r="A77" s="952"/>
      <c r="B77" s="952"/>
      <c r="C77" s="952"/>
      <c r="D77" s="952"/>
      <c r="E77" s="952"/>
      <c r="F77" s="952"/>
      <c r="G77" s="952"/>
      <c r="H77" s="952"/>
      <c r="I77" s="952"/>
      <c r="J77" s="952"/>
      <c r="K77" s="952"/>
      <c r="L77" s="952"/>
      <c r="M77" s="952"/>
      <c r="N77" s="952"/>
      <c r="O77" s="952"/>
      <c r="P77" s="952"/>
      <c r="Q77" s="952"/>
      <c r="R77" s="952"/>
      <c r="W77" s="997"/>
      <c r="AC77" s="696"/>
    </row>
    <row r="78">
      <c r="A78" s="952"/>
      <c r="B78" s="952"/>
      <c r="C78" s="952"/>
      <c r="D78" s="952"/>
      <c r="E78" s="952"/>
      <c r="F78" s="952"/>
      <c r="G78" s="952"/>
      <c r="H78" s="952"/>
      <c r="I78" s="952"/>
      <c r="J78" s="952"/>
      <c r="K78" s="952"/>
      <c r="L78" s="952"/>
      <c r="M78" s="952"/>
      <c r="N78" s="952"/>
      <c r="O78" s="952"/>
      <c r="P78" s="952"/>
      <c r="Q78" s="952"/>
      <c r="R78" s="952"/>
      <c r="W78" s="997"/>
      <c r="AC78" s="696"/>
    </row>
    <row r="79">
      <c r="A79" s="952"/>
      <c r="B79" s="952"/>
      <c r="C79" s="952"/>
      <c r="D79" s="952"/>
      <c r="E79" s="952"/>
      <c r="F79" s="952"/>
      <c r="G79" s="952"/>
      <c r="H79" s="952"/>
      <c r="I79" s="952"/>
      <c r="J79" s="952"/>
      <c r="K79" s="952"/>
      <c r="L79" s="952"/>
      <c r="M79" s="952"/>
      <c r="N79" s="952"/>
      <c r="O79" s="952"/>
      <c r="P79" s="952"/>
      <c r="Q79" s="952"/>
      <c r="R79" s="952"/>
      <c r="W79" s="997"/>
      <c r="AC79" s="696"/>
    </row>
    <row r="80">
      <c r="A80" s="952"/>
      <c r="B80" s="952"/>
      <c r="C80" s="952"/>
      <c r="D80" s="952"/>
      <c r="E80" s="952"/>
      <c r="F80" s="952"/>
      <c r="G80" s="952"/>
      <c r="H80" s="952"/>
      <c r="I80" s="952"/>
      <c r="J80" s="952"/>
      <c r="K80" s="952"/>
      <c r="L80" s="952"/>
      <c r="M80" s="952"/>
      <c r="N80" s="952"/>
      <c r="O80" s="952"/>
      <c r="P80" s="952"/>
      <c r="Q80" s="952"/>
      <c r="R80" s="952"/>
      <c r="W80" s="997"/>
      <c r="AC80" s="696"/>
    </row>
    <row r="81">
      <c r="A81" s="952"/>
      <c r="B81" s="952"/>
      <c r="C81" s="952"/>
      <c r="D81" s="952"/>
      <c r="E81" s="952"/>
      <c r="F81" s="952"/>
      <c r="G81" s="952"/>
      <c r="H81" s="952"/>
      <c r="I81" s="952"/>
      <c r="J81" s="952"/>
      <c r="K81" s="952"/>
      <c r="L81" s="952"/>
      <c r="M81" s="952"/>
      <c r="N81" s="952"/>
      <c r="O81" s="952"/>
      <c r="P81" s="952"/>
      <c r="Q81" s="952"/>
      <c r="R81" s="952"/>
      <c r="W81" s="997"/>
      <c r="AC81" s="696"/>
    </row>
    <row r="82">
      <c r="A82" s="952"/>
      <c r="B82" s="952"/>
      <c r="C82" s="952"/>
      <c r="D82" s="952"/>
      <c r="E82" s="952"/>
      <c r="F82" s="952"/>
      <c r="G82" s="952"/>
      <c r="H82" s="952"/>
      <c r="I82" s="952"/>
      <c r="J82" s="952"/>
      <c r="K82" s="952"/>
      <c r="L82" s="952"/>
      <c r="M82" s="952"/>
      <c r="N82" s="952"/>
      <c r="O82" s="952"/>
      <c r="P82" s="952"/>
      <c r="Q82" s="952"/>
      <c r="R82" s="952"/>
      <c r="W82" s="997"/>
      <c r="AC82" s="696"/>
    </row>
    <row r="83">
      <c r="A83" s="952"/>
      <c r="B83" s="952"/>
      <c r="C83" s="952"/>
      <c r="D83" s="952"/>
      <c r="E83" s="952"/>
      <c r="F83" s="952"/>
      <c r="G83" s="952"/>
      <c r="H83" s="952"/>
      <c r="I83" s="952"/>
      <c r="J83" s="952"/>
      <c r="K83" s="952"/>
      <c r="L83" s="952"/>
      <c r="M83" s="952"/>
      <c r="N83" s="952"/>
      <c r="O83" s="952"/>
      <c r="P83" s="952"/>
      <c r="Q83" s="952"/>
      <c r="R83" s="952"/>
      <c r="W83" s="997"/>
      <c r="AC83" s="696"/>
    </row>
    <row r="84">
      <c r="A84" s="952"/>
      <c r="B84" s="952"/>
      <c r="C84" s="952"/>
      <c r="D84" s="952"/>
      <c r="E84" s="952"/>
      <c r="F84" s="952"/>
      <c r="G84" s="952"/>
      <c r="H84" s="952"/>
      <c r="I84" s="952"/>
      <c r="J84" s="952"/>
      <c r="K84" s="952"/>
      <c r="L84" s="952"/>
      <c r="M84" s="952"/>
      <c r="N84" s="952"/>
      <c r="O84" s="952"/>
      <c r="P84" s="952"/>
      <c r="Q84" s="952"/>
      <c r="R84" s="952"/>
      <c r="W84" s="997"/>
      <c r="AC84" s="696"/>
    </row>
    <row r="85">
      <c r="A85" s="952"/>
      <c r="B85" s="952"/>
      <c r="C85" s="952"/>
      <c r="D85" s="952"/>
      <c r="E85" s="952"/>
      <c r="F85" s="952"/>
      <c r="G85" s="952"/>
      <c r="H85" s="952"/>
      <c r="I85" s="952"/>
      <c r="J85" s="952"/>
      <c r="K85" s="952"/>
      <c r="L85" s="952"/>
      <c r="M85" s="952"/>
      <c r="N85" s="952"/>
      <c r="O85" s="952"/>
      <c r="P85" s="952"/>
      <c r="Q85" s="952"/>
      <c r="R85" s="952"/>
      <c r="W85" s="997"/>
      <c r="AC85" s="696"/>
    </row>
    <row r="86">
      <c r="A86" s="952"/>
      <c r="B86" s="952"/>
      <c r="C86" s="952"/>
      <c r="D86" s="952"/>
      <c r="E86" s="952"/>
      <c r="F86" s="952"/>
      <c r="G86" s="952"/>
      <c r="H86" s="952"/>
      <c r="I86" s="952"/>
      <c r="J86" s="952"/>
      <c r="K86" s="952"/>
      <c r="L86" s="952"/>
      <c r="M86" s="952"/>
      <c r="N86" s="952"/>
      <c r="O86" s="952"/>
      <c r="P86" s="952"/>
      <c r="Q86" s="952"/>
      <c r="R86" s="952"/>
      <c r="W86" s="997"/>
      <c r="AC86" s="696"/>
    </row>
    <row r="87">
      <c r="A87" s="952"/>
      <c r="B87" s="952"/>
      <c r="C87" s="952"/>
      <c r="D87" s="952"/>
      <c r="E87" s="952"/>
      <c r="F87" s="952"/>
      <c r="G87" s="952"/>
      <c r="H87" s="952"/>
      <c r="I87" s="952"/>
      <c r="J87" s="952"/>
      <c r="K87" s="952"/>
      <c r="L87" s="952"/>
      <c r="M87" s="952"/>
      <c r="N87" s="952"/>
      <c r="O87" s="952"/>
      <c r="P87" s="952"/>
      <c r="Q87" s="952"/>
      <c r="R87" s="952"/>
      <c r="W87" s="997"/>
      <c r="AC87" s="696"/>
    </row>
    <row r="88">
      <c r="A88" s="952"/>
      <c r="B88" s="952"/>
      <c r="C88" s="952"/>
      <c r="D88" s="952"/>
      <c r="E88" s="952"/>
      <c r="F88" s="952"/>
      <c r="G88" s="952"/>
      <c r="H88" s="952"/>
      <c r="I88" s="952"/>
      <c r="J88" s="952"/>
      <c r="K88" s="952"/>
      <c r="L88" s="952"/>
      <c r="M88" s="952"/>
      <c r="N88" s="952"/>
      <c r="O88" s="952"/>
      <c r="P88" s="952"/>
      <c r="Q88" s="952"/>
      <c r="R88" s="952"/>
      <c r="W88" s="997"/>
      <c r="AC88" s="696"/>
    </row>
    <row r="89">
      <c r="A89" s="952"/>
      <c r="B89" s="952"/>
      <c r="C89" s="952"/>
      <c r="D89" s="952"/>
      <c r="E89" s="952"/>
      <c r="F89" s="952"/>
      <c r="G89" s="952"/>
      <c r="H89" s="952"/>
      <c r="I89" s="952"/>
      <c r="J89" s="952"/>
      <c r="K89" s="952"/>
      <c r="L89" s="952"/>
      <c r="M89" s="952"/>
      <c r="N89" s="952"/>
      <c r="O89" s="952"/>
      <c r="P89" s="952"/>
      <c r="Q89" s="952"/>
      <c r="R89" s="952"/>
      <c r="W89" s="997"/>
      <c r="AC89" s="696"/>
    </row>
    <row r="90">
      <c r="A90" s="952"/>
      <c r="B90" s="952"/>
      <c r="C90" s="952"/>
      <c r="D90" s="952"/>
      <c r="E90" s="952"/>
      <c r="F90" s="952"/>
      <c r="G90" s="952"/>
      <c r="H90" s="952"/>
      <c r="I90" s="952"/>
      <c r="J90" s="952"/>
      <c r="K90" s="952"/>
      <c r="L90" s="952"/>
      <c r="M90" s="952"/>
      <c r="N90" s="952"/>
      <c r="O90" s="952"/>
      <c r="P90" s="952"/>
      <c r="Q90" s="952"/>
      <c r="R90" s="952"/>
      <c r="W90" s="997"/>
      <c r="AC90" s="696"/>
    </row>
    <row r="91">
      <c r="A91" s="952"/>
      <c r="B91" s="952"/>
      <c r="C91" s="952"/>
      <c r="D91" s="952"/>
      <c r="E91" s="952"/>
      <c r="F91" s="952"/>
      <c r="G91" s="952"/>
      <c r="H91" s="952"/>
      <c r="I91" s="952"/>
      <c r="J91" s="952"/>
      <c r="K91" s="952"/>
      <c r="L91" s="952"/>
      <c r="M91" s="952"/>
      <c r="N91" s="952"/>
      <c r="O91" s="952"/>
      <c r="P91" s="952"/>
      <c r="Q91" s="952"/>
      <c r="R91" s="952"/>
      <c r="W91" s="997"/>
      <c r="AC91" s="696"/>
    </row>
    <row r="92">
      <c r="A92" s="952"/>
      <c r="B92" s="952"/>
      <c r="C92" s="952"/>
      <c r="D92" s="952"/>
      <c r="E92" s="952"/>
      <c r="F92" s="952"/>
      <c r="G92" s="952"/>
      <c r="H92" s="952"/>
      <c r="I92" s="952"/>
      <c r="J92" s="952"/>
      <c r="K92" s="952"/>
      <c r="L92" s="952"/>
      <c r="M92" s="952"/>
      <c r="N92" s="952"/>
      <c r="O92" s="952"/>
      <c r="P92" s="952"/>
      <c r="Q92" s="952"/>
      <c r="R92" s="952"/>
      <c r="W92" s="997"/>
      <c r="AC92" s="696"/>
    </row>
    <row r="93">
      <c r="A93" s="952"/>
      <c r="B93" s="952"/>
      <c r="C93" s="952"/>
      <c r="D93" s="952"/>
      <c r="E93" s="952"/>
      <c r="F93" s="952"/>
      <c r="G93" s="952"/>
      <c r="H93" s="952"/>
      <c r="I93" s="952"/>
      <c r="J93" s="952"/>
      <c r="K93" s="952"/>
      <c r="L93" s="952"/>
      <c r="M93" s="952"/>
      <c r="N93" s="952"/>
      <c r="O93" s="952"/>
      <c r="P93" s="952"/>
      <c r="Q93" s="952"/>
      <c r="R93" s="952"/>
      <c r="W93" s="997"/>
      <c r="AC93" s="696"/>
    </row>
    <row r="94">
      <c r="A94" s="952"/>
      <c r="B94" s="952"/>
      <c r="C94" s="952"/>
      <c r="D94" s="952"/>
      <c r="E94" s="952"/>
      <c r="F94" s="952"/>
      <c r="G94" s="952"/>
      <c r="H94" s="952"/>
      <c r="I94" s="952"/>
      <c r="J94" s="952"/>
      <c r="K94" s="952"/>
      <c r="L94" s="952"/>
      <c r="M94" s="952"/>
      <c r="N94" s="952"/>
      <c r="O94" s="952"/>
      <c r="P94" s="952"/>
      <c r="Q94" s="952"/>
      <c r="R94" s="952"/>
      <c r="W94" s="997"/>
      <c r="AC94" s="696"/>
    </row>
    <row r="95">
      <c r="A95" s="952"/>
      <c r="B95" s="952"/>
      <c r="C95" s="952"/>
      <c r="D95" s="952"/>
      <c r="E95" s="952"/>
      <c r="F95" s="952"/>
      <c r="G95" s="952"/>
      <c r="H95" s="952"/>
      <c r="I95" s="952"/>
      <c r="J95" s="952"/>
      <c r="K95" s="952"/>
      <c r="L95" s="952"/>
      <c r="M95" s="952"/>
      <c r="N95" s="952"/>
      <c r="O95" s="952"/>
      <c r="P95" s="952"/>
      <c r="Q95" s="952"/>
      <c r="R95" s="952"/>
      <c r="W95" s="997"/>
      <c r="AC95" s="696"/>
    </row>
    <row r="96">
      <c r="A96" s="952"/>
      <c r="B96" s="952"/>
      <c r="C96" s="952"/>
      <c r="D96" s="952"/>
      <c r="E96" s="952"/>
      <c r="F96" s="952"/>
      <c r="G96" s="952"/>
      <c r="H96" s="952"/>
      <c r="I96" s="952"/>
      <c r="J96" s="952"/>
      <c r="K96" s="952"/>
      <c r="L96" s="952"/>
      <c r="M96" s="952"/>
      <c r="N96" s="952"/>
      <c r="O96" s="952"/>
      <c r="P96" s="952"/>
      <c r="Q96" s="952"/>
      <c r="R96" s="952"/>
      <c r="W96" s="997"/>
      <c r="AC96" s="696"/>
    </row>
    <row r="97">
      <c r="A97" s="952"/>
      <c r="B97" s="952"/>
      <c r="C97" s="952"/>
      <c r="D97" s="952"/>
      <c r="E97" s="952"/>
      <c r="F97" s="952"/>
      <c r="G97" s="952"/>
      <c r="H97" s="952"/>
      <c r="I97" s="952"/>
      <c r="J97" s="952"/>
      <c r="K97" s="952"/>
      <c r="L97" s="952"/>
      <c r="M97" s="952"/>
      <c r="N97" s="952"/>
      <c r="O97" s="952"/>
      <c r="P97" s="952"/>
      <c r="Q97" s="952"/>
      <c r="R97" s="952"/>
      <c r="W97" s="997"/>
      <c r="AC97" s="696"/>
    </row>
    <row r="98">
      <c r="A98" s="952"/>
      <c r="B98" s="952"/>
      <c r="C98" s="952"/>
      <c r="D98" s="952"/>
      <c r="E98" s="952"/>
      <c r="F98" s="952"/>
      <c r="G98" s="952"/>
      <c r="H98" s="952"/>
      <c r="I98" s="952"/>
      <c r="J98" s="952"/>
      <c r="K98" s="952"/>
      <c r="L98" s="952"/>
      <c r="M98" s="952"/>
      <c r="N98" s="952"/>
      <c r="O98" s="952"/>
      <c r="P98" s="952"/>
      <c r="Q98" s="952"/>
      <c r="R98" s="952"/>
      <c r="W98" s="997"/>
      <c r="AC98" s="696"/>
    </row>
    <row r="99">
      <c r="A99" s="952"/>
      <c r="B99" s="952"/>
      <c r="C99" s="952"/>
      <c r="D99" s="952"/>
      <c r="E99" s="952"/>
      <c r="F99" s="952"/>
      <c r="G99" s="952"/>
      <c r="H99" s="952"/>
      <c r="I99" s="952"/>
      <c r="J99" s="952"/>
      <c r="K99" s="952"/>
      <c r="L99" s="952"/>
      <c r="M99" s="952"/>
      <c r="N99" s="952"/>
      <c r="O99" s="952"/>
      <c r="P99" s="952"/>
      <c r="Q99" s="952"/>
      <c r="R99" s="952"/>
      <c r="W99" s="997"/>
      <c r="AC99" s="696"/>
    </row>
    <row r="100">
      <c r="A100" s="952"/>
      <c r="B100" s="952"/>
      <c r="C100" s="952"/>
      <c r="D100" s="952"/>
      <c r="E100" s="952"/>
      <c r="F100" s="952"/>
      <c r="G100" s="952"/>
      <c r="H100" s="952"/>
      <c r="I100" s="952"/>
      <c r="J100" s="952"/>
      <c r="K100" s="952"/>
      <c r="L100" s="952"/>
      <c r="M100" s="952"/>
      <c r="N100" s="952"/>
      <c r="O100" s="952"/>
      <c r="P100" s="952"/>
      <c r="Q100" s="952"/>
      <c r="R100" s="952"/>
      <c r="W100" s="997"/>
      <c r="AC100" s="696"/>
    </row>
    <row r="101">
      <c r="A101" s="952"/>
      <c r="B101" s="952"/>
      <c r="C101" s="952"/>
      <c r="D101" s="952"/>
      <c r="E101" s="952"/>
      <c r="F101" s="952"/>
      <c r="G101" s="952"/>
      <c r="H101" s="952"/>
      <c r="I101" s="952"/>
      <c r="J101" s="952"/>
      <c r="K101" s="952"/>
      <c r="L101" s="952"/>
      <c r="M101" s="952"/>
      <c r="N101" s="952"/>
      <c r="O101" s="952"/>
      <c r="P101" s="952"/>
      <c r="Q101" s="952"/>
      <c r="R101" s="952"/>
      <c r="W101" s="997"/>
      <c r="AC101" s="696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98" t="s">
        <v>443</v>
      </c>
      <c r="B1" s="999" t="s">
        <v>597</v>
      </c>
      <c r="C1" s="999" t="s">
        <v>598</v>
      </c>
      <c r="D1" s="998" t="s">
        <v>599</v>
      </c>
      <c r="E1" s="998" t="s">
        <v>448</v>
      </c>
    </row>
    <row r="2">
      <c r="A2" s="966" t="str">
        <f>IFERROR(__xludf.DUMMYFUNCTION("QUERY(Calcul_mensuel!A2:AB1000,""SELECT A,J,AB,X WHERE NOT A ENDS WITH '-GV' AND NOT A ENDS WITH '-MONO' AND NOT A ENDS WITH '-INSTALL' AND NOT A ENDS WITH '_instal' ORDER BY X DESC "")"),"#N/A")</f>
        <v>#N/A</v>
      </c>
      <c r="B2" s="967">
        <f>IFERROR(__xludf.DUMMYFUNCTION("""COMPUTED_VALUE"""),4.821120324928076)</f>
        <v>4.821120325</v>
      </c>
      <c r="C2" s="952" t="str">
        <f>IFERROR(__xludf.DUMMYFUNCTION("""COMPUTED_VALUE"""),"#DIV/0!")</f>
        <v>#DIV/0!</v>
      </c>
      <c r="D2" s="952" t="str">
        <f>IFERROR(__xludf.DUMMYFUNCTION("""COMPUTED_VALUE"""),"#DIV/0!")</f>
        <v>#DIV/0!</v>
      </c>
      <c r="E2" s="966" t="str">
        <f t="shared" ref="E2:E35" si="1">RANK(D2,D$2:D$55,0)</f>
        <v>#VALUE!</v>
      </c>
    </row>
    <row r="3">
      <c r="A3" s="952"/>
      <c r="B3" s="967"/>
      <c r="C3" s="952"/>
      <c r="D3" s="952" t="str">
        <f>IFERROR(__xludf.DUMMYFUNCTION("""COMPUTED_VALUE"""),"#DIV/0!")</f>
        <v>#DIV/0!</v>
      </c>
      <c r="E3" s="966" t="str">
        <f t="shared" si="1"/>
        <v>#VALUE!</v>
      </c>
    </row>
    <row r="4">
      <c r="A4" s="952"/>
      <c r="B4" s="967"/>
      <c r="C4" s="952"/>
      <c r="D4" s="952" t="str">
        <f>IFERROR(__xludf.DUMMYFUNCTION("""COMPUTED_VALUE"""),"#DIV/0!")</f>
        <v>#DIV/0!</v>
      </c>
      <c r="E4" s="966" t="str">
        <f t="shared" si="1"/>
        <v>#VALUE!</v>
      </c>
    </row>
    <row r="5">
      <c r="A5" s="952"/>
      <c r="B5" s="967"/>
      <c r="C5" s="952"/>
      <c r="D5" s="952" t="str">
        <f>IFERROR(__xludf.DUMMYFUNCTION("""COMPUTED_VALUE"""),"#DIV/0!")</f>
        <v>#DIV/0!</v>
      </c>
      <c r="E5" s="966" t="str">
        <f t="shared" si="1"/>
        <v>#VALUE!</v>
      </c>
    </row>
    <row r="6">
      <c r="A6" s="952"/>
      <c r="B6" s="967"/>
      <c r="C6" s="952"/>
      <c r="D6" s="952" t="str">
        <f>IFERROR(__xludf.DUMMYFUNCTION("""COMPUTED_VALUE"""),"#DIV/0!")</f>
        <v>#DIV/0!</v>
      </c>
      <c r="E6" s="966" t="str">
        <f t="shared" si="1"/>
        <v>#VALUE!</v>
      </c>
    </row>
    <row r="7">
      <c r="A7" s="952"/>
      <c r="B7" s="967"/>
      <c r="C7" s="952"/>
      <c r="D7" s="952" t="str">
        <f>IFERROR(__xludf.DUMMYFUNCTION("""COMPUTED_VALUE"""),"#DIV/0!")</f>
        <v>#DIV/0!</v>
      </c>
      <c r="E7" s="966" t="str">
        <f t="shared" si="1"/>
        <v>#VALUE!</v>
      </c>
    </row>
    <row r="8">
      <c r="A8" s="952"/>
      <c r="B8" s="967"/>
      <c r="C8" s="952"/>
      <c r="D8" s="952" t="str">
        <f>IFERROR(__xludf.DUMMYFUNCTION("""COMPUTED_VALUE"""),"#DIV/0!")</f>
        <v>#DIV/0!</v>
      </c>
      <c r="E8" s="966" t="str">
        <f t="shared" si="1"/>
        <v>#VALUE!</v>
      </c>
    </row>
    <row r="9">
      <c r="A9" s="952"/>
      <c r="B9" s="967"/>
      <c r="C9" s="952"/>
      <c r="D9" s="952" t="str">
        <f>IFERROR(__xludf.DUMMYFUNCTION("""COMPUTED_VALUE"""),"#DIV/0!")</f>
        <v>#DIV/0!</v>
      </c>
      <c r="E9" s="966" t="str">
        <f t="shared" si="1"/>
        <v>#VALUE!</v>
      </c>
    </row>
    <row r="10">
      <c r="A10" s="952"/>
      <c r="B10" s="967"/>
      <c r="C10" s="952"/>
      <c r="D10" s="952" t="str">
        <f>IFERROR(__xludf.DUMMYFUNCTION("""COMPUTED_VALUE"""),"#DIV/0!")</f>
        <v>#DIV/0!</v>
      </c>
      <c r="E10" s="966" t="str">
        <f t="shared" si="1"/>
        <v>#VALUE!</v>
      </c>
    </row>
    <row r="11">
      <c r="A11" s="952"/>
      <c r="B11" s="967"/>
      <c r="C11" s="952"/>
      <c r="D11" s="952" t="str">
        <f>IFERROR(__xludf.DUMMYFUNCTION("""COMPUTED_VALUE"""),"#DIV/0!")</f>
        <v>#DIV/0!</v>
      </c>
      <c r="E11" s="966" t="str">
        <f t="shared" si="1"/>
        <v>#VALUE!</v>
      </c>
    </row>
    <row r="12">
      <c r="A12" s="952"/>
      <c r="B12" s="967"/>
      <c r="C12" s="952"/>
      <c r="D12" s="952" t="str">
        <f>IFERROR(__xludf.DUMMYFUNCTION("""COMPUTED_VALUE"""),"#DIV/0!")</f>
        <v>#DIV/0!</v>
      </c>
      <c r="E12" s="966" t="str">
        <f t="shared" si="1"/>
        <v>#VALUE!</v>
      </c>
    </row>
    <row r="13">
      <c r="A13" s="952"/>
      <c r="B13" s="967"/>
      <c r="C13" s="952"/>
      <c r="D13" s="952" t="str">
        <f>IFERROR(__xludf.DUMMYFUNCTION("""COMPUTED_VALUE"""),"#DIV/0!")</f>
        <v>#DIV/0!</v>
      </c>
      <c r="E13" s="966" t="str">
        <f t="shared" si="1"/>
        <v>#VALUE!</v>
      </c>
    </row>
    <row r="14">
      <c r="A14" s="952"/>
      <c r="B14" s="967"/>
      <c r="C14" s="952"/>
      <c r="D14" s="952" t="str">
        <f>IFERROR(__xludf.DUMMYFUNCTION("""COMPUTED_VALUE"""),"#DIV/0!")</f>
        <v>#DIV/0!</v>
      </c>
      <c r="E14" s="966" t="str">
        <f t="shared" si="1"/>
        <v>#VALUE!</v>
      </c>
    </row>
    <row r="15">
      <c r="A15" s="952"/>
      <c r="B15" s="967"/>
      <c r="C15" s="952"/>
      <c r="D15" s="952" t="str">
        <f>IFERROR(__xludf.DUMMYFUNCTION("""COMPUTED_VALUE"""),"#DIV/0!")</f>
        <v>#DIV/0!</v>
      </c>
      <c r="E15" s="966" t="str">
        <f t="shared" si="1"/>
        <v>#VALUE!</v>
      </c>
    </row>
    <row r="16">
      <c r="A16" s="952"/>
      <c r="B16" s="967"/>
      <c r="C16" s="952"/>
      <c r="D16" s="952" t="str">
        <f>IFERROR(__xludf.DUMMYFUNCTION("""COMPUTED_VALUE"""),"#DIV/0!")</f>
        <v>#DIV/0!</v>
      </c>
      <c r="E16" s="966" t="str">
        <f t="shared" si="1"/>
        <v>#VALUE!</v>
      </c>
    </row>
    <row r="17">
      <c r="A17" s="952"/>
      <c r="B17" s="967"/>
      <c r="C17" s="952"/>
      <c r="D17" s="952" t="str">
        <f>IFERROR(__xludf.DUMMYFUNCTION("""COMPUTED_VALUE"""),"#DIV/0!")</f>
        <v>#DIV/0!</v>
      </c>
      <c r="E17" s="966" t="str">
        <f t="shared" si="1"/>
        <v>#VALUE!</v>
      </c>
    </row>
    <row r="18">
      <c r="A18" s="952"/>
      <c r="B18" s="967"/>
      <c r="C18" s="952"/>
      <c r="D18" s="952" t="str">
        <f>IFERROR(__xludf.DUMMYFUNCTION("""COMPUTED_VALUE"""),"#DIV/0!")</f>
        <v>#DIV/0!</v>
      </c>
      <c r="E18" s="966" t="str">
        <f t="shared" si="1"/>
        <v>#VALUE!</v>
      </c>
    </row>
    <row r="19">
      <c r="A19" s="952"/>
      <c r="B19" s="967"/>
      <c r="C19" s="952"/>
      <c r="D19" s="952" t="str">
        <f>IFERROR(__xludf.DUMMYFUNCTION("""COMPUTED_VALUE"""),"#DIV/0!")</f>
        <v>#DIV/0!</v>
      </c>
      <c r="E19" s="966" t="str">
        <f t="shared" si="1"/>
        <v>#VALUE!</v>
      </c>
    </row>
    <row r="20">
      <c r="A20" s="952"/>
      <c r="B20" s="967"/>
      <c r="C20" s="952"/>
      <c r="D20" s="952" t="str">
        <f>IFERROR(__xludf.DUMMYFUNCTION("""COMPUTED_VALUE"""),"#DIV/0!")</f>
        <v>#DIV/0!</v>
      </c>
      <c r="E20" s="966" t="str">
        <f t="shared" si="1"/>
        <v>#VALUE!</v>
      </c>
    </row>
    <row r="21">
      <c r="A21" s="952"/>
      <c r="B21" s="967"/>
      <c r="C21" s="952"/>
      <c r="D21" s="952" t="str">
        <f>IFERROR(__xludf.DUMMYFUNCTION("""COMPUTED_VALUE"""),"#DIV/0!")</f>
        <v>#DIV/0!</v>
      </c>
      <c r="E21" s="966" t="str">
        <f t="shared" si="1"/>
        <v>#VALUE!</v>
      </c>
    </row>
    <row r="22">
      <c r="A22" s="952"/>
      <c r="B22" s="967"/>
      <c r="C22" s="952"/>
      <c r="D22" s="952" t="str">
        <f>IFERROR(__xludf.DUMMYFUNCTION("""COMPUTED_VALUE"""),"#DIV/0!")</f>
        <v>#DIV/0!</v>
      </c>
      <c r="E22" s="966" t="str">
        <f t="shared" si="1"/>
        <v>#VALUE!</v>
      </c>
    </row>
    <row r="23">
      <c r="A23" s="952"/>
      <c r="B23" s="967"/>
      <c r="C23" s="952"/>
      <c r="D23" s="952" t="str">
        <f>IFERROR(__xludf.DUMMYFUNCTION("""COMPUTED_VALUE"""),"#DIV/0!")</f>
        <v>#DIV/0!</v>
      </c>
      <c r="E23" s="966" t="str">
        <f t="shared" si="1"/>
        <v>#VALUE!</v>
      </c>
    </row>
    <row r="24">
      <c r="A24" s="952"/>
      <c r="B24" s="967"/>
      <c r="C24" s="952"/>
      <c r="D24" s="952" t="str">
        <f>IFERROR(__xludf.DUMMYFUNCTION("""COMPUTED_VALUE"""),"#DIV/0!")</f>
        <v>#DIV/0!</v>
      </c>
      <c r="E24" s="966" t="str">
        <f t="shared" si="1"/>
        <v>#VALUE!</v>
      </c>
    </row>
    <row r="25">
      <c r="A25" s="952"/>
      <c r="B25" s="967"/>
      <c r="C25" s="952"/>
      <c r="D25" s="952" t="str">
        <f>IFERROR(__xludf.DUMMYFUNCTION("""COMPUTED_VALUE"""),"#DIV/0!")</f>
        <v>#DIV/0!</v>
      </c>
      <c r="E25" s="966" t="str">
        <f t="shared" si="1"/>
        <v>#VALUE!</v>
      </c>
    </row>
    <row r="26">
      <c r="A26" s="952"/>
      <c r="B26" s="967"/>
      <c r="C26" s="952"/>
      <c r="D26" s="952" t="str">
        <f>IFERROR(__xludf.DUMMYFUNCTION("""COMPUTED_VALUE"""),"#DIV/0!")</f>
        <v>#DIV/0!</v>
      </c>
      <c r="E26" s="966" t="str">
        <f t="shared" si="1"/>
        <v>#VALUE!</v>
      </c>
    </row>
    <row r="27">
      <c r="A27" s="952"/>
      <c r="B27" s="967"/>
      <c r="C27" s="952"/>
      <c r="D27" s="952" t="str">
        <f>IFERROR(__xludf.DUMMYFUNCTION("""COMPUTED_VALUE"""),"#DIV/0!")</f>
        <v>#DIV/0!</v>
      </c>
      <c r="E27" s="966" t="str">
        <f t="shared" si="1"/>
        <v>#VALUE!</v>
      </c>
    </row>
    <row r="28">
      <c r="A28" s="952"/>
      <c r="B28" s="967"/>
      <c r="C28" s="952"/>
      <c r="D28" s="952" t="str">
        <f>IFERROR(__xludf.DUMMYFUNCTION("""COMPUTED_VALUE"""),"#DIV/0!")</f>
        <v>#DIV/0!</v>
      </c>
      <c r="E28" s="966" t="str">
        <f t="shared" si="1"/>
        <v>#VALUE!</v>
      </c>
    </row>
    <row r="29">
      <c r="A29" s="952"/>
      <c r="B29" s="967"/>
      <c r="C29" s="952"/>
      <c r="D29" s="952" t="str">
        <f>IFERROR(__xludf.DUMMYFUNCTION("""COMPUTED_VALUE"""),"#DIV/0!")</f>
        <v>#DIV/0!</v>
      </c>
      <c r="E29" s="966" t="str">
        <f t="shared" si="1"/>
        <v>#VALUE!</v>
      </c>
    </row>
    <row r="30">
      <c r="A30" s="952"/>
      <c r="B30" s="967"/>
      <c r="C30" s="952"/>
      <c r="D30" s="952" t="str">
        <f>IFERROR(__xludf.DUMMYFUNCTION("""COMPUTED_VALUE"""),"#DIV/0!")</f>
        <v>#DIV/0!</v>
      </c>
      <c r="E30" s="966" t="str">
        <f t="shared" si="1"/>
        <v>#VALUE!</v>
      </c>
    </row>
    <row r="31">
      <c r="A31" s="952"/>
      <c r="B31" s="967"/>
      <c r="C31" s="952"/>
      <c r="D31" s="952" t="str">
        <f>IFERROR(__xludf.DUMMYFUNCTION("""COMPUTED_VALUE"""),"#DIV/0!")</f>
        <v>#DIV/0!</v>
      </c>
      <c r="E31" s="966" t="str">
        <f t="shared" si="1"/>
        <v>#VALUE!</v>
      </c>
    </row>
    <row r="32">
      <c r="A32" s="952"/>
      <c r="B32" s="967"/>
      <c r="C32" s="952"/>
      <c r="D32" s="952" t="str">
        <f>IFERROR(__xludf.DUMMYFUNCTION("""COMPUTED_VALUE"""),"#DIV/0!")</f>
        <v>#DIV/0!</v>
      </c>
      <c r="E32" s="966" t="str">
        <f t="shared" si="1"/>
        <v>#VALUE!</v>
      </c>
    </row>
    <row r="33">
      <c r="A33" s="952"/>
      <c r="B33" s="967"/>
      <c r="C33" s="952"/>
      <c r="D33" s="952" t="str">
        <f>IFERROR(__xludf.DUMMYFUNCTION("""COMPUTED_VALUE"""),"#DIV/0!")</f>
        <v>#DIV/0!</v>
      </c>
      <c r="E33" s="952" t="str">
        <f t="shared" si="1"/>
        <v>#VALUE!</v>
      </c>
    </row>
    <row r="34">
      <c r="A34" s="952"/>
      <c r="B34" s="967"/>
      <c r="C34" s="952"/>
      <c r="D34" s="952" t="str">
        <f>IFERROR(__xludf.DUMMYFUNCTION("""COMPUTED_VALUE"""),"#DIV/0!")</f>
        <v>#DIV/0!</v>
      </c>
      <c r="E34" s="952" t="str">
        <f t="shared" si="1"/>
        <v>#VALUE!</v>
      </c>
    </row>
    <row r="35">
      <c r="A35" s="952"/>
      <c r="B35" s="967"/>
      <c r="C35" s="952"/>
      <c r="D35" s="952" t="str">
        <f>IFERROR(__xludf.DUMMYFUNCTION("""COMPUTED_VALUE"""),"#DIV/0!")</f>
        <v>#DIV/0!</v>
      </c>
      <c r="E35" s="952" t="str">
        <f t="shared" si="1"/>
        <v>#VALUE!</v>
      </c>
    </row>
    <row r="36">
      <c r="A36" s="952"/>
      <c r="B36" s="967"/>
      <c r="C36" s="952"/>
      <c r="D36" s="952" t="str">
        <f>IFERROR(__xludf.DUMMYFUNCTION("""COMPUTED_VALUE"""),"#DIV/0!")</f>
        <v>#DIV/0!</v>
      </c>
    </row>
    <row r="37">
      <c r="A37" s="952"/>
      <c r="B37" s="967"/>
      <c r="C37" s="952"/>
      <c r="D37" s="952" t="str">
        <f>IFERROR(__xludf.DUMMYFUNCTION("""COMPUTED_VALUE"""),"#DIV/0!")</f>
        <v>#DIV/0!</v>
      </c>
    </row>
    <row r="38">
      <c r="A38" s="952"/>
      <c r="B38" s="967"/>
      <c r="C38" s="952"/>
      <c r="D38" s="952" t="str">
        <f>IFERROR(__xludf.DUMMYFUNCTION("""COMPUTED_VALUE"""),"#DIV/0!")</f>
        <v>#DIV/0!</v>
      </c>
    </row>
    <row r="39">
      <c r="A39" s="952"/>
      <c r="B39" s="967"/>
      <c r="C39" s="952"/>
      <c r="D39" s="952" t="str">
        <f>IFERROR(__xludf.DUMMYFUNCTION("""COMPUTED_VALUE"""),"#DIV/0!")</f>
        <v>#DIV/0!</v>
      </c>
    </row>
    <row r="40">
      <c r="A40" s="952"/>
      <c r="B40" s="967"/>
      <c r="C40" s="952"/>
      <c r="D40" s="952" t="str">
        <f>IFERROR(__xludf.DUMMYFUNCTION("""COMPUTED_VALUE"""),"#DIV/0!")</f>
        <v>#DIV/0!</v>
      </c>
    </row>
    <row r="41">
      <c r="A41" s="952"/>
      <c r="B41" s="967"/>
      <c r="C41" s="952"/>
      <c r="D41" s="952" t="str">
        <f>IFERROR(__xludf.DUMMYFUNCTION("""COMPUTED_VALUE"""),"#DIV/0!")</f>
        <v>#DIV/0!</v>
      </c>
    </row>
    <row r="42">
      <c r="A42" s="974"/>
      <c r="B42" s="1000"/>
      <c r="C42" s="975"/>
      <c r="D42" s="975" t="str">
        <f>IFERROR(__xludf.DUMMYFUNCTION("""COMPUTED_VALUE"""),"#DIV/0!")</f>
        <v>#DIV/0!</v>
      </c>
      <c r="E42" s="975"/>
      <c r="F42" s="975"/>
      <c r="G42" s="975"/>
    </row>
    <row r="43">
      <c r="A43" s="971"/>
      <c r="B43" s="1001"/>
      <c r="C43" s="976"/>
      <c r="D43" s="976" t="str">
        <f>IFERROR(__xludf.DUMMYFUNCTION("""COMPUTED_VALUE"""),"#DIV/0!")</f>
        <v>#DIV/0!</v>
      </c>
      <c r="E43" s="976"/>
      <c r="F43" s="893"/>
      <c r="G43" s="893"/>
    </row>
    <row r="44">
      <c r="A44" s="977"/>
      <c r="B44" s="1001"/>
      <c r="C44" s="976"/>
      <c r="D44" s="976" t="str">
        <f>IFERROR(__xludf.DUMMYFUNCTION("""COMPUTED_VALUE"""),"#DIV/0!")</f>
        <v>#DIV/0!</v>
      </c>
      <c r="E44" s="976"/>
      <c r="F44" s="893"/>
      <c r="G44" s="893"/>
    </row>
    <row r="45">
      <c r="A45" s="977"/>
      <c r="B45" s="1001"/>
      <c r="C45" s="976"/>
      <c r="D45" s="976" t="str">
        <f>IFERROR(__xludf.DUMMYFUNCTION("""COMPUTED_VALUE"""),"#DIV/0!")</f>
        <v>#DIV/0!</v>
      </c>
      <c r="E45" s="976"/>
      <c r="F45" s="893"/>
      <c r="G45" s="893"/>
    </row>
    <row r="46">
      <c r="A46" s="977"/>
      <c r="B46" s="1001"/>
      <c r="C46" s="976"/>
      <c r="D46" s="976" t="str">
        <f>IFERROR(__xludf.DUMMYFUNCTION("""COMPUTED_VALUE"""),"#DIV/0!")</f>
        <v>#DIV/0!</v>
      </c>
      <c r="E46" s="976"/>
      <c r="F46" s="893"/>
      <c r="G46" s="893"/>
    </row>
    <row r="47">
      <c r="A47" s="977"/>
      <c r="B47" s="1001"/>
      <c r="C47" s="976"/>
      <c r="D47" s="976" t="str">
        <f>IFERROR(__xludf.DUMMYFUNCTION("""COMPUTED_VALUE"""),"#DIV/0!")</f>
        <v>#DIV/0!</v>
      </c>
      <c r="E47" s="976"/>
      <c r="F47" s="893"/>
      <c r="G47" s="893"/>
    </row>
    <row r="48">
      <c r="A48" s="977"/>
      <c r="B48" s="1001"/>
      <c r="C48" s="976"/>
      <c r="D48" s="976" t="str">
        <f>IFERROR(__xludf.DUMMYFUNCTION("""COMPUTED_VALUE"""),"#DIV/0!")</f>
        <v>#DIV/0!</v>
      </c>
      <c r="E48" s="976"/>
      <c r="F48" s="893"/>
      <c r="G48" s="893"/>
    </row>
    <row r="49">
      <c r="A49" s="977"/>
      <c r="B49" s="1001"/>
      <c r="C49" s="976"/>
      <c r="D49" s="976" t="str">
        <f>IFERROR(__xludf.DUMMYFUNCTION("""COMPUTED_VALUE"""),"#DIV/0!")</f>
        <v>#DIV/0!</v>
      </c>
      <c r="E49" s="976"/>
      <c r="F49" s="893"/>
      <c r="G49" s="893"/>
    </row>
    <row r="50">
      <c r="A50" s="977"/>
      <c r="B50" s="1001"/>
      <c r="C50" s="976"/>
      <c r="D50" s="976" t="str">
        <f>IFERROR(__xludf.DUMMYFUNCTION("""COMPUTED_VALUE"""),"#DIV/0!")</f>
        <v>#DIV/0!</v>
      </c>
      <c r="E50" s="976"/>
      <c r="F50" s="893"/>
      <c r="G50" s="893"/>
    </row>
    <row r="51">
      <c r="A51" s="893"/>
      <c r="B51" s="1002"/>
      <c r="C51" s="893"/>
      <c r="D51" s="893" t="str">
        <f>IFERROR(__xludf.DUMMYFUNCTION("""COMPUTED_VALUE"""),"#DIV/0!")</f>
        <v>#DIV/0!</v>
      </c>
      <c r="E51" s="893"/>
      <c r="F51" s="893"/>
      <c r="G51" s="893"/>
    </row>
    <row r="52">
      <c r="A52" s="952"/>
      <c r="B52" s="967"/>
      <c r="C52" s="952"/>
      <c r="D52" s="952" t="str">
        <f>IFERROR(__xludf.DUMMYFUNCTION("""COMPUTED_VALUE"""),"#DIV/0!")</f>
        <v>#DIV/0!</v>
      </c>
    </row>
    <row r="53">
      <c r="A53" s="952"/>
      <c r="B53" s="967"/>
      <c r="C53" s="952"/>
      <c r="D53" s="952" t="str">
        <f>IFERROR(__xludf.DUMMYFUNCTION("""COMPUTED_VALUE"""),"#DIV/0!")</f>
        <v>#DIV/0!</v>
      </c>
    </row>
    <row r="54">
      <c r="A54" s="952"/>
      <c r="B54" s="967"/>
      <c r="C54" s="952"/>
      <c r="D54" s="952"/>
    </row>
    <row r="55">
      <c r="A55" s="952"/>
      <c r="B55" s="967"/>
      <c r="C55" s="952"/>
      <c r="D55" s="952"/>
    </row>
    <row r="56">
      <c r="A56" s="952"/>
      <c r="B56" s="967"/>
      <c r="C56" s="952"/>
      <c r="D56" s="952"/>
    </row>
    <row r="57">
      <c r="A57" s="952"/>
      <c r="B57" s="967"/>
      <c r="C57" s="952"/>
      <c r="D57" s="952"/>
    </row>
    <row r="58">
      <c r="A58" s="952"/>
      <c r="B58" s="967"/>
      <c r="C58" s="952"/>
      <c r="D58" s="952"/>
    </row>
    <row r="59">
      <c r="A59" s="952"/>
      <c r="B59" s="967"/>
      <c r="C59" s="952"/>
      <c r="D59" s="952"/>
    </row>
    <row r="60">
      <c r="A60" s="952"/>
      <c r="B60" s="967"/>
      <c r="C60" s="952"/>
      <c r="D60" s="952"/>
    </row>
    <row r="61">
      <c r="A61" s="952"/>
      <c r="B61" s="967"/>
      <c r="C61" s="952"/>
      <c r="D61" s="952"/>
    </row>
    <row r="62">
      <c r="A62" s="952"/>
      <c r="B62" s="967"/>
      <c r="C62" s="952"/>
      <c r="D62" s="952"/>
    </row>
    <row r="63">
      <c r="A63" s="952"/>
      <c r="B63" s="967"/>
      <c r="C63" s="952"/>
      <c r="D63" s="952"/>
    </row>
    <row r="64">
      <c r="A64" s="952"/>
      <c r="B64" s="967"/>
      <c r="C64" s="952"/>
      <c r="D64" s="952"/>
    </row>
    <row r="65">
      <c r="A65" s="952"/>
      <c r="B65" s="967"/>
      <c r="C65" s="952"/>
      <c r="D65" s="952"/>
    </row>
    <row r="66">
      <c r="A66" s="952"/>
      <c r="B66" s="967"/>
      <c r="C66" s="952"/>
      <c r="D66" s="952"/>
    </row>
    <row r="67">
      <c r="A67" s="952"/>
      <c r="B67" s="967"/>
      <c r="C67" s="952"/>
      <c r="D67" s="952"/>
    </row>
    <row r="68">
      <c r="A68" s="952"/>
      <c r="B68" s="967"/>
      <c r="C68" s="952"/>
      <c r="D68" s="952"/>
    </row>
    <row r="69">
      <c r="A69" s="952"/>
      <c r="B69" s="967"/>
      <c r="C69" s="952"/>
      <c r="D69" s="952"/>
    </row>
    <row r="70">
      <c r="A70" s="952"/>
      <c r="B70" s="967"/>
      <c r="C70" s="952"/>
      <c r="D70" s="952"/>
    </row>
    <row r="71">
      <c r="A71" s="952"/>
      <c r="B71" s="967"/>
      <c r="C71" s="952"/>
      <c r="D71" s="952"/>
    </row>
    <row r="72">
      <c r="A72" s="952"/>
      <c r="B72" s="967"/>
      <c r="C72" s="952"/>
      <c r="D72" s="952"/>
    </row>
    <row r="73">
      <c r="A73" s="952"/>
      <c r="B73" s="967"/>
      <c r="C73" s="952"/>
      <c r="D73" s="952"/>
    </row>
    <row r="74">
      <c r="A74" s="952"/>
      <c r="B74" s="967"/>
      <c r="C74" s="952"/>
      <c r="D74" s="952"/>
    </row>
    <row r="75">
      <c r="A75" s="952"/>
      <c r="B75" s="967"/>
      <c r="C75" s="952"/>
      <c r="D75" s="952"/>
    </row>
    <row r="76">
      <c r="A76" s="952"/>
      <c r="B76" s="967"/>
      <c r="C76" s="952"/>
      <c r="D76" s="952"/>
    </row>
    <row r="77">
      <c r="A77" s="952"/>
      <c r="B77" s="967"/>
      <c r="C77" s="952"/>
      <c r="D77" s="952"/>
    </row>
    <row r="78">
      <c r="A78" s="952"/>
      <c r="B78" s="967"/>
      <c r="C78" s="952"/>
      <c r="D78" s="952"/>
    </row>
    <row r="79">
      <c r="A79" s="952"/>
      <c r="B79" s="967"/>
      <c r="C79" s="952"/>
      <c r="D79" s="952"/>
    </row>
    <row r="80">
      <c r="A80" s="952"/>
      <c r="B80" s="967"/>
      <c r="C80" s="952"/>
      <c r="D80" s="952"/>
    </row>
    <row r="81">
      <c r="A81" s="952"/>
      <c r="B81" s="967"/>
      <c r="C81" s="952"/>
      <c r="D81" s="952"/>
    </row>
    <row r="82">
      <c r="A82" s="952"/>
      <c r="B82" s="967"/>
      <c r="C82" s="952"/>
      <c r="D82" s="952"/>
    </row>
    <row r="83">
      <c r="A83" s="952"/>
      <c r="B83" s="967"/>
      <c r="C83" s="952"/>
      <c r="D83" s="952"/>
    </row>
    <row r="84">
      <c r="A84" s="952"/>
      <c r="B84" s="967"/>
      <c r="C84" s="952"/>
      <c r="D84" s="952"/>
    </row>
    <row r="85">
      <c r="A85" s="952"/>
      <c r="B85" s="967"/>
      <c r="C85" s="952"/>
      <c r="D85" s="952"/>
    </row>
    <row r="86">
      <c r="A86" s="952"/>
      <c r="B86" s="967"/>
      <c r="C86" s="952"/>
      <c r="D86" s="952"/>
    </row>
    <row r="87">
      <c r="A87" s="952"/>
      <c r="B87" s="967"/>
      <c r="C87" s="952"/>
      <c r="D87" s="952"/>
    </row>
    <row r="88">
      <c r="A88" s="952"/>
      <c r="B88" s="967"/>
      <c r="C88" s="952"/>
      <c r="D88" s="952"/>
    </row>
    <row r="89">
      <c r="A89" s="952"/>
      <c r="B89" s="967"/>
      <c r="C89" s="952"/>
      <c r="D89" s="952"/>
    </row>
    <row r="90">
      <c r="A90" s="952"/>
      <c r="B90" s="967"/>
      <c r="C90" s="952"/>
      <c r="D90" s="952"/>
    </row>
    <row r="91">
      <c r="A91" s="952"/>
      <c r="B91" s="967"/>
      <c r="C91" s="952"/>
      <c r="D91" s="952"/>
    </row>
    <row r="92">
      <c r="A92" s="952"/>
      <c r="B92" s="967"/>
      <c r="C92" s="952"/>
      <c r="D92" s="952"/>
    </row>
    <row r="93">
      <c r="A93" s="952"/>
      <c r="B93" s="967"/>
      <c r="C93" s="952"/>
      <c r="D93" s="952"/>
    </row>
    <row r="94">
      <c r="A94" s="952"/>
      <c r="B94" s="967"/>
      <c r="C94" s="952"/>
      <c r="D94" s="952"/>
    </row>
    <row r="95">
      <c r="A95" s="952"/>
      <c r="B95" s="967"/>
      <c r="C95" s="952"/>
      <c r="D95" s="952"/>
    </row>
    <row r="96">
      <c r="A96" s="952"/>
      <c r="B96" s="967"/>
      <c r="C96" s="952"/>
      <c r="D96" s="952"/>
    </row>
    <row r="97">
      <c r="A97" s="952"/>
      <c r="B97" s="967"/>
      <c r="C97" s="952"/>
      <c r="D97" s="952"/>
    </row>
    <row r="98">
      <c r="A98" s="952"/>
      <c r="B98" s="967"/>
      <c r="C98" s="952"/>
      <c r="D98" s="952"/>
    </row>
    <row r="99">
      <c r="A99" s="952"/>
      <c r="B99" s="967"/>
      <c r="C99" s="952"/>
      <c r="D99" s="952"/>
    </row>
    <row r="100">
      <c r="A100" s="952"/>
      <c r="B100" s="967"/>
      <c r="C100" s="952"/>
      <c r="D100" s="952"/>
    </row>
    <row r="101">
      <c r="A101" s="952"/>
      <c r="B101" s="967"/>
      <c r="C101" s="952"/>
      <c r="D101" s="952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.86"/>
    <col customWidth="1" min="2" max="3" width="5.86"/>
    <col customWidth="1" min="4" max="4" width="25.57"/>
    <col customWidth="1" min="5" max="5" width="13.71"/>
    <col customWidth="1" min="6" max="12" width="16.57"/>
    <col customWidth="1" min="13" max="13" width="14.43"/>
    <col customWidth="1" min="14" max="17" width="4.43"/>
    <col customWidth="1" min="18" max="18" width="2.29"/>
    <col customWidth="1" min="19" max="20" width="5.86"/>
    <col customWidth="1" min="21" max="21" width="25.43"/>
    <col customWidth="1" min="22" max="22" width="17.0"/>
    <col customWidth="1" min="23" max="23" width="17.29"/>
    <col customWidth="1" min="24" max="24" width="14.43"/>
    <col customWidth="1" min="25" max="28" width="4.43"/>
    <col customWidth="1" min="29" max="29" width="2.29"/>
    <col customWidth="1" min="30" max="31" width="5.86"/>
    <col customWidth="1" min="32" max="32" width="24.43"/>
    <col customWidth="1" min="33" max="33" width="14.43"/>
    <col customWidth="1" min="34" max="34" width="16.57"/>
    <col customWidth="1" min="35" max="35" width="14.43"/>
    <col customWidth="1" min="36" max="39" width="4.43"/>
    <col customWidth="1" min="40" max="40" width="2.29"/>
    <col customWidth="1" min="41" max="42" width="5.86"/>
    <col customWidth="1" min="43" max="43" width="19.43"/>
    <col customWidth="1" min="44" max="44" width="14.43"/>
    <col customWidth="1" min="45" max="45" width="15.86"/>
    <col customWidth="1" min="46" max="46" width="14.43"/>
    <col customWidth="1" min="47" max="51" width="4.43"/>
  </cols>
  <sheetData>
    <row r="1">
      <c r="A1" s="1" t="str">
        <f>FAUX(``
()</f>
        <v>#ERROR!</v>
      </c>
      <c r="B1" s="1003">
        <v>45982.0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1004"/>
      <c r="AE1" s="1004"/>
      <c r="AF1" s="1004"/>
      <c r="AG1" s="1004"/>
      <c r="AH1" s="1004"/>
      <c r="AI1" s="1004"/>
      <c r="AJ1" s="1004"/>
      <c r="AK1" s="1004"/>
      <c r="AL1" s="1004"/>
      <c r="AM1" s="1004"/>
      <c r="AN1" s="1004"/>
      <c r="AO1" s="1004"/>
      <c r="AP1" s="1004"/>
      <c r="AQ1" s="1004"/>
      <c r="AR1" s="1004"/>
      <c r="AS1" s="1004"/>
      <c r="AT1" s="1004"/>
      <c r="AU1" s="1004"/>
      <c r="AV1" s="1004"/>
      <c r="AW1" s="1004"/>
      <c r="AX1" s="1005"/>
      <c r="AY1" s="1006"/>
    </row>
    <row r="2">
      <c r="A2" s="47"/>
      <c r="B2" s="1007" t="s">
        <v>607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0"/>
      <c r="R2" s="1008"/>
      <c r="S2" s="1009" t="s">
        <v>0</v>
      </c>
      <c r="T2" s="9"/>
      <c r="U2" s="9"/>
      <c r="V2" s="9"/>
      <c r="W2" s="9"/>
      <c r="X2" s="9"/>
      <c r="Y2" s="9"/>
      <c r="Z2" s="9"/>
      <c r="AA2" s="9"/>
      <c r="AB2" s="10"/>
      <c r="AC2" s="1010"/>
      <c r="AD2" s="1007" t="s">
        <v>608</v>
      </c>
      <c r="AE2" s="9"/>
      <c r="AF2" s="9"/>
      <c r="AG2" s="9"/>
      <c r="AH2" s="9"/>
      <c r="AI2" s="9"/>
      <c r="AJ2" s="9"/>
      <c r="AK2" s="9"/>
      <c r="AL2" s="9"/>
      <c r="AM2" s="10"/>
      <c r="AN2" s="1010"/>
      <c r="AO2" s="1011" t="s">
        <v>609</v>
      </c>
      <c r="AP2" s="9"/>
      <c r="AQ2" s="9"/>
      <c r="AR2" s="9"/>
      <c r="AS2" s="9"/>
      <c r="AT2" s="9"/>
      <c r="AU2" s="9"/>
      <c r="AV2" s="9"/>
      <c r="AW2" s="9"/>
      <c r="AX2" s="10"/>
      <c r="AY2" s="1012"/>
    </row>
    <row r="3" ht="19.5" customHeight="1">
      <c r="A3" s="16"/>
      <c r="B3" s="710" t="s">
        <v>4</v>
      </c>
      <c r="C3" s="711" t="s">
        <v>5</v>
      </c>
      <c r="D3" s="711" t="s">
        <v>6</v>
      </c>
      <c r="E3" s="711" t="s">
        <v>7</v>
      </c>
      <c r="F3" s="711" t="s">
        <v>8</v>
      </c>
      <c r="G3" s="711"/>
      <c r="H3" s="711"/>
      <c r="I3" s="711"/>
      <c r="J3" s="711"/>
      <c r="K3" s="711"/>
      <c r="L3" s="711"/>
      <c r="M3" s="711" t="s">
        <v>9</v>
      </c>
      <c r="N3" s="712" t="s">
        <v>10</v>
      </c>
      <c r="O3" s="712" t="s">
        <v>11</v>
      </c>
      <c r="P3" s="712" t="s">
        <v>12</v>
      </c>
      <c r="Q3" s="713" t="s">
        <v>13</v>
      </c>
      <c r="R3" s="1013"/>
      <c r="S3" s="715" t="s">
        <v>4</v>
      </c>
      <c r="T3" s="716" t="s">
        <v>5</v>
      </c>
      <c r="U3" s="717" t="s">
        <v>6</v>
      </c>
      <c r="V3" s="717" t="s">
        <v>7</v>
      </c>
      <c r="W3" s="717" t="s">
        <v>8</v>
      </c>
      <c r="X3" s="718" t="s">
        <v>9</v>
      </c>
      <c r="Y3" s="719" t="s">
        <v>10</v>
      </c>
      <c r="Z3" s="720" t="s">
        <v>11</v>
      </c>
      <c r="AA3" s="720" t="s">
        <v>12</v>
      </c>
      <c r="AB3" s="1014" t="s">
        <v>13</v>
      </c>
      <c r="AC3" s="1015"/>
      <c r="AD3" s="711" t="s">
        <v>4</v>
      </c>
      <c r="AE3" s="711" t="s">
        <v>5</v>
      </c>
      <c r="AF3" s="711" t="s">
        <v>6</v>
      </c>
      <c r="AG3" s="711" t="s">
        <v>7</v>
      </c>
      <c r="AH3" s="711" t="s">
        <v>8</v>
      </c>
      <c r="AI3" s="711" t="s">
        <v>14</v>
      </c>
      <c r="AJ3" s="1016" t="s">
        <v>10</v>
      </c>
      <c r="AK3" s="712" t="s">
        <v>11</v>
      </c>
      <c r="AL3" s="712" t="s">
        <v>12</v>
      </c>
      <c r="AM3" s="1017" t="s">
        <v>13</v>
      </c>
      <c r="AN3" s="1015"/>
      <c r="AO3" s="717" t="s">
        <v>4</v>
      </c>
      <c r="AP3" s="717" t="s">
        <v>5</v>
      </c>
      <c r="AQ3" s="717" t="s">
        <v>6</v>
      </c>
      <c r="AR3" s="717" t="s">
        <v>7</v>
      </c>
      <c r="AS3" s="717" t="s">
        <v>8</v>
      </c>
      <c r="AT3" s="718" t="s">
        <v>14</v>
      </c>
      <c r="AU3" s="719" t="s">
        <v>10</v>
      </c>
      <c r="AV3" s="720" t="s">
        <v>11</v>
      </c>
      <c r="AW3" s="720" t="s">
        <v>12</v>
      </c>
      <c r="AX3" s="1018" t="s">
        <v>13</v>
      </c>
      <c r="AY3" s="1019"/>
    </row>
    <row r="4">
      <c r="A4" s="35" t="s">
        <v>15</v>
      </c>
      <c r="B4" s="722" t="s">
        <v>16</v>
      </c>
      <c r="C4" s="46" t="s">
        <v>17</v>
      </c>
      <c r="D4" s="315"/>
      <c r="E4" s="724"/>
      <c r="F4" s="724"/>
      <c r="G4" s="1020"/>
      <c r="H4" s="1020"/>
      <c r="I4" s="1020"/>
      <c r="J4" s="1020"/>
      <c r="K4" s="1020"/>
      <c r="L4" s="1020"/>
      <c r="M4" s="725"/>
      <c r="N4" s="726"/>
      <c r="O4" s="727"/>
      <c r="P4" s="727"/>
      <c r="Q4" s="728"/>
      <c r="R4" s="1021"/>
      <c r="S4" s="730" t="s">
        <v>16</v>
      </c>
      <c r="T4" s="731" t="s">
        <v>26</v>
      </c>
      <c r="U4" s="40"/>
      <c r="V4" s="724"/>
      <c r="W4" s="724"/>
      <c r="X4" s="732"/>
      <c r="Y4" s="726"/>
      <c r="Z4" s="727"/>
      <c r="AA4" s="727"/>
      <c r="AB4" s="1022"/>
      <c r="AC4" s="1023"/>
      <c r="AD4" s="1024" t="s">
        <v>16</v>
      </c>
      <c r="AE4" s="46" t="s">
        <v>32</v>
      </c>
      <c r="AF4" s="214"/>
      <c r="AG4" s="724"/>
      <c r="AH4" s="214"/>
      <c r="AI4" s="73"/>
      <c r="AJ4" s="726"/>
      <c r="AK4" s="727"/>
      <c r="AL4" s="727"/>
      <c r="AM4" s="1022"/>
      <c r="AN4" s="1025"/>
      <c r="AO4" s="95" t="s">
        <v>16</v>
      </c>
      <c r="AP4" s="1026" t="s">
        <v>33</v>
      </c>
      <c r="AQ4" s="1027"/>
      <c r="AR4" s="1028"/>
      <c r="AS4" s="89"/>
      <c r="AT4" s="746"/>
      <c r="AU4" s="1029"/>
      <c r="AV4" s="1030"/>
      <c r="AW4" s="727"/>
      <c r="AX4" s="1022"/>
      <c r="AY4" s="887"/>
    </row>
    <row r="5">
      <c r="A5" s="47" t="s">
        <v>34</v>
      </c>
      <c r="B5" s="722" t="s">
        <v>35</v>
      </c>
      <c r="C5" s="46" t="s">
        <v>36</v>
      </c>
      <c r="D5" s="1031"/>
      <c r="E5" s="35"/>
      <c r="F5" s="35"/>
      <c r="G5" s="725"/>
      <c r="H5" s="725"/>
      <c r="I5" s="725"/>
      <c r="J5" s="725"/>
      <c r="K5" s="725"/>
      <c r="L5" s="725"/>
      <c r="M5" s="725"/>
      <c r="N5" s="734"/>
      <c r="O5" s="735"/>
      <c r="P5" s="735"/>
      <c r="Q5" s="736"/>
      <c r="R5" s="1021"/>
      <c r="S5" s="738" t="s">
        <v>35</v>
      </c>
      <c r="T5" s="731" t="s">
        <v>44</v>
      </c>
      <c r="U5" s="40"/>
      <c r="V5" s="739"/>
      <c r="W5" s="35"/>
      <c r="X5" s="725"/>
      <c r="Y5" s="734"/>
      <c r="Z5" s="735"/>
      <c r="AA5" s="735"/>
      <c r="AB5" s="1032"/>
      <c r="AC5" s="1023"/>
      <c r="AD5" s="1024" t="s">
        <v>35</v>
      </c>
      <c r="AE5" s="46" t="s">
        <v>50</v>
      </c>
      <c r="AF5" s="40"/>
      <c r="AG5" s="1033"/>
      <c r="AH5" s="39"/>
      <c r="AI5" s="73"/>
      <c r="AJ5" s="753"/>
      <c r="AK5" s="735"/>
      <c r="AL5" s="1034"/>
      <c r="AM5" s="1032"/>
      <c r="AN5" s="1023"/>
      <c r="AO5" s="1035" t="s">
        <v>35</v>
      </c>
      <c r="AP5" s="1026" t="s">
        <v>51</v>
      </c>
      <c r="AQ5" s="1036"/>
      <c r="AR5" s="1037"/>
      <c r="AS5" s="89"/>
      <c r="AT5" s="746"/>
      <c r="AU5" s="1038"/>
      <c r="AV5" s="1039"/>
      <c r="AW5" s="1040"/>
      <c r="AX5" s="1041"/>
      <c r="AY5" s="887"/>
    </row>
    <row r="6">
      <c r="A6" s="47" t="s">
        <v>52</v>
      </c>
      <c r="B6" s="722" t="s">
        <v>53</v>
      </c>
      <c r="C6" s="46" t="s">
        <v>54</v>
      </c>
      <c r="D6" s="40"/>
      <c r="E6" s="724"/>
      <c r="F6" s="771"/>
      <c r="G6" s="1042"/>
      <c r="H6" s="1042"/>
      <c r="I6" s="1042"/>
      <c r="J6" s="1042"/>
      <c r="K6" s="1042"/>
      <c r="L6" s="1042"/>
      <c r="M6" s="765"/>
      <c r="N6" s="734"/>
      <c r="O6" s="735"/>
      <c r="P6" s="735"/>
      <c r="Q6" s="736"/>
      <c r="R6" s="1021"/>
      <c r="S6" s="730" t="s">
        <v>53</v>
      </c>
      <c r="T6" s="731" t="s">
        <v>60</v>
      </c>
      <c r="U6" s="40"/>
      <c r="V6" s="724"/>
      <c r="W6" s="740"/>
      <c r="X6" s="741"/>
      <c r="Y6" s="734"/>
      <c r="Z6" s="735"/>
      <c r="AA6" s="735"/>
      <c r="AB6" s="1032"/>
      <c r="AC6" s="1023"/>
      <c r="AD6" s="1024" t="s">
        <v>53</v>
      </c>
      <c r="AE6" s="46" t="s">
        <v>67</v>
      </c>
      <c r="AF6" s="315"/>
      <c r="AG6" s="1033"/>
      <c r="AH6" s="40"/>
      <c r="AI6" s="73"/>
      <c r="AJ6" s="753"/>
      <c r="AK6" s="1043"/>
      <c r="AL6" s="735"/>
      <c r="AM6" s="1032"/>
      <c r="AN6" s="1044"/>
      <c r="AO6" s="1026" t="s">
        <v>53</v>
      </c>
      <c r="AP6" s="1026" t="s">
        <v>68</v>
      </c>
      <c r="AQ6" s="1045"/>
      <c r="AR6" s="1028"/>
      <c r="AS6" s="89"/>
      <c r="AT6" s="746"/>
      <c r="AU6" s="1038"/>
      <c r="AV6" s="1039"/>
      <c r="AW6" s="1040"/>
      <c r="AX6" s="1041"/>
      <c r="AY6" s="887"/>
    </row>
    <row r="7">
      <c r="A7" s="47" t="s">
        <v>65</v>
      </c>
      <c r="B7" s="742" t="s">
        <v>69</v>
      </c>
      <c r="C7" s="89" t="s">
        <v>70</v>
      </c>
      <c r="D7" s="1046"/>
      <c r="E7" s="744"/>
      <c r="F7" s="745"/>
      <c r="G7" s="750"/>
      <c r="H7" s="750"/>
      <c r="I7" s="750"/>
      <c r="J7" s="750"/>
      <c r="K7" s="750"/>
      <c r="L7" s="750"/>
      <c r="M7" s="746"/>
      <c r="N7" s="734"/>
      <c r="O7" s="735"/>
      <c r="P7" s="735"/>
      <c r="Q7" s="736"/>
      <c r="R7" s="1021"/>
      <c r="S7" s="747" t="s">
        <v>69</v>
      </c>
      <c r="T7" s="748" t="s">
        <v>76</v>
      </c>
      <c r="U7" s="749"/>
      <c r="V7" s="745"/>
      <c r="W7" s="745"/>
      <c r="X7" s="750"/>
      <c r="Y7" s="734"/>
      <c r="Z7" s="735"/>
      <c r="AA7" s="735"/>
      <c r="AB7" s="1032"/>
      <c r="AC7" s="1023"/>
      <c r="AD7" s="95" t="s">
        <v>69</v>
      </c>
      <c r="AE7" s="89" t="s">
        <v>82</v>
      </c>
      <c r="AF7" s="751"/>
      <c r="AG7" s="89"/>
      <c r="AH7" s="749"/>
      <c r="AI7" s="1047"/>
      <c r="AJ7" s="734"/>
      <c r="AK7" s="735"/>
      <c r="AL7" s="735"/>
      <c r="AM7" s="1032"/>
      <c r="AN7" s="1023"/>
      <c r="AO7" s="157" t="s">
        <v>69</v>
      </c>
      <c r="AP7" s="157" t="s">
        <v>341</v>
      </c>
      <c r="AQ7" s="130"/>
      <c r="AR7" s="155"/>
      <c r="AS7" s="188"/>
      <c r="AT7" s="1048"/>
      <c r="AU7" s="753"/>
      <c r="AV7" s="1043"/>
      <c r="AW7" s="735"/>
      <c r="AX7" s="1032"/>
      <c r="AY7" s="887"/>
    </row>
    <row r="8">
      <c r="A8" s="47" t="s">
        <v>31</v>
      </c>
      <c r="B8" s="742" t="s">
        <v>84</v>
      </c>
      <c r="C8" s="93" t="s">
        <v>85</v>
      </c>
      <c r="D8" s="751"/>
      <c r="E8" s="744"/>
      <c r="F8" s="752"/>
      <c r="G8" s="1049"/>
      <c r="H8" s="1050"/>
      <c r="I8" s="1050"/>
      <c r="J8" s="1050"/>
      <c r="K8" s="1050"/>
      <c r="L8" s="1050"/>
      <c r="M8" s="96"/>
      <c r="N8" s="734"/>
      <c r="O8" s="735"/>
      <c r="P8" s="735"/>
      <c r="Q8" s="736"/>
      <c r="R8" s="1021"/>
      <c r="S8" s="747" t="s">
        <v>84</v>
      </c>
      <c r="T8" s="745" t="s">
        <v>90</v>
      </c>
      <c r="U8" s="90"/>
      <c r="V8" s="745"/>
      <c r="W8" s="745"/>
      <c r="X8" s="750"/>
      <c r="Y8" s="734"/>
      <c r="Z8" s="735"/>
      <c r="AA8" s="753"/>
      <c r="AB8" s="1032"/>
      <c r="AC8" s="1023"/>
      <c r="AD8" s="95" t="s">
        <v>84</v>
      </c>
      <c r="AE8" s="89" t="s">
        <v>91</v>
      </c>
      <c r="AF8" s="751"/>
      <c r="AG8" s="89"/>
      <c r="AH8" s="749"/>
      <c r="AI8" s="1047"/>
      <c r="AJ8" s="734"/>
      <c r="AK8" s="735"/>
      <c r="AL8" s="735"/>
      <c r="AM8" s="1032"/>
      <c r="AN8" s="1023"/>
      <c r="AO8" s="157" t="s">
        <v>84</v>
      </c>
      <c r="AP8" s="157" t="s">
        <v>83</v>
      </c>
      <c r="AQ8" s="130"/>
      <c r="AR8" s="160"/>
      <c r="AS8" s="160"/>
      <c r="AT8" s="1051"/>
      <c r="AU8" s="753"/>
      <c r="AV8" s="1043"/>
      <c r="AW8" s="735"/>
      <c r="AX8" s="1032"/>
      <c r="AY8" s="887"/>
    </row>
    <row r="9">
      <c r="A9" s="35" t="s">
        <v>22</v>
      </c>
      <c r="B9" s="710" t="s">
        <v>93</v>
      </c>
      <c r="C9" s="1052" t="s">
        <v>94</v>
      </c>
      <c r="D9" s="130"/>
      <c r="E9" s="724"/>
      <c r="F9" s="771"/>
      <c r="G9" s="1053"/>
      <c r="H9" s="1053"/>
      <c r="I9" s="1053"/>
      <c r="J9" s="1053"/>
      <c r="K9" s="1053"/>
      <c r="L9" s="1053"/>
      <c r="M9" s="782"/>
      <c r="N9" s="734"/>
      <c r="O9" s="735"/>
      <c r="P9" s="735"/>
      <c r="Q9" s="736"/>
      <c r="R9" s="1021"/>
      <c r="S9" s="755" t="s">
        <v>93</v>
      </c>
      <c r="T9" s="756" t="s">
        <v>95</v>
      </c>
      <c r="U9" s="130"/>
      <c r="V9" s="739"/>
      <c r="W9" s="739"/>
      <c r="X9" s="757"/>
      <c r="Y9" s="734"/>
      <c r="Z9" s="735"/>
      <c r="AA9" s="735"/>
      <c r="AB9" s="1032"/>
      <c r="AC9" s="1025"/>
      <c r="AD9" s="181" t="s">
        <v>93</v>
      </c>
      <c r="AE9" s="1052" t="s">
        <v>96</v>
      </c>
      <c r="AF9" s="130"/>
      <c r="AG9" s="1033"/>
      <c r="AH9" s="739"/>
      <c r="AI9" s="1054"/>
      <c r="AJ9" s="753"/>
      <c r="AK9" s="735"/>
      <c r="AL9" s="735"/>
      <c r="AM9" s="1032"/>
      <c r="AN9" s="1023"/>
      <c r="AO9" s="157" t="s">
        <v>93</v>
      </c>
      <c r="AP9" s="1055" t="s">
        <v>92</v>
      </c>
      <c r="AQ9" s="102"/>
      <c r="AR9" s="724"/>
      <c r="AS9" s="771"/>
      <c r="AT9" s="1056"/>
      <c r="AU9" s="753"/>
      <c r="AV9" s="1043"/>
      <c r="AW9" s="735"/>
      <c r="AX9" s="1032"/>
      <c r="AY9" s="887"/>
    </row>
    <row r="10">
      <c r="A10" s="35" t="s">
        <v>25</v>
      </c>
      <c r="B10" s="710" t="s">
        <v>98</v>
      </c>
      <c r="C10" s="1052" t="s">
        <v>99</v>
      </c>
      <c r="D10" s="130"/>
      <c r="E10" s="35"/>
      <c r="F10" s="35"/>
      <c r="G10" s="766"/>
      <c r="H10" s="766"/>
      <c r="I10" s="766"/>
      <c r="J10" s="766"/>
      <c r="K10" s="766"/>
      <c r="L10" s="766"/>
      <c r="M10" s="766"/>
      <c r="N10" s="734"/>
      <c r="O10" s="735"/>
      <c r="P10" s="735"/>
      <c r="Q10" s="736"/>
      <c r="R10" s="1057"/>
      <c r="S10" s="758" t="s">
        <v>98</v>
      </c>
      <c r="T10" s="756" t="s">
        <v>106</v>
      </c>
      <c r="U10" s="130"/>
      <c r="V10" s="205"/>
      <c r="W10" s="160"/>
      <c r="X10" s="759"/>
      <c r="Y10" s="734"/>
      <c r="Z10" s="735"/>
      <c r="AA10" s="735"/>
      <c r="AB10" s="1032"/>
      <c r="AC10" s="1058"/>
      <c r="AD10" s="1059" t="s">
        <v>98</v>
      </c>
      <c r="AE10" s="1059" t="s">
        <v>112</v>
      </c>
      <c r="AF10" s="130"/>
      <c r="AG10" s="764"/>
      <c r="AH10" s="764"/>
      <c r="AI10" s="83"/>
      <c r="AJ10" s="753"/>
      <c r="AK10" s="735"/>
      <c r="AL10" s="735"/>
      <c r="AM10" s="1032"/>
      <c r="AN10" s="1058"/>
      <c r="AO10" s="1060" t="s">
        <v>98</v>
      </c>
      <c r="AP10" s="1060" t="s">
        <v>97</v>
      </c>
      <c r="AQ10" s="102"/>
      <c r="AR10" s="82"/>
      <c r="AS10" s="155"/>
      <c r="AT10" s="1056"/>
      <c r="AU10" s="753"/>
      <c r="AV10" s="1043"/>
      <c r="AW10" s="735"/>
      <c r="AX10" s="1032"/>
      <c r="AY10" s="765"/>
    </row>
    <row r="11" ht="15.75" customHeight="1">
      <c r="A11" s="35" t="s">
        <v>66</v>
      </c>
      <c r="B11" s="710" t="s">
        <v>118</v>
      </c>
      <c r="C11" s="1052" t="s">
        <v>119</v>
      </c>
      <c r="D11" s="130"/>
      <c r="E11" s="35"/>
      <c r="F11" s="35"/>
      <c r="G11" s="762"/>
      <c r="H11" s="762"/>
      <c r="I11" s="762"/>
      <c r="J11" s="762"/>
      <c r="K11" s="762"/>
      <c r="L11" s="762"/>
      <c r="M11" s="732"/>
      <c r="N11" s="734"/>
      <c r="O11" s="735"/>
      <c r="P11" s="735"/>
      <c r="Q11" s="736"/>
      <c r="R11" s="1021"/>
      <c r="S11" s="758" t="s">
        <v>118</v>
      </c>
      <c r="T11" s="760" t="s">
        <v>124</v>
      </c>
      <c r="U11" s="130"/>
      <c r="V11" s="761"/>
      <c r="W11" s="35"/>
      <c r="X11" s="762"/>
      <c r="Y11" s="734"/>
      <c r="Z11" s="735"/>
      <c r="AA11" s="735"/>
      <c r="AB11" s="1032"/>
      <c r="AC11" s="1061"/>
      <c r="AD11" s="181" t="s">
        <v>118</v>
      </c>
      <c r="AE11" s="1052" t="s">
        <v>129</v>
      </c>
      <c r="AF11" s="130"/>
      <c r="AG11" s="1033"/>
      <c r="AH11" s="739"/>
      <c r="AI11" s="1054"/>
      <c r="AJ11" s="753"/>
      <c r="AK11" s="735"/>
      <c r="AL11" s="735"/>
      <c r="AM11" s="1032"/>
      <c r="AN11" s="1062"/>
      <c r="AO11" s="1055" t="s">
        <v>118</v>
      </c>
      <c r="AP11" s="1063" t="s">
        <v>117</v>
      </c>
      <c r="AQ11" s="130"/>
      <c r="AR11" s="1064"/>
      <c r="AS11" s="1065"/>
      <c r="AT11" s="1066"/>
      <c r="AU11" s="1038"/>
      <c r="AV11" s="1039"/>
      <c r="AW11" s="1040"/>
      <c r="AX11" s="1041"/>
      <c r="AY11" s="887"/>
    </row>
    <row r="12">
      <c r="A12" s="35" t="s">
        <v>104</v>
      </c>
      <c r="B12" s="710" t="s">
        <v>136</v>
      </c>
      <c r="C12" s="1052" t="s">
        <v>137</v>
      </c>
      <c r="D12" s="130"/>
      <c r="E12" s="35"/>
      <c r="F12" s="1"/>
      <c r="G12" s="761"/>
      <c r="H12" s="761"/>
      <c r="I12" s="761"/>
      <c r="J12" s="761"/>
      <c r="K12" s="761"/>
      <c r="L12" s="761"/>
      <c r="M12" s="763"/>
      <c r="N12" s="734"/>
      <c r="O12" s="735"/>
      <c r="P12" s="735"/>
      <c r="Q12" s="736"/>
      <c r="R12" s="1021"/>
      <c r="S12" s="758" t="s">
        <v>136</v>
      </c>
      <c r="T12" s="760" t="s">
        <v>142</v>
      </c>
      <c r="U12" s="130"/>
      <c r="V12" s="764"/>
      <c r="W12" s="764"/>
      <c r="X12" s="765"/>
      <c r="Y12" s="734"/>
      <c r="Z12" s="735"/>
      <c r="AA12" s="735"/>
      <c r="AB12" s="1032"/>
      <c r="AC12" s="1023"/>
      <c r="AD12" s="181" t="s">
        <v>136</v>
      </c>
      <c r="AE12" s="1052" t="s">
        <v>147</v>
      </c>
      <c r="AF12" s="130"/>
      <c r="AG12" s="47"/>
      <c r="AH12" s="35"/>
      <c r="AI12" s="146"/>
      <c r="AJ12" s="753"/>
      <c r="AK12" s="735"/>
      <c r="AL12" s="735"/>
      <c r="AM12" s="1032"/>
      <c r="AN12" s="1023"/>
      <c r="AO12" s="1055" t="s">
        <v>136</v>
      </c>
      <c r="AP12" s="1063" t="s">
        <v>135</v>
      </c>
      <c r="AQ12" s="130"/>
      <c r="AR12" s="1064"/>
      <c r="AS12" s="1067"/>
      <c r="AT12" s="1066"/>
      <c r="AU12" s="1038"/>
      <c r="AV12" s="1039"/>
      <c r="AW12" s="1040"/>
      <c r="AX12" s="1041"/>
      <c r="AY12" s="887"/>
    </row>
    <row r="13" ht="15.0" customHeight="1">
      <c r="A13" s="35" t="s">
        <v>152</v>
      </c>
      <c r="B13" s="710" t="s">
        <v>153</v>
      </c>
      <c r="C13" s="1052" t="s">
        <v>154</v>
      </c>
      <c r="D13" s="130"/>
      <c r="E13" s="724"/>
      <c r="F13" s="35"/>
      <c r="G13" s="762"/>
      <c r="H13" s="762"/>
      <c r="I13" s="762"/>
      <c r="J13" s="762"/>
      <c r="K13" s="762"/>
      <c r="L13" s="762"/>
      <c r="M13" s="762"/>
      <c r="N13" s="734"/>
      <c r="O13" s="735"/>
      <c r="P13" s="735"/>
      <c r="Q13" s="736"/>
      <c r="R13" s="1057"/>
      <c r="S13" s="755" t="s">
        <v>153</v>
      </c>
      <c r="T13" s="760" t="s">
        <v>158</v>
      </c>
      <c r="U13" s="130"/>
      <c r="V13" s="35"/>
      <c r="W13" s="35"/>
      <c r="X13" s="762"/>
      <c r="Y13" s="734"/>
      <c r="Z13" s="735"/>
      <c r="AA13" s="735"/>
      <c r="AB13" s="1032"/>
      <c r="AC13" s="1025"/>
      <c r="AD13" s="181" t="s">
        <v>153</v>
      </c>
      <c r="AE13" s="1052" t="s">
        <v>163</v>
      </c>
      <c r="AF13" s="130"/>
      <c r="AG13" s="764"/>
      <c r="AH13" s="130"/>
      <c r="AI13" s="83"/>
      <c r="AJ13" s="753"/>
      <c r="AK13" s="735"/>
      <c r="AL13" s="735"/>
      <c r="AM13" s="1032"/>
      <c r="AN13" s="1023"/>
      <c r="AO13" s="1068">
        <v>55.0</v>
      </c>
      <c r="AP13" s="1063" t="s">
        <v>151</v>
      </c>
      <c r="AQ13" s="130"/>
      <c r="AR13" s="1064"/>
      <c r="AS13" s="1067"/>
      <c r="AT13" s="1066"/>
      <c r="AU13" s="753"/>
      <c r="AV13" s="1043"/>
      <c r="AW13" s="735"/>
      <c r="AX13" s="1032"/>
      <c r="AY13" s="765"/>
    </row>
    <row r="14" ht="15.0" customHeight="1">
      <c r="A14" s="35" t="s">
        <v>111</v>
      </c>
      <c r="B14" s="710" t="s">
        <v>169</v>
      </c>
      <c r="C14" s="1052" t="s">
        <v>170</v>
      </c>
      <c r="D14" s="130"/>
      <c r="E14" s="740"/>
      <c r="F14" s="35"/>
      <c r="G14" s="725"/>
      <c r="H14" s="725"/>
      <c r="I14" s="725"/>
      <c r="J14" s="725"/>
      <c r="K14" s="725"/>
      <c r="L14" s="725"/>
      <c r="M14" s="725"/>
      <c r="N14" s="734"/>
      <c r="O14" s="735"/>
      <c r="P14" s="735"/>
      <c r="Q14" s="736"/>
      <c r="R14" s="1021"/>
      <c r="S14" s="758" t="s">
        <v>169</v>
      </c>
      <c r="T14" s="760" t="s">
        <v>175</v>
      </c>
      <c r="U14" s="130"/>
      <c r="V14" s="766"/>
      <c r="W14" s="739"/>
      <c r="X14" s="762"/>
      <c r="Y14" s="734"/>
      <c r="Z14" s="735"/>
      <c r="AA14" s="735"/>
      <c r="AB14" s="1032"/>
      <c r="AC14" s="1061"/>
      <c r="AD14" s="181" t="s">
        <v>169</v>
      </c>
      <c r="AE14" s="1052" t="s">
        <v>180</v>
      </c>
      <c r="AF14" s="130"/>
      <c r="AG14" s="155"/>
      <c r="AH14" s="130"/>
      <c r="AI14" s="1069"/>
      <c r="AJ14" s="753"/>
      <c r="AK14" s="1043"/>
      <c r="AL14" s="735"/>
      <c r="AM14" s="1032"/>
      <c r="AN14" s="1023"/>
      <c r="AO14" s="1055" t="s">
        <v>169</v>
      </c>
      <c r="AP14" s="1055" t="s">
        <v>168</v>
      </c>
      <c r="AQ14" s="130"/>
      <c r="AR14" s="188"/>
      <c r="AS14" s="70"/>
      <c r="AT14" s="83"/>
      <c r="AU14" s="1038"/>
      <c r="AV14" s="1039"/>
      <c r="AW14" s="1040"/>
      <c r="AX14" s="1041"/>
      <c r="AY14" s="887"/>
    </row>
    <row r="15" ht="15.0" customHeight="1">
      <c r="A15" s="35" t="s">
        <v>43</v>
      </c>
      <c r="B15" s="710" t="s">
        <v>186</v>
      </c>
      <c r="C15" s="1052" t="s">
        <v>187</v>
      </c>
      <c r="D15" s="130"/>
      <c r="E15" s="724"/>
      <c r="F15" s="35"/>
      <c r="G15" s="725"/>
      <c r="H15" s="725"/>
      <c r="I15" s="725"/>
      <c r="J15" s="725"/>
      <c r="K15" s="725"/>
      <c r="L15" s="725"/>
      <c r="M15" s="782"/>
      <c r="N15" s="767"/>
      <c r="O15" s="735"/>
      <c r="P15" s="768"/>
      <c r="Q15" s="769"/>
      <c r="R15" s="1070"/>
      <c r="S15" s="755" t="s">
        <v>186</v>
      </c>
      <c r="T15" s="760" t="s">
        <v>191</v>
      </c>
      <c r="U15" s="130"/>
      <c r="V15" s="766"/>
      <c r="W15" s="764"/>
      <c r="X15" s="762"/>
      <c r="Y15" s="767"/>
      <c r="Z15" s="735"/>
      <c r="AA15" s="735"/>
      <c r="AB15" s="1071"/>
      <c r="AC15" s="1023"/>
      <c r="AD15" s="1059" t="s">
        <v>186</v>
      </c>
      <c r="AE15" s="1052" t="s">
        <v>195</v>
      </c>
      <c r="AF15" s="130"/>
      <c r="AG15" s="155"/>
      <c r="AH15" s="130"/>
      <c r="AI15" s="1056"/>
      <c r="AJ15" s="1072"/>
      <c r="AK15" s="735"/>
      <c r="AL15" s="768"/>
      <c r="AM15" s="1071"/>
      <c r="AN15" s="1023"/>
      <c r="AO15" s="143" t="s">
        <v>186</v>
      </c>
      <c r="AP15" s="1073"/>
      <c r="AQ15" s="118"/>
      <c r="AR15" s="183"/>
      <c r="AS15" s="183"/>
      <c r="AT15" s="1074"/>
      <c r="AU15" s="1075"/>
      <c r="AV15" s="1076"/>
      <c r="AW15" s="1077"/>
      <c r="AX15" s="1078"/>
      <c r="AY15" s="1079"/>
    </row>
    <row r="16">
      <c r="A16" s="35" t="s">
        <v>49</v>
      </c>
      <c r="B16" s="710" t="s">
        <v>201</v>
      </c>
      <c r="C16" s="1052" t="s">
        <v>202</v>
      </c>
      <c r="D16" s="130"/>
      <c r="E16" s="724"/>
      <c r="F16" s="35"/>
      <c r="G16" s="725"/>
      <c r="H16" s="725"/>
      <c r="I16" s="725"/>
      <c r="J16" s="725"/>
      <c r="K16" s="725"/>
      <c r="L16" s="725"/>
      <c r="M16" s="725"/>
      <c r="N16" s="734"/>
      <c r="O16" s="735"/>
      <c r="P16" s="735"/>
      <c r="Q16" s="736"/>
      <c r="R16" s="1021"/>
      <c r="S16" s="755" t="s">
        <v>201</v>
      </c>
      <c r="T16" s="760" t="s">
        <v>207</v>
      </c>
      <c r="U16" s="130"/>
      <c r="V16" s="771"/>
      <c r="W16" s="724"/>
      <c r="X16" s="772"/>
      <c r="Y16" s="734"/>
      <c r="Z16" s="735"/>
      <c r="AA16" s="735"/>
      <c r="AB16" s="1032"/>
      <c r="AC16" s="1023"/>
      <c r="AD16" s="1059" t="s">
        <v>201</v>
      </c>
      <c r="AE16" s="183"/>
      <c r="AF16" s="471"/>
      <c r="AG16" s="1080"/>
      <c r="AH16" s="182"/>
      <c r="AI16" s="1074"/>
      <c r="AJ16" s="1038"/>
      <c r="AK16" s="1039"/>
      <c r="AL16" s="1040"/>
      <c r="AM16" s="1041"/>
      <c r="AN16" s="1023"/>
      <c r="AO16" s="143" t="s">
        <v>201</v>
      </c>
      <c r="AP16" s="183"/>
      <c r="AQ16" s="1081"/>
      <c r="AR16" s="183"/>
      <c r="AS16" s="1082"/>
      <c r="AT16" s="1083"/>
      <c r="AU16" s="1038"/>
      <c r="AV16" s="1039"/>
      <c r="AW16" s="1040"/>
      <c r="AX16" s="1041"/>
      <c r="AY16" s="887"/>
    </row>
    <row r="17">
      <c r="A17" s="35" t="s">
        <v>134</v>
      </c>
      <c r="B17" s="710" t="s">
        <v>212</v>
      </c>
      <c r="C17" s="1052" t="s">
        <v>213</v>
      </c>
      <c r="D17" s="130"/>
      <c r="E17" s="724"/>
      <c r="F17" s="35"/>
      <c r="G17" s="762"/>
      <c r="H17" s="762"/>
      <c r="I17" s="762"/>
      <c r="J17" s="762"/>
      <c r="K17" s="762"/>
      <c r="L17" s="762"/>
      <c r="M17" s="786"/>
      <c r="N17" s="734"/>
      <c r="O17" s="735"/>
      <c r="P17" s="735"/>
      <c r="Q17" s="736"/>
      <c r="R17" s="1021"/>
      <c r="S17" s="755" t="s">
        <v>212</v>
      </c>
      <c r="T17" s="756" t="s">
        <v>214</v>
      </c>
      <c r="U17" s="130"/>
      <c r="V17" s="771"/>
      <c r="W17" s="724"/>
      <c r="X17" s="762"/>
      <c r="Y17" s="734"/>
      <c r="Z17" s="735"/>
      <c r="AA17" s="735"/>
      <c r="AB17" s="1032"/>
      <c r="AC17" s="1023"/>
      <c r="AD17" s="1059" t="s">
        <v>212</v>
      </c>
      <c r="AE17" s="1052" t="s">
        <v>218</v>
      </c>
      <c r="AF17" s="130"/>
      <c r="AG17" s="724"/>
      <c r="AH17" s="130"/>
      <c r="AI17" s="1048"/>
      <c r="AJ17" s="753"/>
      <c r="AK17" s="735"/>
      <c r="AL17" s="735"/>
      <c r="AM17" s="1032"/>
      <c r="AN17" s="1023"/>
      <c r="AO17" s="143" t="s">
        <v>212</v>
      </c>
      <c r="AP17" s="1073"/>
      <c r="AQ17" s="118"/>
      <c r="AR17" s="183"/>
      <c r="AS17" s="183"/>
      <c r="AT17" s="1074"/>
      <c r="AU17" s="1038"/>
      <c r="AV17" s="1039"/>
      <c r="AW17" s="1040"/>
      <c r="AX17" s="1041"/>
      <c r="AY17" s="887"/>
    </row>
    <row r="18" ht="15.0" customHeight="1">
      <c r="A18" s="35" t="s">
        <v>128</v>
      </c>
      <c r="B18" s="710" t="s">
        <v>224</v>
      </c>
      <c r="C18" s="1052" t="s">
        <v>225</v>
      </c>
      <c r="D18" s="130"/>
      <c r="E18" s="1"/>
      <c r="F18" s="35"/>
      <c r="G18" s="725"/>
      <c r="H18" s="725"/>
      <c r="I18" s="725"/>
      <c r="J18" s="725"/>
      <c r="K18" s="725"/>
      <c r="L18" s="725"/>
      <c r="M18" s="725"/>
      <c r="N18" s="316"/>
      <c r="O18" s="735"/>
      <c r="P18" s="735"/>
      <c r="Q18" s="736"/>
      <c r="R18" s="1070"/>
      <c r="S18" s="755" t="s">
        <v>224</v>
      </c>
      <c r="T18" s="1084" t="s">
        <v>229</v>
      </c>
      <c r="U18" s="130"/>
      <c r="V18" s="47"/>
      <c r="W18" s="47"/>
      <c r="X18" s="129"/>
      <c r="Y18" s="767"/>
      <c r="Z18" s="768"/>
      <c r="AA18" s="768"/>
      <c r="AB18" s="1032"/>
      <c r="AC18" s="1023"/>
      <c r="AD18" s="1059" t="s">
        <v>224</v>
      </c>
      <c r="AE18" s="1085" t="s">
        <v>234</v>
      </c>
      <c r="AF18" s="130"/>
      <c r="AG18" s="1086"/>
      <c r="AH18" s="130"/>
      <c r="AI18" s="780"/>
      <c r="AJ18" s="1072"/>
      <c r="AK18" s="1087"/>
      <c r="AL18" s="768"/>
      <c r="AM18" s="1071"/>
      <c r="AN18" s="1088"/>
      <c r="AO18" s="143" t="s">
        <v>224</v>
      </c>
      <c r="AP18" s="1063" t="s">
        <v>200</v>
      </c>
      <c r="AQ18" s="1089"/>
      <c r="AR18" s="1090"/>
      <c r="AS18" s="35"/>
      <c r="AT18" s="780"/>
      <c r="AU18" s="1075"/>
      <c r="AV18" s="1076"/>
      <c r="AW18" s="1077"/>
      <c r="AX18" s="1078"/>
      <c r="AY18" s="1079"/>
    </row>
    <row r="19" ht="14.25" customHeight="1">
      <c r="A19" s="35" t="s">
        <v>81</v>
      </c>
      <c r="B19" s="710" t="s">
        <v>239</v>
      </c>
      <c r="C19" s="1052" t="s">
        <v>240</v>
      </c>
      <c r="D19" s="130"/>
      <c r="E19" s="771"/>
      <c r="F19" s="35"/>
      <c r="G19" s="725"/>
      <c r="H19" s="725"/>
      <c r="I19" s="725"/>
      <c r="J19" s="725"/>
      <c r="K19" s="725"/>
      <c r="L19" s="725"/>
      <c r="M19" s="725"/>
      <c r="N19" s="734"/>
      <c r="O19" s="735"/>
      <c r="P19" s="735"/>
      <c r="Q19" s="736"/>
      <c r="R19" s="1021"/>
      <c r="S19" s="755" t="s">
        <v>239</v>
      </c>
      <c r="T19" s="756" t="s">
        <v>245</v>
      </c>
      <c r="U19" s="130"/>
      <c r="V19" s="194"/>
      <c r="W19" s="779"/>
      <c r="X19" s="780"/>
      <c r="Y19" s="734"/>
      <c r="Z19" s="735"/>
      <c r="AA19" s="735"/>
      <c r="AB19" s="1032"/>
      <c r="AC19" s="1023"/>
      <c r="AD19" s="1059" t="s">
        <v>239</v>
      </c>
      <c r="AE19" s="1052" t="s">
        <v>250</v>
      </c>
      <c r="AF19" s="130"/>
      <c r="AG19" s="1091"/>
      <c r="AH19" s="130"/>
      <c r="AI19" s="1092"/>
      <c r="AJ19" s="753"/>
      <c r="AK19" s="735"/>
      <c r="AL19" s="735"/>
      <c r="AM19" s="1032"/>
      <c r="AN19" s="1023"/>
      <c r="AO19" s="143" t="s">
        <v>239</v>
      </c>
      <c r="AP19" s="1063" t="s">
        <v>238</v>
      </c>
      <c r="AQ19" s="1093"/>
      <c r="AR19" s="188"/>
      <c r="AS19" s="70"/>
      <c r="AT19" s="83"/>
      <c r="AU19" s="1038"/>
      <c r="AV19" s="1039"/>
      <c r="AW19" s="1040"/>
      <c r="AX19" s="1041"/>
      <c r="AY19" s="887"/>
    </row>
    <row r="20">
      <c r="A20" s="35" t="s">
        <v>255</v>
      </c>
      <c r="B20" s="710" t="s">
        <v>256</v>
      </c>
      <c r="C20" s="1052" t="s">
        <v>257</v>
      </c>
      <c r="D20" s="130"/>
      <c r="E20" s="724"/>
      <c r="F20" s="724"/>
      <c r="G20" s="1020"/>
      <c r="H20" s="1020"/>
      <c r="I20" s="1020"/>
      <c r="J20" s="1020"/>
      <c r="K20" s="1020"/>
      <c r="L20" s="1020"/>
      <c r="M20" s="725"/>
      <c r="N20" s="734"/>
      <c r="O20" s="735"/>
      <c r="P20" s="735"/>
      <c r="Q20" s="736"/>
      <c r="R20" s="1021"/>
      <c r="S20" s="758" t="s">
        <v>256</v>
      </c>
      <c r="T20" s="756" t="s">
        <v>261</v>
      </c>
      <c r="U20" s="130"/>
      <c r="V20" s="1"/>
      <c r="W20" s="35"/>
      <c r="X20" s="146"/>
      <c r="Y20" s="734"/>
      <c r="Z20" s="735"/>
      <c r="AA20" s="735"/>
      <c r="AB20" s="1032"/>
      <c r="AC20" s="1023"/>
      <c r="AD20" s="181" t="s">
        <v>256</v>
      </c>
      <c r="AE20" s="1059" t="s">
        <v>266</v>
      </c>
      <c r="AF20" s="1094"/>
      <c r="AG20" s="205"/>
      <c r="AH20" s="1094"/>
      <c r="AI20" s="146"/>
      <c r="AJ20" s="753"/>
      <c r="AK20" s="735"/>
      <c r="AL20" s="735"/>
      <c r="AM20" s="1032"/>
      <c r="AN20" s="1023"/>
      <c r="AO20" s="143" t="s">
        <v>256</v>
      </c>
      <c r="AP20" s="1063" t="s">
        <v>254</v>
      </c>
      <c r="AQ20" s="1093"/>
      <c r="AR20" s="1095"/>
      <c r="AS20" s="188"/>
      <c r="AT20" s="759"/>
      <c r="AU20" s="1038"/>
      <c r="AV20" s="1039"/>
      <c r="AW20" s="1040"/>
      <c r="AX20" s="1041"/>
      <c r="AY20" s="887"/>
    </row>
    <row r="21" ht="15.0" customHeight="1">
      <c r="A21" s="35" t="s">
        <v>105</v>
      </c>
      <c r="B21" s="710" t="s">
        <v>276</v>
      </c>
      <c r="C21" s="1052" t="s">
        <v>271</v>
      </c>
      <c r="D21" s="130"/>
      <c r="E21" s="724"/>
      <c r="F21" s="771"/>
      <c r="G21" s="1053"/>
      <c r="H21" s="1053"/>
      <c r="I21" s="1053"/>
      <c r="J21" s="1053"/>
      <c r="K21" s="1053"/>
      <c r="L21" s="1053"/>
      <c r="M21" s="782"/>
      <c r="N21" s="734"/>
      <c r="O21" s="735"/>
      <c r="P21" s="735"/>
      <c r="Q21" s="736"/>
      <c r="R21" s="1057"/>
      <c r="S21" s="755" t="s">
        <v>276</v>
      </c>
      <c r="T21" s="756" t="s">
        <v>277</v>
      </c>
      <c r="U21" s="130"/>
      <c r="V21" s="784"/>
      <c r="W21" s="1"/>
      <c r="X21" s="146"/>
      <c r="Y21" s="785"/>
      <c r="Z21" s="735"/>
      <c r="AA21" s="735"/>
      <c r="AB21" s="1032"/>
      <c r="AC21" s="1023"/>
      <c r="AD21" s="1052" t="s">
        <v>276</v>
      </c>
      <c r="AE21" s="1096" t="s">
        <v>282</v>
      </c>
      <c r="AF21" s="130"/>
      <c r="AG21" s="357"/>
      <c r="AH21" s="135"/>
      <c r="AI21" s="154"/>
      <c r="AJ21" s="753"/>
      <c r="AK21" s="1043"/>
      <c r="AL21" s="735"/>
      <c r="AM21" s="1032"/>
      <c r="AN21" s="1023"/>
      <c r="AO21" s="143" t="s">
        <v>276</v>
      </c>
      <c r="AP21" s="1063" t="s">
        <v>270</v>
      </c>
      <c r="AQ21" s="1093"/>
      <c r="AR21" s="188"/>
      <c r="AS21" s="1090"/>
      <c r="AT21" s="1097"/>
      <c r="AU21" s="753"/>
      <c r="AV21" s="1043"/>
      <c r="AW21" s="735"/>
      <c r="AX21" s="1032"/>
      <c r="AY21" s="765"/>
    </row>
    <row r="22" ht="15.75" customHeight="1">
      <c r="A22" s="35" t="s">
        <v>123</v>
      </c>
      <c r="B22" s="710" t="s">
        <v>284</v>
      </c>
      <c r="C22" s="1052" t="s">
        <v>285</v>
      </c>
      <c r="D22" s="130"/>
      <c r="E22" s="773"/>
      <c r="F22" s="766"/>
      <c r="G22" s="757"/>
      <c r="H22" s="757"/>
      <c r="I22" s="757"/>
      <c r="J22" s="757"/>
      <c r="K22" s="757"/>
      <c r="L22" s="757"/>
      <c r="M22" s="774"/>
      <c r="N22" s="734"/>
      <c r="O22" s="735"/>
      <c r="P22" s="735"/>
      <c r="Q22" s="736"/>
      <c r="R22" s="1021"/>
      <c r="S22" s="1098" t="s">
        <v>284</v>
      </c>
      <c r="T22" s="760" t="s">
        <v>289</v>
      </c>
      <c r="U22" s="130"/>
      <c r="V22" s="1"/>
      <c r="W22" s="724"/>
      <c r="X22" s="190"/>
      <c r="Y22" s="734"/>
      <c r="Z22" s="735"/>
      <c r="AA22" s="735"/>
      <c r="AB22" s="1032"/>
      <c r="AC22" s="1023"/>
      <c r="AD22" s="1099" t="s">
        <v>284</v>
      </c>
      <c r="AE22" s="1096" t="s">
        <v>294</v>
      </c>
      <c r="AF22" s="130"/>
      <c r="AG22" s="70"/>
      <c r="AH22" s="39"/>
      <c r="AI22" s="154"/>
      <c r="AJ22" s="753"/>
      <c r="AK22" s="1043"/>
      <c r="AL22" s="735"/>
      <c r="AM22" s="1032"/>
      <c r="AN22" s="1023"/>
      <c r="AO22" s="756" t="s">
        <v>284</v>
      </c>
      <c r="AP22" s="143" t="s">
        <v>283</v>
      </c>
      <c r="AQ22" s="1089"/>
      <c r="AR22" s="1090"/>
      <c r="AS22" s="1090"/>
      <c r="AT22" s="1097"/>
      <c r="AU22" s="1038"/>
      <c r="AV22" s="1039"/>
      <c r="AW22" s="1040"/>
      <c r="AX22" s="1041"/>
      <c r="AY22" s="887"/>
    </row>
    <row r="23" ht="15.75" customHeight="1">
      <c r="A23" s="35" t="s">
        <v>223</v>
      </c>
      <c r="B23" s="1100" t="s">
        <v>296</v>
      </c>
      <c r="C23" s="1052" t="s">
        <v>297</v>
      </c>
      <c r="D23" s="1101"/>
      <c r="E23" s="35"/>
      <c r="F23" s="35"/>
      <c r="G23" s="765"/>
      <c r="H23" s="765"/>
      <c r="I23" s="765"/>
      <c r="J23" s="765"/>
      <c r="K23" s="765"/>
      <c r="L23" s="765"/>
      <c r="M23" s="763"/>
      <c r="N23" s="734"/>
      <c r="O23" s="735"/>
      <c r="P23" s="735"/>
      <c r="Q23" s="789"/>
      <c r="R23" s="1102"/>
      <c r="S23" s="1098" t="s">
        <v>296</v>
      </c>
      <c r="T23" s="760" t="s">
        <v>301</v>
      </c>
      <c r="U23" s="130"/>
      <c r="V23" s="724"/>
      <c r="W23" s="724"/>
      <c r="X23" s="725"/>
      <c r="Y23" s="734"/>
      <c r="Z23" s="735"/>
      <c r="AA23" s="735"/>
      <c r="AB23" s="1032"/>
      <c r="AC23" s="1103"/>
      <c r="AD23" s="1099" t="s">
        <v>296</v>
      </c>
      <c r="AE23" s="1096" t="s">
        <v>305</v>
      </c>
      <c r="AF23" s="130"/>
      <c r="AG23" s="35"/>
      <c r="AH23" s="130"/>
      <c r="AI23" s="1104"/>
      <c r="AJ23" s="753"/>
      <c r="AK23" s="1043"/>
      <c r="AL23" s="735"/>
      <c r="AM23" s="1032"/>
      <c r="AN23" s="1105"/>
      <c r="AO23" s="756" t="s">
        <v>296</v>
      </c>
      <c r="AP23" s="143" t="s">
        <v>295</v>
      </c>
      <c r="AQ23" s="1089"/>
      <c r="AR23" s="1095"/>
      <c r="AS23" s="188"/>
      <c r="AT23" s="759"/>
      <c r="AU23" s="1038"/>
      <c r="AV23" s="1039"/>
      <c r="AW23" s="1040"/>
      <c r="AX23" s="1041"/>
      <c r="AY23" s="887"/>
    </row>
    <row r="24" ht="15.0" customHeight="1">
      <c r="A24" s="35" t="s">
        <v>307</v>
      </c>
      <c r="B24" s="710" t="s">
        <v>308</v>
      </c>
      <c r="C24" s="1052" t="s">
        <v>309</v>
      </c>
      <c r="D24" s="130"/>
      <c r="E24" s="766"/>
      <c r="F24" s="766"/>
      <c r="G24" s="762"/>
      <c r="H24" s="762"/>
      <c r="I24" s="762"/>
      <c r="J24" s="762"/>
      <c r="K24" s="762"/>
      <c r="L24" s="762"/>
      <c r="M24" s="782"/>
      <c r="N24" s="734"/>
      <c r="O24" s="735"/>
      <c r="P24" s="735"/>
      <c r="Q24" s="789"/>
      <c r="R24" s="1106"/>
      <c r="S24" s="1098" t="s">
        <v>308</v>
      </c>
      <c r="T24" s="760" t="s">
        <v>313</v>
      </c>
      <c r="U24" s="130"/>
      <c r="V24" s="739"/>
      <c r="W24" s="35"/>
      <c r="X24" s="780"/>
      <c r="Y24" s="734"/>
      <c r="Z24" s="735"/>
      <c r="AA24" s="735"/>
      <c r="AB24" s="1032"/>
      <c r="AC24" s="1023"/>
      <c r="AD24" s="1099" t="s">
        <v>308</v>
      </c>
      <c r="AE24" s="1096" t="s">
        <v>317</v>
      </c>
      <c r="AF24" s="130"/>
      <c r="AG24" s="1091"/>
      <c r="AH24" s="185"/>
      <c r="AI24" s="1092"/>
      <c r="AJ24" s="753"/>
      <c r="AK24" s="1043"/>
      <c r="AL24" s="735"/>
      <c r="AM24" s="1032"/>
      <c r="AN24" s="1023"/>
      <c r="AO24" s="756" t="s">
        <v>308</v>
      </c>
      <c r="AP24" s="143" t="s">
        <v>306</v>
      </c>
      <c r="AQ24" s="1107"/>
      <c r="AR24" s="1033"/>
      <c r="AS24" s="35"/>
      <c r="AT24" s="83"/>
      <c r="AU24" s="753"/>
      <c r="AV24" s="1043"/>
      <c r="AW24" s="735"/>
      <c r="AX24" s="1032"/>
      <c r="AY24" s="765"/>
    </row>
    <row r="25" ht="15.0" customHeight="1">
      <c r="A25" s="35" t="s">
        <v>319</v>
      </c>
      <c r="B25" s="710" t="s">
        <v>320</v>
      </c>
      <c r="C25" s="1085" t="s">
        <v>321</v>
      </c>
      <c r="D25" s="130"/>
      <c r="E25" s="771"/>
      <c r="F25" s="739"/>
      <c r="G25" s="757"/>
      <c r="H25" s="757"/>
      <c r="I25" s="757"/>
      <c r="J25" s="757"/>
      <c r="K25" s="757"/>
      <c r="L25" s="757"/>
      <c r="M25" s="757"/>
      <c r="N25" s="734"/>
      <c r="O25" s="735"/>
      <c r="P25" s="735"/>
      <c r="Q25" s="736"/>
      <c r="R25" s="1021"/>
      <c r="S25" s="1098" t="s">
        <v>320</v>
      </c>
      <c r="T25" s="760" t="s">
        <v>326</v>
      </c>
      <c r="U25" s="130"/>
      <c r="V25" s="771"/>
      <c r="W25" s="724"/>
      <c r="X25" s="791"/>
      <c r="Y25" s="753"/>
      <c r="Z25" s="735"/>
      <c r="AA25" s="735"/>
      <c r="AB25" s="1032"/>
      <c r="AC25" s="1023"/>
      <c r="AD25" s="1099" t="s">
        <v>320</v>
      </c>
      <c r="AE25" s="1096" t="s">
        <v>327</v>
      </c>
      <c r="AF25" s="130"/>
      <c r="AG25" s="40"/>
      <c r="AH25" s="130"/>
      <c r="AI25" s="1051"/>
      <c r="AJ25" s="753"/>
      <c r="AK25" s="1043"/>
      <c r="AL25" s="735"/>
      <c r="AM25" s="1032"/>
      <c r="AN25" s="1061" t="s">
        <v>328</v>
      </c>
      <c r="AO25" s="756" t="s">
        <v>320</v>
      </c>
      <c r="AP25" s="143" t="s">
        <v>318</v>
      </c>
      <c r="AQ25" s="1101"/>
      <c r="AR25" s="39"/>
      <c r="AS25" s="47"/>
      <c r="AT25" s="1108"/>
      <c r="AU25" s="1038"/>
      <c r="AV25" s="1039"/>
      <c r="AW25" s="1040"/>
      <c r="AX25" s="1041"/>
      <c r="AY25" s="887"/>
    </row>
    <row r="26" ht="13.5" customHeight="1">
      <c r="A26" s="35" t="s">
        <v>330</v>
      </c>
      <c r="B26" s="1100" t="s">
        <v>331</v>
      </c>
      <c r="C26" s="1052" t="s">
        <v>332</v>
      </c>
      <c r="D26" s="130"/>
      <c r="E26" s="160"/>
      <c r="F26" s="39"/>
      <c r="G26" s="41"/>
      <c r="H26" s="41"/>
      <c r="I26" s="41"/>
      <c r="J26" s="41"/>
      <c r="K26" s="41"/>
      <c r="L26" s="41"/>
      <c r="M26" s="83"/>
      <c r="N26" s="734"/>
      <c r="O26" s="735"/>
      <c r="P26" s="735"/>
      <c r="Q26" s="789"/>
      <c r="R26" s="1102"/>
      <c r="S26" s="1098" t="s">
        <v>331</v>
      </c>
      <c r="T26" s="760" t="s">
        <v>336</v>
      </c>
      <c r="U26" s="130"/>
      <c r="V26" s="792"/>
      <c r="W26" s="35"/>
      <c r="X26" s="725"/>
      <c r="Y26" s="316"/>
      <c r="Z26" s="735"/>
      <c r="AA26" s="735"/>
      <c r="AB26" s="736"/>
      <c r="AC26" s="1109"/>
      <c r="AD26" s="223" t="s">
        <v>331</v>
      </c>
      <c r="AE26" s="340" t="s">
        <v>355</v>
      </c>
      <c r="AF26" s="219"/>
      <c r="AG26" s="1110"/>
      <c r="AH26" s="219"/>
      <c r="AI26" s="1111"/>
      <c r="AJ26" s="753"/>
      <c r="AK26" s="1043"/>
      <c r="AL26" s="735"/>
      <c r="AM26" s="1032"/>
      <c r="AN26" s="1109"/>
      <c r="AO26" s="756" t="s">
        <v>331</v>
      </c>
      <c r="AP26" s="143" t="s">
        <v>329</v>
      </c>
      <c r="AQ26" s="1101"/>
      <c r="AR26" s="39"/>
      <c r="AS26" s="39"/>
      <c r="AT26" s="154"/>
      <c r="AU26" s="1038"/>
      <c r="AV26" s="1039"/>
      <c r="AW26" s="1040"/>
      <c r="AX26" s="1041"/>
      <c r="AY26" s="887"/>
    </row>
    <row r="27" ht="15.0" customHeight="1">
      <c r="A27" s="35" t="s">
        <v>343</v>
      </c>
      <c r="B27" s="793" t="s">
        <v>344</v>
      </c>
      <c r="C27" s="1112" t="s">
        <v>345</v>
      </c>
      <c r="D27" s="219"/>
      <c r="E27" s="1113"/>
      <c r="F27" s="1114"/>
      <c r="G27" s="1114"/>
      <c r="H27" s="1114"/>
      <c r="I27" s="1114"/>
      <c r="J27" s="1114"/>
      <c r="K27" s="1114"/>
      <c r="L27" s="1114"/>
      <c r="M27" s="1114"/>
      <c r="N27" s="734"/>
      <c r="O27" s="735"/>
      <c r="P27" s="735"/>
      <c r="Q27" s="789"/>
      <c r="R27" s="1102"/>
      <c r="S27" s="798" t="s">
        <v>344</v>
      </c>
      <c r="T27" s="794" t="s">
        <v>350</v>
      </c>
      <c r="U27" s="219"/>
      <c r="V27" s="795"/>
      <c r="W27" s="796"/>
      <c r="X27" s="797"/>
      <c r="Y27" s="734"/>
      <c r="Z27" s="735"/>
      <c r="AA27" s="735"/>
      <c r="AB27" s="1032"/>
      <c r="AC27" s="1115"/>
      <c r="AD27" s="794" t="s">
        <v>344</v>
      </c>
      <c r="AE27" s="340" t="s">
        <v>372</v>
      </c>
      <c r="AF27" s="219"/>
      <c r="AG27" s="1110"/>
      <c r="AH27" s="219"/>
      <c r="AI27" s="1116"/>
      <c r="AJ27" s="783"/>
      <c r="AK27" s="1043"/>
      <c r="AL27" s="735"/>
      <c r="AM27" s="1032"/>
      <c r="AN27" s="1115"/>
      <c r="AO27" s="760" t="s">
        <v>344</v>
      </c>
      <c r="AP27" s="157" t="s">
        <v>342</v>
      </c>
      <c r="AQ27" s="214"/>
      <c r="AR27" s="1094"/>
      <c r="AS27" s="1020"/>
      <c r="AT27" s="780"/>
      <c r="AU27" s="1038"/>
      <c r="AV27" s="1039"/>
      <c r="AW27" s="1040"/>
      <c r="AX27" s="1041"/>
      <c r="AY27" s="887"/>
    </row>
    <row r="28" ht="15.0" customHeight="1">
      <c r="A28" s="35" t="s">
        <v>361</v>
      </c>
      <c r="B28" s="799" t="s">
        <v>362</v>
      </c>
      <c r="C28" s="1117" t="s">
        <v>363</v>
      </c>
      <c r="D28" s="239"/>
      <c r="E28" s="1118"/>
      <c r="F28" s="1119"/>
      <c r="G28" s="804"/>
      <c r="H28" s="804"/>
      <c r="I28" s="804"/>
      <c r="J28" s="804"/>
      <c r="K28" s="804"/>
      <c r="L28" s="804"/>
      <c r="M28" s="1120"/>
      <c r="N28" s="805"/>
      <c r="O28" s="735"/>
      <c r="P28" s="735"/>
      <c r="Q28" s="789"/>
      <c r="R28" s="1121"/>
      <c r="S28" s="808" t="s">
        <v>362</v>
      </c>
      <c r="T28" s="800" t="s">
        <v>368</v>
      </c>
      <c r="U28" s="230"/>
      <c r="V28" s="802"/>
      <c r="W28" s="803"/>
      <c r="X28" s="804"/>
      <c r="Y28" s="734"/>
      <c r="Z28" s="735"/>
      <c r="AA28" s="735"/>
      <c r="AB28" s="1032"/>
      <c r="AC28" s="1122"/>
      <c r="AD28" s="1123" t="s">
        <v>362</v>
      </c>
      <c r="AE28" s="1124" t="s">
        <v>540</v>
      </c>
      <c r="AF28" s="1125"/>
      <c r="AG28" s="800"/>
      <c r="AH28" s="1126"/>
      <c r="AI28" s="1127"/>
      <c r="AJ28" s="1128"/>
      <c r="AK28" s="1129"/>
      <c r="AL28" s="806"/>
      <c r="AM28" s="1130"/>
      <c r="AN28" s="1122"/>
      <c r="AO28" s="1131" t="s">
        <v>362</v>
      </c>
      <c r="AP28" s="1131" t="s">
        <v>360</v>
      </c>
      <c r="AQ28" s="1132"/>
      <c r="AR28" s="1133"/>
      <c r="AS28" s="1134"/>
      <c r="AT28" s="1135"/>
      <c r="AU28" s="1136"/>
      <c r="AV28" s="1137"/>
      <c r="AW28" s="1138"/>
      <c r="AX28" s="1139"/>
      <c r="AY28" s="887"/>
    </row>
    <row r="29" ht="15.0" customHeight="1">
      <c r="A29" s="39"/>
      <c r="B29" s="1140"/>
      <c r="C29" s="1140"/>
      <c r="D29" s="1141"/>
      <c r="E29" s="1142"/>
      <c r="F29" s="1143"/>
      <c r="G29" s="274"/>
      <c r="H29" s="274"/>
      <c r="I29" s="274"/>
      <c r="J29" s="274"/>
      <c r="K29" s="274"/>
      <c r="L29" s="274"/>
      <c r="M29" s="274"/>
      <c r="N29" s="274"/>
      <c r="O29" s="274"/>
      <c r="P29" s="274"/>
      <c r="Q29" s="274"/>
      <c r="R29" s="274"/>
      <c r="S29" s="274"/>
      <c r="T29" s="274"/>
      <c r="U29" s="274"/>
      <c r="V29" s="274"/>
      <c r="W29" s="274"/>
      <c r="X29" s="274"/>
      <c r="Y29" s="274"/>
      <c r="Z29" s="274"/>
      <c r="AA29" s="274"/>
      <c r="AB29" s="274"/>
      <c r="AC29" s="274"/>
      <c r="AD29" s="274"/>
      <c r="AE29" s="274"/>
      <c r="AF29" s="274"/>
      <c r="AG29" s="274"/>
      <c r="AH29" s="275"/>
      <c r="AI29" s="765"/>
      <c r="AJ29" s="1144"/>
      <c r="AK29" s="1144"/>
      <c r="AL29" s="1144"/>
      <c r="AM29" s="1144"/>
      <c r="AN29" s="1145"/>
      <c r="AO29" s="1146"/>
      <c r="AP29" s="1146"/>
      <c r="AQ29" s="1147"/>
      <c r="AR29" s="1147"/>
      <c r="AS29" s="1147"/>
      <c r="AT29" s="1148" t="s">
        <v>374</v>
      </c>
      <c r="AU29" s="1149"/>
      <c r="AV29" s="1149"/>
      <c r="AW29" s="1149"/>
      <c r="AX29" s="1149"/>
      <c r="AY29" s="832"/>
    </row>
    <row r="30" ht="125.25" customHeight="1">
      <c r="A30" s="486"/>
      <c r="B30" s="824"/>
      <c r="C30" s="1150"/>
      <c r="D30" s="1151"/>
      <c r="E30" s="1152"/>
      <c r="F30" s="1153" t="s">
        <v>610</v>
      </c>
      <c r="G30" s="274"/>
      <c r="H30" s="274"/>
      <c r="I30" s="274"/>
      <c r="J30" s="274"/>
      <c r="K30" s="274"/>
      <c r="L30" s="274"/>
      <c r="M30" s="274"/>
      <c r="N30" s="274"/>
      <c r="O30" s="274"/>
      <c r="P30" s="274"/>
      <c r="Q30" s="274"/>
      <c r="R30" s="274"/>
      <c r="S30" s="274"/>
      <c r="T30" s="274"/>
      <c r="U30" s="274"/>
      <c r="V30" s="274"/>
      <c r="W30" s="274"/>
      <c r="X30" s="274"/>
      <c r="Y30" s="274"/>
      <c r="Z30" s="274"/>
      <c r="AA30" s="274"/>
      <c r="AB30" s="274"/>
      <c r="AC30" s="274"/>
      <c r="AD30" s="274"/>
      <c r="AE30" s="274"/>
      <c r="AF30" s="274"/>
      <c r="AG30" s="274"/>
      <c r="AH30" s="275"/>
      <c r="AI30" s="1154"/>
      <c r="AJ30" s="1154"/>
      <c r="AK30" s="1154"/>
      <c r="AL30" s="1154"/>
      <c r="AM30" s="1154"/>
      <c r="AN30" s="1155"/>
      <c r="AO30" s="1156" t="s">
        <v>611</v>
      </c>
      <c r="AP30" s="3"/>
      <c r="AQ30" s="3"/>
      <c r="AR30" s="3"/>
      <c r="AS30" s="3"/>
      <c r="AT30" s="3"/>
      <c r="AU30" s="3"/>
      <c r="AV30" s="3"/>
      <c r="AW30" s="3"/>
      <c r="AX30" s="459"/>
      <c r="AY30" s="1157"/>
    </row>
    <row r="31" ht="42.0" customHeight="1">
      <c r="A31" s="289"/>
      <c r="B31" s="1158" t="s">
        <v>377</v>
      </c>
      <c r="C31" s="291"/>
      <c r="D31" s="291"/>
      <c r="E31" s="292"/>
      <c r="F31" s="1159" t="s">
        <v>378</v>
      </c>
      <c r="G31" s="1160"/>
      <c r="H31" s="1160"/>
      <c r="I31" s="1160"/>
      <c r="J31" s="1160"/>
      <c r="K31" s="1160"/>
      <c r="L31" s="1160"/>
      <c r="M31" s="1161" t="s">
        <v>379</v>
      </c>
      <c r="N31" s="886"/>
      <c r="O31" s="886"/>
      <c r="P31" s="886"/>
      <c r="Q31" s="886"/>
      <c r="R31" s="886"/>
      <c r="S31" s="1162"/>
      <c r="T31" s="297"/>
      <c r="U31" s="1163" t="s">
        <v>380</v>
      </c>
      <c r="V31" s="1164"/>
      <c r="W31" s="1165" t="s">
        <v>378</v>
      </c>
      <c r="X31" s="1166" t="s">
        <v>379</v>
      </c>
      <c r="Y31" s="1167"/>
      <c r="Z31" s="1154"/>
      <c r="AA31" s="1167"/>
      <c r="AB31" s="1167"/>
      <c r="AC31" s="1167"/>
      <c r="AD31" s="1168"/>
      <c r="AE31" s="297"/>
      <c r="AF31" s="1169" t="s">
        <v>380</v>
      </c>
      <c r="AG31" s="1170"/>
      <c r="AH31" s="1171" t="s">
        <v>378</v>
      </c>
      <c r="AI31" s="1166" t="s">
        <v>379</v>
      </c>
      <c r="AJ31" s="1154"/>
      <c r="AK31" s="1154"/>
      <c r="AL31" s="1154"/>
      <c r="AM31" s="1154"/>
      <c r="AN31" s="1155"/>
      <c r="AO31" s="574"/>
      <c r="AP31" s="574"/>
      <c r="AQ31" s="574"/>
      <c r="AR31" s="574"/>
      <c r="AS31" s="574"/>
      <c r="AT31" s="574"/>
      <c r="AU31" s="574"/>
      <c r="AV31" s="574"/>
      <c r="AW31" s="574"/>
      <c r="AX31" s="1172"/>
      <c r="AY31" s="1157"/>
    </row>
    <row r="32" ht="15.75" customHeight="1">
      <c r="A32" s="1173"/>
      <c r="B32" s="312">
        <v>1.0</v>
      </c>
      <c r="C32" s="313"/>
      <c r="D32" s="1174" t="s">
        <v>196</v>
      </c>
      <c r="E32" s="443">
        <v>3.0</v>
      </c>
      <c r="F32" s="1175"/>
      <c r="G32" s="1176"/>
      <c r="H32" s="1176"/>
      <c r="I32" s="1176"/>
      <c r="J32" s="1176"/>
      <c r="K32" s="1176"/>
      <c r="L32" s="1176"/>
      <c r="M32" s="1177">
        <v>3.0</v>
      </c>
      <c r="N32" s="1178"/>
      <c r="O32" s="1178"/>
      <c r="P32" s="1178"/>
      <c r="Q32" s="1178"/>
      <c r="R32" s="1178"/>
      <c r="S32" s="1179">
        <v>1.0</v>
      </c>
      <c r="T32" s="313"/>
      <c r="U32" s="1180" t="s">
        <v>564</v>
      </c>
      <c r="V32" s="321">
        <v>1.0</v>
      </c>
      <c r="W32" s="1181"/>
      <c r="X32" s="1042">
        <v>1.0</v>
      </c>
      <c r="Y32" s="1178"/>
      <c r="Z32" s="1178"/>
      <c r="AA32" s="1178"/>
      <c r="AB32" s="1178"/>
      <c r="AC32" s="1178"/>
      <c r="AD32" s="1179">
        <v>1.0</v>
      </c>
      <c r="AE32" s="313"/>
      <c r="AF32" s="324" t="s">
        <v>351</v>
      </c>
      <c r="AG32" s="325">
        <v>1.0</v>
      </c>
      <c r="AH32" s="1181"/>
      <c r="AI32" s="1042">
        <v>1.0</v>
      </c>
      <c r="AJ32" s="1182"/>
      <c r="AK32" s="1182"/>
      <c r="AL32" s="1182"/>
      <c r="AM32" s="1182"/>
      <c r="AN32" s="1183"/>
      <c r="AO32" s="181" t="s">
        <v>4</v>
      </c>
      <c r="AP32" s="181" t="s">
        <v>5</v>
      </c>
      <c r="AQ32" s="181" t="s">
        <v>6</v>
      </c>
      <c r="AR32" s="181" t="s">
        <v>7</v>
      </c>
      <c r="AS32" s="181" t="s">
        <v>8</v>
      </c>
      <c r="AT32" s="181" t="s">
        <v>14</v>
      </c>
      <c r="AU32" s="1184" t="s">
        <v>10</v>
      </c>
      <c r="AV32" s="1185" t="s">
        <v>11</v>
      </c>
      <c r="AW32" s="1186" t="s">
        <v>12</v>
      </c>
      <c r="AX32" s="1187" t="s">
        <v>13</v>
      </c>
      <c r="AY32" s="1019"/>
    </row>
    <row r="33" ht="15.75" customHeight="1">
      <c r="A33" s="1173"/>
      <c r="B33" s="1188">
        <v>2.0</v>
      </c>
      <c r="C33" s="334"/>
      <c r="D33" s="1189" t="s">
        <v>579</v>
      </c>
      <c r="E33" s="443">
        <v>3.0</v>
      </c>
      <c r="F33" s="1072"/>
      <c r="G33" s="1087"/>
      <c r="H33" s="1087"/>
      <c r="I33" s="1087"/>
      <c r="J33" s="1087"/>
      <c r="K33" s="1087"/>
      <c r="L33" s="1087"/>
      <c r="M33" s="1177">
        <v>3.0</v>
      </c>
      <c r="N33" s="1178"/>
      <c r="O33" s="1178"/>
      <c r="P33" s="1178"/>
      <c r="Q33" s="1178"/>
      <c r="R33" s="1178"/>
      <c r="S33" s="1190">
        <v>2.0</v>
      </c>
      <c r="T33" s="334"/>
      <c r="U33" s="1191" t="s">
        <v>388</v>
      </c>
      <c r="V33" s="321">
        <v>1.0</v>
      </c>
      <c r="W33" s="1181"/>
      <c r="X33" s="1042">
        <v>1.0</v>
      </c>
      <c r="Y33" s="1192"/>
      <c r="Z33" s="1192"/>
      <c r="AA33" s="1192"/>
      <c r="AB33" s="1192"/>
      <c r="AC33" s="1140"/>
      <c r="AD33" s="1179">
        <v>2.0</v>
      </c>
      <c r="AE33" s="313"/>
      <c r="AF33" s="324" t="s">
        <v>369</v>
      </c>
      <c r="AG33" s="325">
        <v>1.0</v>
      </c>
      <c r="AH33" s="1181"/>
      <c r="AI33" s="1042">
        <v>1.0</v>
      </c>
      <c r="AJ33" s="1182"/>
      <c r="AK33" s="1182"/>
      <c r="AL33" s="1182"/>
      <c r="AM33" s="1182"/>
      <c r="AN33" s="1183"/>
      <c r="AO33" s="222" t="s">
        <v>16</v>
      </c>
      <c r="AP33" s="225" t="s">
        <v>372</v>
      </c>
      <c r="AQ33" s="219"/>
      <c r="AR33" s="1193"/>
      <c r="AS33" s="1193"/>
      <c r="AT33" s="1194"/>
      <c r="AU33" s="1195"/>
      <c r="AV33" s="1196"/>
      <c r="AW33" s="1197"/>
      <c r="AX33" s="1198"/>
      <c r="AY33" s="765"/>
    </row>
    <row r="34" ht="15.75" customHeight="1">
      <c r="A34" s="1173"/>
      <c r="B34" s="1188">
        <v>3.0</v>
      </c>
      <c r="C34" s="334"/>
      <c r="D34" s="1189" t="s">
        <v>246</v>
      </c>
      <c r="E34" s="443">
        <v>3.0</v>
      </c>
      <c r="F34" s="1199"/>
      <c r="G34" s="1200"/>
      <c r="H34" s="1200"/>
      <c r="I34" s="1200"/>
      <c r="J34" s="1200"/>
      <c r="K34" s="1200"/>
      <c r="L34" s="1200"/>
      <c r="M34" s="1177">
        <v>3.0</v>
      </c>
      <c r="N34" s="1178"/>
      <c r="O34" s="1178"/>
      <c r="P34" s="1171"/>
      <c r="Q34" s="1178"/>
      <c r="R34" s="1178"/>
      <c r="S34" s="1190">
        <v>3.0</v>
      </c>
      <c r="T34" s="334"/>
      <c r="U34" s="1180" t="s">
        <v>55</v>
      </c>
      <c r="V34" s="1201">
        <v>1.0</v>
      </c>
      <c r="W34" s="1181"/>
      <c r="X34" s="1042">
        <v>1.0</v>
      </c>
      <c r="Y34" s="1192"/>
      <c r="Z34" s="1192"/>
      <c r="AA34" s="1192"/>
      <c r="AB34" s="1192"/>
      <c r="AC34" s="1140"/>
      <c r="AD34" s="1202">
        <v>3.0</v>
      </c>
      <c r="AE34" s="334"/>
      <c r="AF34" s="345" t="s">
        <v>346</v>
      </c>
      <c r="AG34" s="325">
        <v>1.0</v>
      </c>
      <c r="AH34" s="1203"/>
      <c r="AI34" s="1042">
        <v>1.0</v>
      </c>
      <c r="AJ34" s="1182"/>
      <c r="AK34" s="1182"/>
      <c r="AL34" s="1182"/>
      <c r="AM34" s="1182"/>
      <c r="AN34" s="1183"/>
      <c r="AO34" s="1204" t="s">
        <v>35</v>
      </c>
      <c r="AP34" s="347" t="s">
        <v>381</v>
      </c>
      <c r="AQ34" s="856"/>
      <c r="AR34" s="46"/>
      <c r="AS34" s="347"/>
      <c r="AT34" s="1205"/>
      <c r="AU34" s="753"/>
      <c r="AV34" s="1043"/>
      <c r="AW34" s="735"/>
      <c r="AX34" s="1032"/>
      <c r="AY34" s="765"/>
    </row>
    <row r="35" ht="15.75" customHeight="1">
      <c r="A35" s="1173"/>
      <c r="B35" s="352">
        <v>4.0</v>
      </c>
      <c r="C35" s="334"/>
      <c r="D35" s="1189" t="s">
        <v>27</v>
      </c>
      <c r="E35" s="443">
        <v>2.0</v>
      </c>
      <c r="F35" s="1199"/>
      <c r="G35" s="1200"/>
      <c r="H35" s="1200"/>
      <c r="I35" s="1200"/>
      <c r="J35" s="1200"/>
      <c r="K35" s="1200"/>
      <c r="L35" s="1200"/>
      <c r="M35" s="1177">
        <v>2.0</v>
      </c>
      <c r="N35" s="1178"/>
      <c r="O35" s="1178"/>
      <c r="P35" s="1178"/>
      <c r="Q35" s="1178"/>
      <c r="R35" s="1178"/>
      <c r="S35" s="1202">
        <v>4.0</v>
      </c>
      <c r="T35" s="334"/>
      <c r="U35" s="1206" t="s">
        <v>382</v>
      </c>
      <c r="V35" s="321">
        <v>1.0</v>
      </c>
      <c r="W35" s="1181"/>
      <c r="X35" s="1042">
        <v>1.0</v>
      </c>
      <c r="Y35" s="1207"/>
      <c r="Z35" s="1207"/>
      <c r="AA35" s="1207"/>
      <c r="AB35" s="1207"/>
      <c r="AC35" s="1208"/>
      <c r="AD35" s="1202">
        <v>4.0</v>
      </c>
      <c r="AE35" s="334"/>
      <c r="AF35" s="345" t="s">
        <v>450</v>
      </c>
      <c r="AG35" s="325">
        <v>1.0</v>
      </c>
      <c r="AH35" s="322"/>
      <c r="AI35" s="1042">
        <v>1.0</v>
      </c>
      <c r="AJ35" s="1042"/>
      <c r="AK35" s="1182"/>
      <c r="AL35" s="1182"/>
      <c r="AM35" s="1182"/>
      <c r="AN35" s="1183"/>
      <c r="AO35" s="1209" t="s">
        <v>53</v>
      </c>
      <c r="AP35" s="1210" t="s">
        <v>503</v>
      </c>
      <c r="AQ35" s="1211"/>
      <c r="AR35" s="731"/>
      <c r="AS35" s="731"/>
      <c r="AT35" s="1212"/>
      <c r="AU35" s="734"/>
      <c r="AV35" s="1043"/>
      <c r="AW35" s="735"/>
      <c r="AX35" s="1032"/>
      <c r="AY35" s="765"/>
    </row>
    <row r="36" ht="15.75" customHeight="1">
      <c r="A36" s="1173"/>
      <c r="B36" s="1188">
        <v>5.0</v>
      </c>
      <c r="C36" s="334"/>
      <c r="D36" s="1189" t="s">
        <v>171</v>
      </c>
      <c r="E36" s="443">
        <v>3.0</v>
      </c>
      <c r="F36" s="1199"/>
      <c r="G36" s="1200"/>
      <c r="H36" s="1200"/>
      <c r="I36" s="1200"/>
      <c r="J36" s="1200"/>
      <c r="K36" s="1200"/>
      <c r="L36" s="1200"/>
      <c r="M36" s="1177">
        <v>2.0</v>
      </c>
      <c r="N36" s="1213"/>
      <c r="O36" s="1213"/>
      <c r="P36" s="1213"/>
      <c r="Q36" s="1213"/>
      <c r="R36" s="1213"/>
      <c r="S36" s="1202">
        <v>5.0</v>
      </c>
      <c r="T36" s="334"/>
      <c r="U36" s="1206" t="s">
        <v>37</v>
      </c>
      <c r="V36" s="321">
        <v>1.0</v>
      </c>
      <c r="W36" s="1181"/>
      <c r="X36" s="1042">
        <v>1.0</v>
      </c>
      <c r="Y36" s="1207"/>
      <c r="Z36" s="1207"/>
      <c r="AA36" s="1207"/>
      <c r="AB36" s="1207"/>
      <c r="AC36" s="1208"/>
      <c r="AD36" s="1214">
        <v>5.0</v>
      </c>
      <c r="AE36" s="334"/>
      <c r="AF36" s="1215" t="s">
        <v>364</v>
      </c>
      <c r="AG36" s="325"/>
      <c r="AH36" s="1181"/>
      <c r="AI36" s="1042">
        <v>1.0</v>
      </c>
      <c r="AJ36" s="1182"/>
      <c r="AK36" s="1182"/>
      <c r="AL36" s="1182"/>
      <c r="AM36" s="1182"/>
      <c r="AN36" s="1183"/>
      <c r="AO36" s="382" t="s">
        <v>69</v>
      </c>
      <c r="AP36" s="1096" t="s">
        <v>389</v>
      </c>
      <c r="AQ36" s="130"/>
      <c r="AR36" s="764"/>
      <c r="AS36" s="766"/>
      <c r="AT36" s="83"/>
      <c r="AU36" s="753"/>
      <c r="AV36" s="1043"/>
      <c r="AW36" s="735"/>
      <c r="AX36" s="1032"/>
      <c r="AY36" s="765"/>
    </row>
    <row r="37" ht="15.75" customHeight="1">
      <c r="A37" s="1173"/>
      <c r="B37" s="1216">
        <v>6.0</v>
      </c>
      <c r="C37" s="334"/>
      <c r="D37" s="1217" t="s">
        <v>290</v>
      </c>
      <c r="E37" s="443">
        <v>3.0</v>
      </c>
      <c r="F37" s="1199"/>
      <c r="G37" s="1200"/>
      <c r="H37" s="1200"/>
      <c r="I37" s="1200"/>
      <c r="J37" s="1200"/>
      <c r="K37" s="1200"/>
      <c r="L37" s="1200"/>
      <c r="M37" s="1177">
        <v>2.0</v>
      </c>
      <c r="N37" s="1207"/>
      <c r="O37" s="1207"/>
      <c r="P37" s="1207"/>
      <c r="Q37" s="1207"/>
      <c r="R37" s="1207"/>
      <c r="S37" s="1202">
        <v>6.0</v>
      </c>
      <c r="T37" s="334"/>
      <c r="U37" s="1206" t="s">
        <v>408</v>
      </c>
      <c r="V37" s="321">
        <v>1.0</v>
      </c>
      <c r="W37" s="1203"/>
      <c r="X37" s="1042">
        <v>1.0</v>
      </c>
      <c r="Y37" s="1207"/>
      <c r="Z37" s="1207"/>
      <c r="AA37" s="1207"/>
      <c r="AB37" s="1207"/>
      <c r="AC37" s="1208"/>
      <c r="AD37" s="1214">
        <v>6.0</v>
      </c>
      <c r="AE37" s="334"/>
      <c r="AF37" s="1215"/>
      <c r="AG37" s="325"/>
      <c r="AH37" s="1181"/>
      <c r="AI37" s="1042"/>
      <c r="AJ37" s="1207"/>
      <c r="AK37" s="1207"/>
      <c r="AL37" s="1207"/>
      <c r="AM37" s="1207"/>
      <c r="AN37" s="1218"/>
      <c r="AO37" s="382" t="s">
        <v>84</v>
      </c>
      <c r="AP37" s="1096" t="s">
        <v>393</v>
      </c>
      <c r="AQ37" s="130"/>
      <c r="AR37" s="771"/>
      <c r="AS37" s="47"/>
      <c r="AT37" s="83"/>
      <c r="AU37" s="753"/>
      <c r="AV37" s="1043"/>
      <c r="AW37" s="735"/>
      <c r="AX37" s="1032"/>
      <c r="AY37" s="765"/>
    </row>
    <row r="38" ht="15.75" customHeight="1">
      <c r="A38" s="1173"/>
      <c r="B38" s="375">
        <v>7.0</v>
      </c>
      <c r="C38" s="334"/>
      <c r="D38" s="1217" t="s">
        <v>272</v>
      </c>
      <c r="E38" s="443">
        <v>2.0</v>
      </c>
      <c r="F38" s="1199"/>
      <c r="G38" s="1200"/>
      <c r="H38" s="1200"/>
      <c r="I38" s="1200"/>
      <c r="J38" s="1200"/>
      <c r="K38" s="1200"/>
      <c r="L38" s="1200"/>
      <c r="M38" s="1177">
        <v>2.0</v>
      </c>
      <c r="N38" s="1207"/>
      <c r="O38" s="1207"/>
      <c r="P38" s="1207"/>
      <c r="Q38" s="1207"/>
      <c r="R38" s="1207"/>
      <c r="S38" s="1214">
        <v>7.0</v>
      </c>
      <c r="T38" s="334"/>
      <c r="U38" s="118" t="s">
        <v>566</v>
      </c>
      <c r="V38" s="321">
        <v>1.0</v>
      </c>
      <c r="W38" s="1181"/>
      <c r="X38" s="1042">
        <v>1.0</v>
      </c>
      <c r="Y38" s="1207"/>
      <c r="Z38" s="1207"/>
      <c r="AA38" s="1207"/>
      <c r="AB38" s="1207"/>
      <c r="AC38" s="1208"/>
      <c r="AD38" s="1219" t="s">
        <v>397</v>
      </c>
      <c r="AE38" s="379"/>
      <c r="AF38" s="1220"/>
      <c r="AG38" s="1221">
        <f>SUM(AG32:AG37)</f>
        <v>4</v>
      </c>
      <c r="AH38" s="1042"/>
      <c r="AI38" s="1042"/>
      <c r="AJ38" s="1207"/>
      <c r="AK38" s="1207"/>
      <c r="AL38" s="1207"/>
      <c r="AM38" s="1207"/>
      <c r="AN38" s="1218"/>
      <c r="AO38" s="382" t="s">
        <v>256</v>
      </c>
      <c r="AP38" s="1222" t="s">
        <v>398</v>
      </c>
      <c r="AQ38" s="130"/>
      <c r="AR38" s="47"/>
      <c r="AS38" s="35"/>
      <c r="AT38" s="146"/>
      <c r="AU38" s="753"/>
      <c r="AV38" s="1043"/>
      <c r="AW38" s="735"/>
      <c r="AX38" s="1032"/>
      <c r="AY38" s="765"/>
    </row>
    <row r="39" ht="15.0" customHeight="1">
      <c r="A39" s="1173"/>
      <c r="B39" s="375">
        <v>8.0</v>
      </c>
      <c r="C39" s="334"/>
      <c r="D39" s="1217" t="s">
        <v>164</v>
      </c>
      <c r="E39" s="443">
        <v>3.0</v>
      </c>
      <c r="F39" s="1199"/>
      <c r="G39" s="1200"/>
      <c r="H39" s="1200"/>
      <c r="I39" s="1200"/>
      <c r="J39" s="1200"/>
      <c r="K39" s="1200"/>
      <c r="L39" s="1200"/>
      <c r="M39" s="1177">
        <v>3.0</v>
      </c>
      <c r="N39" s="1207"/>
      <c r="O39" s="1207"/>
      <c r="P39" s="1207"/>
      <c r="Q39" s="1207"/>
      <c r="R39" s="1207"/>
      <c r="S39" s="1214">
        <v>8.0</v>
      </c>
      <c r="T39" s="334"/>
      <c r="U39" s="118" t="s">
        <v>563</v>
      </c>
      <c r="V39" s="321"/>
      <c r="W39" s="1181"/>
      <c r="X39" s="1042">
        <v>1.0</v>
      </c>
      <c r="Y39" s="1182"/>
      <c r="Z39" s="1182"/>
      <c r="AA39" s="1182"/>
      <c r="AB39" s="1182"/>
      <c r="AC39" s="1223"/>
      <c r="AD39" s="1042"/>
      <c r="AE39" s="1042"/>
      <c r="AF39" s="1042"/>
      <c r="AG39" s="1042"/>
      <c r="AH39" s="1171"/>
      <c r="AI39" s="1171"/>
      <c r="AJ39" s="1182"/>
      <c r="AK39" s="1182"/>
      <c r="AL39" s="1182"/>
      <c r="AM39" s="1182"/>
      <c r="AN39" s="1183"/>
      <c r="AO39" s="1224" t="s">
        <v>98</v>
      </c>
      <c r="AP39" s="1222" t="s">
        <v>403</v>
      </c>
      <c r="AQ39" s="130"/>
      <c r="AR39" s="35"/>
      <c r="AS39" s="35"/>
      <c r="AT39" s="83"/>
      <c r="AU39" s="753"/>
      <c r="AV39" s="1043"/>
      <c r="AW39" s="735"/>
      <c r="AX39" s="1032"/>
      <c r="AY39" s="765"/>
    </row>
    <row r="40" ht="15.75" customHeight="1">
      <c r="A40" s="1225"/>
      <c r="B40" s="375">
        <v>9.0</v>
      </c>
      <c r="C40" s="334"/>
      <c r="D40" s="1217" t="s">
        <v>176</v>
      </c>
      <c r="E40" s="443">
        <v>2.0</v>
      </c>
      <c r="F40" s="1199"/>
      <c r="G40" s="1200"/>
      <c r="H40" s="1200"/>
      <c r="I40" s="1200"/>
      <c r="J40" s="1200"/>
      <c r="K40" s="1200"/>
      <c r="L40" s="1200"/>
      <c r="M40" s="1177">
        <v>2.0</v>
      </c>
      <c r="N40" s="1207"/>
      <c r="O40" s="1207"/>
      <c r="P40" s="1207"/>
      <c r="Q40" s="1207"/>
      <c r="R40" s="1207"/>
      <c r="S40" s="1226"/>
      <c r="T40" s="334"/>
      <c r="U40" s="1227"/>
      <c r="V40" s="1228"/>
      <c r="W40" s="1042"/>
      <c r="X40" s="1042"/>
      <c r="Y40" s="1207"/>
      <c r="Z40" s="1207"/>
      <c r="AA40" s="1207"/>
      <c r="AB40" s="1207"/>
      <c r="AC40" s="1208"/>
      <c r="AD40" s="1042"/>
      <c r="AE40" s="1042"/>
      <c r="AF40" s="1042"/>
      <c r="AG40" s="1042"/>
      <c r="AH40" s="1171"/>
      <c r="AI40" s="1171"/>
      <c r="AJ40" s="1207"/>
      <c r="AK40" s="1042"/>
      <c r="AL40" s="1207"/>
      <c r="AM40" s="1207"/>
      <c r="AN40" s="1218"/>
      <c r="AO40" s="1224" t="s">
        <v>118</v>
      </c>
      <c r="AP40" s="1085" t="s">
        <v>409</v>
      </c>
      <c r="AQ40" s="130"/>
      <c r="AR40" s="35"/>
      <c r="AS40" s="35"/>
      <c r="AT40" s="83"/>
      <c r="AU40" s="753"/>
      <c r="AV40" s="1043"/>
      <c r="AW40" s="735"/>
      <c r="AX40" s="1032"/>
      <c r="AY40" s="765"/>
    </row>
    <row r="41" ht="15.75" customHeight="1">
      <c r="A41" s="1173"/>
      <c r="B41" s="375">
        <v>10.0</v>
      </c>
      <c r="C41" s="334"/>
      <c r="D41" s="1217" t="s">
        <v>181</v>
      </c>
      <c r="E41" s="443">
        <v>3.0</v>
      </c>
      <c r="F41" s="1199">
        <v>2.0</v>
      </c>
      <c r="G41" s="1200"/>
      <c r="H41" s="1200"/>
      <c r="I41" s="1200"/>
      <c r="J41" s="1200"/>
      <c r="K41" s="1200"/>
      <c r="L41" s="1200"/>
      <c r="M41" s="1177">
        <v>2.0</v>
      </c>
      <c r="N41" s="1207"/>
      <c r="O41" s="1207"/>
      <c r="P41" s="1207"/>
      <c r="Q41" s="1207"/>
      <c r="R41" s="1207"/>
      <c r="S41" s="1226"/>
      <c r="T41" s="334"/>
      <c r="U41" s="1227"/>
      <c r="V41" s="1229"/>
      <c r="W41" s="1042"/>
      <c r="X41" s="1230"/>
      <c r="Y41" s="1207"/>
      <c r="Z41" s="1207"/>
      <c r="AA41" s="1207"/>
      <c r="AB41" s="1207"/>
      <c r="AC41" s="1208"/>
      <c r="AD41" s="1231"/>
      <c r="AE41" s="1231"/>
      <c r="AF41" s="1231"/>
      <c r="AG41" s="1231"/>
      <c r="AH41" s="1171"/>
      <c r="AI41" s="1171"/>
      <c r="AJ41" s="1207"/>
      <c r="AK41" s="1207"/>
      <c r="AL41" s="1207"/>
      <c r="AM41" s="1207"/>
      <c r="AN41" s="1218"/>
      <c r="AO41" s="1224" t="s">
        <v>136</v>
      </c>
      <c r="AP41" s="1085" t="s">
        <v>413</v>
      </c>
      <c r="AQ41" s="155"/>
      <c r="AR41" s="205"/>
      <c r="AS41" s="160"/>
      <c r="AT41" s="791"/>
      <c r="AU41" s="753"/>
      <c r="AV41" s="1043"/>
      <c r="AW41" s="735"/>
      <c r="AX41" s="1032"/>
      <c r="AY41" s="765"/>
    </row>
    <row r="42" ht="15.75" customHeight="1">
      <c r="A42" s="1173"/>
      <c r="B42" s="375">
        <v>11.0</v>
      </c>
      <c r="C42" s="334"/>
      <c r="D42" s="1217" t="s">
        <v>580</v>
      </c>
      <c r="E42" s="443">
        <v>2.0</v>
      </c>
      <c r="F42" s="1199"/>
      <c r="G42" s="1200"/>
      <c r="H42" s="1200"/>
      <c r="I42" s="1200"/>
      <c r="J42" s="1200"/>
      <c r="K42" s="1200"/>
      <c r="L42" s="1200"/>
      <c r="M42" s="1177">
        <v>2.0</v>
      </c>
      <c r="N42" s="1207"/>
      <c r="O42" s="1207"/>
      <c r="P42" s="1207"/>
      <c r="Q42" s="1207"/>
      <c r="R42" s="1207"/>
      <c r="S42" s="1232"/>
      <c r="T42" s="334"/>
      <c r="V42" s="317"/>
      <c r="W42" s="1154"/>
      <c r="X42" s="1230"/>
      <c r="Y42" s="1207"/>
      <c r="Z42" s="1207"/>
      <c r="AA42" s="1207"/>
      <c r="AB42" s="1207"/>
      <c r="AC42" s="1208"/>
      <c r="AD42" s="1233" t="s">
        <v>417</v>
      </c>
      <c r="AG42" s="413"/>
      <c r="AH42" s="1171" t="s">
        <v>378</v>
      </c>
      <c r="AI42" s="1234" t="s">
        <v>379</v>
      </c>
      <c r="AJ42" s="1207"/>
      <c r="AK42" s="1207"/>
      <c r="AL42" s="1207"/>
      <c r="AM42" s="1207"/>
      <c r="AN42" s="1218"/>
      <c r="AO42" s="1224" t="s">
        <v>153</v>
      </c>
      <c r="AP42" s="1085" t="s">
        <v>418</v>
      </c>
      <c r="AQ42" s="130"/>
      <c r="AR42" s="766"/>
      <c r="AS42" s="766"/>
      <c r="AT42" s="83"/>
      <c r="AU42" s="753"/>
      <c r="AV42" s="1043"/>
      <c r="AW42" s="735"/>
      <c r="AX42" s="1032"/>
      <c r="AY42" s="765"/>
    </row>
    <row r="43">
      <c r="A43" s="1173"/>
      <c r="B43" s="375">
        <v>12.0</v>
      </c>
      <c r="C43" s="334"/>
      <c r="D43" s="1217" t="s">
        <v>435</v>
      </c>
      <c r="E43" s="443">
        <v>1.0</v>
      </c>
      <c r="F43" s="1072"/>
      <c r="G43" s="1087"/>
      <c r="H43" s="1087"/>
      <c r="I43" s="1087"/>
      <c r="J43" s="1087"/>
      <c r="K43" s="1087"/>
      <c r="L43" s="1087"/>
      <c r="M43" s="1177">
        <v>1.0</v>
      </c>
      <c r="N43" s="1207"/>
      <c r="O43" s="1207"/>
      <c r="P43" s="1207"/>
      <c r="Q43" s="1207"/>
      <c r="R43" s="1207"/>
      <c r="S43" s="1232"/>
      <c r="T43" s="334"/>
      <c r="U43" s="1227"/>
      <c r="V43" s="317"/>
      <c r="W43" s="1235"/>
      <c r="X43" s="1235"/>
      <c r="Y43" s="1207"/>
      <c r="Z43" s="1207"/>
      <c r="AA43" s="1207"/>
      <c r="AB43" s="1207"/>
      <c r="AC43" s="1208"/>
      <c r="AD43" s="417"/>
      <c r="AG43" s="413"/>
      <c r="AI43" s="418"/>
      <c r="AJ43" s="1207"/>
      <c r="AK43" s="1207"/>
      <c r="AL43" s="1207"/>
      <c r="AM43" s="1207"/>
      <c r="AN43" s="1218"/>
      <c r="AO43" s="1224" t="s">
        <v>169</v>
      </c>
      <c r="AP43" s="1222" t="s">
        <v>422</v>
      </c>
      <c r="AQ43" s="1089"/>
      <c r="AR43" s="130"/>
      <c r="AS43" s="130"/>
      <c r="AT43" s="791"/>
      <c r="AU43" s="753"/>
      <c r="AV43" s="1043"/>
      <c r="AW43" s="735"/>
      <c r="AX43" s="1032"/>
      <c r="AY43" s="765"/>
    </row>
    <row r="44" ht="15.75" customHeight="1">
      <c r="A44" s="1173"/>
      <c r="B44" s="375">
        <v>13.0</v>
      </c>
      <c r="C44" s="334"/>
      <c r="D44" s="1217" t="s">
        <v>577</v>
      </c>
      <c r="E44" s="443">
        <v>2.0</v>
      </c>
      <c r="F44" s="1199"/>
      <c r="G44" s="1200"/>
      <c r="H44" s="1200"/>
      <c r="I44" s="1200"/>
      <c r="J44" s="1200"/>
      <c r="K44" s="1200"/>
      <c r="L44" s="1200"/>
      <c r="M44" s="1177">
        <v>2.0</v>
      </c>
      <c r="N44" s="1207"/>
      <c r="O44" s="1207"/>
      <c r="P44" s="1207"/>
      <c r="Q44" s="1207"/>
      <c r="R44" s="1207"/>
      <c r="S44" s="1232"/>
      <c r="T44" s="334"/>
      <c r="U44" s="1227"/>
      <c r="V44" s="317"/>
      <c r="W44" s="1042"/>
      <c r="X44" s="1230"/>
      <c r="Y44" s="1207"/>
      <c r="Z44" s="1207"/>
      <c r="AA44" s="1207"/>
      <c r="AB44" s="1207"/>
      <c r="AC44" s="1208"/>
      <c r="AD44" s="422"/>
      <c r="AE44" s="423"/>
      <c r="AF44" s="423"/>
      <c r="AG44" s="424"/>
      <c r="AH44" s="1171"/>
      <c r="AI44" s="1171"/>
      <c r="AJ44" s="1207"/>
      <c r="AK44" s="1207"/>
      <c r="AL44" s="1042" t="s">
        <v>424</v>
      </c>
      <c r="AM44" s="1207"/>
      <c r="AN44" s="1218"/>
      <c r="AO44" s="1236" t="s">
        <v>186</v>
      </c>
      <c r="AP44" s="1085" t="s">
        <v>425</v>
      </c>
      <c r="AQ44" s="1089"/>
      <c r="AR44" s="130"/>
      <c r="AS44" s="130"/>
      <c r="AT44" s="791"/>
      <c r="AU44" s="1075"/>
      <c r="AV44" s="1076"/>
      <c r="AW44" s="1077"/>
      <c r="AX44" s="1078"/>
      <c r="AY44" s="1079"/>
    </row>
    <row r="45" ht="15.75" customHeight="1">
      <c r="A45" s="1173"/>
      <c r="B45" s="375">
        <v>14.0</v>
      </c>
      <c r="C45" s="334"/>
      <c r="D45" s="1217" t="s">
        <v>130</v>
      </c>
      <c r="E45" s="443">
        <v>2.0</v>
      </c>
      <c r="F45" s="1199"/>
      <c r="G45" s="1200"/>
      <c r="H45" s="1200"/>
      <c r="I45" s="1200"/>
      <c r="J45" s="1200"/>
      <c r="K45" s="1200"/>
      <c r="L45" s="1200"/>
      <c r="M45" s="1177">
        <v>2.0</v>
      </c>
      <c r="N45" s="1042"/>
      <c r="O45" s="1042"/>
      <c r="P45" s="1042"/>
      <c r="Q45" s="1042"/>
      <c r="R45" s="1042"/>
      <c r="S45" s="1219" t="s">
        <v>397</v>
      </c>
      <c r="T45" s="379"/>
      <c r="U45" s="1237"/>
      <c r="V45" s="1221">
        <f>SUM(V32:V39)</f>
        <v>7</v>
      </c>
      <c r="W45" s="1042"/>
      <c r="X45" s="1230"/>
      <c r="Y45" s="1207"/>
      <c r="Z45" s="1207"/>
      <c r="AA45" s="1207"/>
      <c r="AB45" s="1207"/>
      <c r="AC45" s="1208"/>
      <c r="AD45" s="1238">
        <v>1.0</v>
      </c>
      <c r="AE45" s="1239"/>
      <c r="AF45" s="1240" t="s">
        <v>426</v>
      </c>
      <c r="AG45" s="438">
        <v>1.0</v>
      </c>
      <c r="AH45" s="1241"/>
      <c r="AI45" s="1042">
        <v>1.0</v>
      </c>
      <c r="AJ45" s="1207"/>
      <c r="AK45" s="1207"/>
      <c r="AL45" s="1207"/>
      <c r="AM45" s="1207"/>
      <c r="AN45" s="1218"/>
      <c r="AO45" s="1242" t="s">
        <v>212</v>
      </c>
      <c r="AP45" s="1052" t="s">
        <v>427</v>
      </c>
      <c r="AQ45" s="1089"/>
      <c r="AR45" s="1089"/>
      <c r="AS45" s="1089"/>
      <c r="AT45" s="791"/>
      <c r="AU45" s="1038"/>
      <c r="AV45" s="1039"/>
      <c r="AW45" s="1040"/>
      <c r="AX45" s="1041"/>
      <c r="AY45" s="887"/>
    </row>
    <row r="46" ht="15.75" customHeight="1">
      <c r="A46" s="1173"/>
      <c r="B46" s="1216">
        <v>15.0</v>
      </c>
      <c r="C46" s="334"/>
      <c r="D46" s="1217" t="s">
        <v>208</v>
      </c>
      <c r="E46" s="443">
        <v>2.0</v>
      </c>
      <c r="F46" s="1243"/>
      <c r="G46" s="1200"/>
      <c r="H46" s="1200"/>
      <c r="I46" s="1200"/>
      <c r="J46" s="1200"/>
      <c r="K46" s="1200"/>
      <c r="L46" s="1200"/>
      <c r="M46" s="1177">
        <v>2.0</v>
      </c>
      <c r="N46" s="1207"/>
      <c r="O46" s="1207"/>
      <c r="P46" s="1207"/>
      <c r="Q46" s="1207"/>
      <c r="R46" s="1207"/>
      <c r="S46" s="1244"/>
      <c r="T46" s="1245"/>
      <c r="U46" s="1246"/>
      <c r="V46" s="1208"/>
      <c r="W46" s="1154"/>
      <c r="X46" s="1230"/>
      <c r="Y46" s="1207"/>
      <c r="Z46" s="1207"/>
      <c r="AA46" s="1207"/>
      <c r="AB46" s="1207"/>
      <c r="AC46" s="1208"/>
      <c r="AD46" s="1247">
        <v>2.0</v>
      </c>
      <c r="AE46" s="334"/>
      <c r="AF46" s="751" t="s">
        <v>77</v>
      </c>
      <c r="AG46" s="1248">
        <v>1.0</v>
      </c>
      <c r="AH46" s="1249"/>
      <c r="AI46" s="1042">
        <v>1.0</v>
      </c>
      <c r="AJ46" s="1207"/>
      <c r="AK46" s="1207"/>
      <c r="AL46" s="1207"/>
      <c r="AM46" s="1207"/>
      <c r="AN46" s="1218"/>
      <c r="AO46" s="1242" t="s">
        <v>224</v>
      </c>
      <c r="AP46" s="1085" t="s">
        <v>428</v>
      </c>
      <c r="AQ46" s="1089"/>
      <c r="AR46" s="1089"/>
      <c r="AS46" s="1089"/>
      <c r="AT46" s="791"/>
      <c r="AU46" s="1038"/>
      <c r="AV46" s="1039"/>
      <c r="AW46" s="1040"/>
      <c r="AX46" s="1041"/>
      <c r="AY46" s="887"/>
    </row>
    <row r="47" ht="15.75" customHeight="1">
      <c r="A47" s="1173"/>
      <c r="B47" s="375">
        <v>16.0</v>
      </c>
      <c r="C47" s="334"/>
      <c r="D47" s="1217" t="s">
        <v>100</v>
      </c>
      <c r="E47" s="443">
        <v>3.0</v>
      </c>
      <c r="F47" s="1199"/>
      <c r="G47" s="1200"/>
      <c r="H47" s="1200"/>
      <c r="I47" s="1200"/>
      <c r="J47" s="1200"/>
      <c r="K47" s="1200"/>
      <c r="L47" s="1200"/>
      <c r="M47" s="1177">
        <v>3.0</v>
      </c>
      <c r="N47" s="1207"/>
      <c r="O47" s="1207"/>
      <c r="P47" s="1207"/>
      <c r="Q47" s="1207"/>
      <c r="R47" s="1207"/>
      <c r="S47" s="1250"/>
      <c r="T47" s="1213"/>
      <c r="U47" s="1246"/>
      <c r="V47" s="824"/>
      <c r="W47" s="1042"/>
      <c r="X47" s="1230"/>
      <c r="Y47" s="1207"/>
      <c r="Z47" s="1207"/>
      <c r="AA47" s="1207"/>
      <c r="AB47" s="1207"/>
      <c r="AC47" s="1208"/>
      <c r="AD47" s="1247">
        <v>3.0</v>
      </c>
      <c r="AE47" s="334"/>
      <c r="AF47" s="751" t="s">
        <v>86</v>
      </c>
      <c r="AG47" s="1248">
        <v>2.0</v>
      </c>
      <c r="AH47" s="1241"/>
      <c r="AI47" s="1042">
        <v>1.0</v>
      </c>
      <c r="AJ47" s="1207"/>
      <c r="AK47" s="1207"/>
      <c r="AL47" s="1207"/>
      <c r="AM47" s="1207"/>
      <c r="AN47" s="1218"/>
      <c r="AO47" s="1242" t="s">
        <v>239</v>
      </c>
      <c r="AP47" s="1052" t="s">
        <v>430</v>
      </c>
      <c r="AQ47" s="1089"/>
      <c r="AR47" s="1089"/>
      <c r="AS47" s="1089"/>
      <c r="AT47" s="791"/>
      <c r="AU47" s="1075"/>
      <c r="AV47" s="1076"/>
      <c r="AW47" s="1077"/>
      <c r="AX47" s="1078"/>
      <c r="AY47" s="1079"/>
    </row>
    <row r="48" ht="15.75" customHeight="1">
      <c r="A48" s="1251"/>
      <c r="B48" s="375">
        <v>17.0</v>
      </c>
      <c r="C48" s="334"/>
      <c r="D48" s="1217" t="s">
        <v>337</v>
      </c>
      <c r="E48" s="443">
        <v>2.0</v>
      </c>
      <c r="F48" s="1199"/>
      <c r="G48" s="1200"/>
      <c r="H48" s="1200"/>
      <c r="I48" s="1200"/>
      <c r="J48" s="1200"/>
      <c r="K48" s="1200"/>
      <c r="L48" s="1200"/>
      <c r="M48" s="1177">
        <v>2.0</v>
      </c>
      <c r="N48" s="1207"/>
      <c r="O48" s="1207"/>
      <c r="P48" s="1207"/>
      <c r="Q48" s="1207"/>
      <c r="R48" s="1207"/>
      <c r="S48" s="1091"/>
      <c r="T48" s="1213"/>
      <c r="U48" s="1252" t="s">
        <v>431</v>
      </c>
      <c r="V48" s="1208"/>
      <c r="W48" s="1042"/>
      <c r="X48" s="1230"/>
      <c r="Y48" s="1207"/>
      <c r="Z48" s="1207"/>
      <c r="AA48" s="1207"/>
      <c r="AB48" s="1207"/>
      <c r="AC48" s="1208"/>
      <c r="AD48" s="1247">
        <v>4.0</v>
      </c>
      <c r="AE48" s="334"/>
      <c r="AF48" s="1253" t="s">
        <v>436</v>
      </c>
      <c r="AG48" s="1248">
        <v>1.0</v>
      </c>
      <c r="AH48" s="1254"/>
      <c r="AI48" s="1042">
        <v>1.0</v>
      </c>
      <c r="AJ48" s="1207"/>
      <c r="AK48" s="1207"/>
      <c r="AL48" s="1207"/>
      <c r="AM48" s="1207"/>
      <c r="AN48" s="1218"/>
      <c r="AO48" s="1236" t="s">
        <v>256</v>
      </c>
      <c r="AP48" s="1255" t="s">
        <v>432</v>
      </c>
      <c r="AR48" s="1089"/>
      <c r="AS48" s="1089"/>
      <c r="AT48" s="1256"/>
      <c r="AU48" s="1038"/>
      <c r="AV48" s="1039"/>
      <c r="AW48" s="1040"/>
      <c r="AX48" s="1041"/>
      <c r="AY48" s="887"/>
    </row>
    <row r="49" ht="15.75" customHeight="1">
      <c r="A49" s="1251"/>
      <c r="B49" s="375">
        <v>18.0</v>
      </c>
      <c r="C49" s="334"/>
      <c r="D49" s="1217" t="s">
        <v>113</v>
      </c>
      <c r="E49" s="443">
        <v>3.0</v>
      </c>
      <c r="F49" s="1199"/>
      <c r="G49" s="1200"/>
      <c r="H49" s="1200"/>
      <c r="I49" s="1200"/>
      <c r="J49" s="1200"/>
      <c r="K49" s="1200"/>
      <c r="L49" s="1200"/>
      <c r="M49" s="1177">
        <v>2.0</v>
      </c>
      <c r="N49" s="1207"/>
      <c r="O49" s="1207"/>
      <c r="P49" s="1042"/>
      <c r="Q49" s="1042"/>
      <c r="R49" s="1207"/>
      <c r="S49" s="1244"/>
      <c r="T49" s="1213"/>
      <c r="U49" s="1246"/>
      <c r="V49" s="1223"/>
      <c r="W49" s="1042"/>
      <c r="X49" s="1230"/>
      <c r="Y49" s="1207"/>
      <c r="Z49" s="1207"/>
      <c r="AA49" s="1207"/>
      <c r="AB49" s="1207"/>
      <c r="AC49" s="1208"/>
      <c r="AD49" s="1247">
        <v>5.0</v>
      </c>
      <c r="AE49" s="334"/>
      <c r="AF49" s="749" t="s">
        <v>71</v>
      </c>
      <c r="AG49" s="438">
        <v>1.0</v>
      </c>
      <c r="AH49" s="1254"/>
      <c r="AI49" s="1042">
        <v>1.0</v>
      </c>
      <c r="AJ49" s="1207"/>
      <c r="AK49" s="1207"/>
      <c r="AL49" s="1207"/>
      <c r="AM49" s="1207"/>
      <c r="AN49" s="1218"/>
      <c r="AO49" s="1224" t="s">
        <v>276</v>
      </c>
      <c r="AP49" s="1096" t="s">
        <v>434</v>
      </c>
      <c r="AQ49" s="1089"/>
      <c r="AR49" s="1089"/>
      <c r="AS49" s="1089"/>
      <c r="AT49" s="1256"/>
      <c r="AU49" s="1038"/>
      <c r="AV49" s="1039"/>
      <c r="AW49" s="1040"/>
      <c r="AX49" s="1041"/>
      <c r="AY49" s="887"/>
    </row>
    <row r="50" ht="15.75" customHeight="1">
      <c r="A50" s="1173"/>
      <c r="B50" s="375">
        <v>19.0</v>
      </c>
      <c r="C50" s="334"/>
      <c r="D50" s="1217" t="s">
        <v>203</v>
      </c>
      <c r="E50" s="443">
        <v>2.0</v>
      </c>
      <c r="F50" s="1199"/>
      <c r="G50" s="1200"/>
      <c r="H50" s="1200"/>
      <c r="I50" s="1200"/>
      <c r="J50" s="1200"/>
      <c r="K50" s="1200"/>
      <c r="L50" s="1200"/>
      <c r="M50" s="1177">
        <v>2.0</v>
      </c>
      <c r="N50" s="1207"/>
      <c r="O50" s="1207"/>
      <c r="P50" s="1207"/>
      <c r="Q50" s="1207"/>
      <c r="R50" s="1207"/>
      <c r="S50" s="1244"/>
      <c r="T50" s="1245"/>
      <c r="U50" s="1257"/>
      <c r="V50" s="1223"/>
      <c r="W50" s="1223"/>
      <c r="X50" s="1230"/>
      <c r="Y50" s="1207"/>
      <c r="Z50" s="1207"/>
      <c r="AA50" s="1207"/>
      <c r="AB50" s="1207"/>
      <c r="AC50" s="1208"/>
      <c r="AD50" s="1258">
        <v>6.0</v>
      </c>
      <c r="AE50" s="334"/>
      <c r="AF50" s="1253" t="s">
        <v>568</v>
      </c>
      <c r="AG50" s="438"/>
      <c r="AH50" s="1241"/>
      <c r="AJ50" s="1207"/>
      <c r="AK50" s="1207"/>
      <c r="AL50" s="1207"/>
      <c r="AM50" s="1207"/>
      <c r="AN50" s="1218"/>
      <c r="AO50" s="1259" t="s">
        <v>284</v>
      </c>
      <c r="AP50" s="1260" t="s">
        <v>437</v>
      </c>
      <c r="AQ50" s="1261"/>
      <c r="AR50" s="1261"/>
      <c r="AS50" s="1261"/>
      <c r="AT50" s="1262"/>
      <c r="AU50" s="1263"/>
      <c r="AV50" s="1264"/>
      <c r="AW50" s="1265"/>
      <c r="AX50" s="1266"/>
      <c r="AY50" s="765"/>
    </row>
    <row r="51">
      <c r="A51" s="1173"/>
      <c r="B51" s="1216">
        <v>20.0</v>
      </c>
      <c r="C51" s="334"/>
      <c r="D51" s="1217" t="s">
        <v>429</v>
      </c>
      <c r="E51" s="433"/>
      <c r="F51" s="1199"/>
      <c r="G51" s="1200"/>
      <c r="H51" s="1200"/>
      <c r="I51" s="1200"/>
      <c r="J51" s="1200"/>
      <c r="K51" s="1200"/>
      <c r="L51" s="1200"/>
      <c r="M51" s="1177">
        <v>2.0</v>
      </c>
      <c r="N51" s="1207"/>
      <c r="O51" s="1207"/>
      <c r="P51" s="1207"/>
      <c r="Q51" s="1207"/>
      <c r="R51" s="1207"/>
      <c r="S51" s="1267" t="s">
        <v>438</v>
      </c>
      <c r="T51" s="3"/>
      <c r="U51" s="459"/>
      <c r="V51" s="1268">
        <f>(E66+V45+AG38+AG52)</f>
        <v>75</v>
      </c>
      <c r="W51" s="1223"/>
      <c r="X51" s="1230"/>
      <c r="Y51" s="1207"/>
      <c r="Z51" s="1207"/>
      <c r="AA51" s="1207"/>
      <c r="AB51" s="1207"/>
      <c r="AC51" s="1208"/>
      <c r="AD51" s="1258"/>
      <c r="AE51" s="334"/>
      <c r="AF51" s="1253"/>
      <c r="AG51" s="1269"/>
      <c r="AH51" s="1241"/>
      <c r="AI51" s="1208"/>
      <c r="AJ51" s="1207"/>
      <c r="AK51" s="1207"/>
      <c r="AL51" s="1207"/>
      <c r="AM51" s="1207"/>
      <c r="AN51" s="1208"/>
      <c r="AO51" s="368"/>
      <c r="AP51" s="190"/>
      <c r="AQ51" s="1042"/>
      <c r="AR51" s="824"/>
      <c r="AS51" s="824"/>
      <c r="AT51" s="824"/>
      <c r="AU51" s="887"/>
      <c r="AV51" s="887"/>
      <c r="AW51" s="887"/>
      <c r="AX51" s="887"/>
      <c r="AY51" s="887"/>
    </row>
    <row r="52" ht="15.75" customHeight="1">
      <c r="A52" s="1173"/>
      <c r="B52" s="375">
        <v>21.0</v>
      </c>
      <c r="C52" s="334"/>
      <c r="D52" s="1217" t="s">
        <v>407</v>
      </c>
      <c r="E52" s="433"/>
      <c r="F52" s="1199"/>
      <c r="G52" s="1200"/>
      <c r="H52" s="1200"/>
      <c r="I52" s="1200"/>
      <c r="J52" s="1200"/>
      <c r="K52" s="1200"/>
      <c r="L52" s="1200"/>
      <c r="M52" s="1177">
        <v>2.0</v>
      </c>
      <c r="N52" s="1207"/>
      <c r="O52" s="1207"/>
      <c r="P52" s="1207"/>
      <c r="Q52" s="1207"/>
      <c r="R52" s="1207"/>
      <c r="S52" s="422"/>
      <c r="T52" s="423"/>
      <c r="U52" s="424"/>
      <c r="V52" s="466"/>
      <c r="W52" s="1223"/>
      <c r="X52" s="1230"/>
      <c r="Y52" s="1207"/>
      <c r="Z52" s="1207"/>
      <c r="AA52" s="1207"/>
      <c r="AB52" s="1207"/>
      <c r="AC52" s="1208"/>
      <c r="AD52" s="1219" t="s">
        <v>397</v>
      </c>
      <c r="AE52" s="379"/>
      <c r="AF52" s="1220"/>
      <c r="AG52" s="1221">
        <f>SUM(AG45:AG51)</f>
        <v>6</v>
      </c>
      <c r="AH52" s="1208"/>
      <c r="AI52" s="1208"/>
      <c r="AJ52" s="1207"/>
      <c r="AK52" s="1207"/>
      <c r="AL52" s="1207"/>
      <c r="AM52" s="1207"/>
      <c r="AN52" s="1208"/>
      <c r="AO52" s="368"/>
      <c r="AP52" s="190"/>
      <c r="AQ52" s="824"/>
      <c r="AR52" s="824"/>
      <c r="AS52" s="824"/>
      <c r="AT52" s="824"/>
      <c r="AU52" s="887"/>
      <c r="AV52" s="887"/>
      <c r="AW52" s="765"/>
      <c r="AX52" s="765"/>
      <c r="AY52" s="765"/>
    </row>
    <row r="53" ht="15.0" customHeight="1">
      <c r="A53" s="1173"/>
      <c r="B53" s="1216">
        <v>22.0</v>
      </c>
      <c r="C53" s="334"/>
      <c r="D53" s="1217" t="s">
        <v>107</v>
      </c>
      <c r="E53" s="443">
        <v>2.0</v>
      </c>
      <c r="F53" s="1270"/>
      <c r="G53" s="1271"/>
      <c r="H53" s="1271"/>
      <c r="I53" s="1271"/>
      <c r="J53" s="1271"/>
      <c r="K53" s="1271"/>
      <c r="L53" s="1271"/>
      <c r="M53" s="1177">
        <v>2.0</v>
      </c>
      <c r="N53" s="1207"/>
      <c r="O53" s="1207"/>
      <c r="P53" s="1207"/>
      <c r="Q53" s="1207"/>
      <c r="R53" s="1207"/>
      <c r="S53" s="1244"/>
      <c r="T53" s="1213"/>
      <c r="V53" s="824"/>
      <c r="W53" s="1272"/>
      <c r="X53" s="1230"/>
      <c r="Y53" s="1207"/>
      <c r="Z53" s="1207"/>
      <c r="AA53" s="1207"/>
      <c r="AB53" s="1207"/>
      <c r="AC53" s="1208"/>
      <c r="AD53" s="1208"/>
      <c r="AE53" s="1208"/>
      <c r="AF53" s="1208"/>
      <c r="AG53" s="1208"/>
      <c r="AH53" s="1273"/>
      <c r="AI53" s="1273"/>
      <c r="AJ53" s="1207"/>
      <c r="AK53" s="1207"/>
      <c r="AL53" s="1207"/>
      <c r="AM53" s="1207"/>
      <c r="AN53" s="1208"/>
      <c r="AO53" s="368"/>
      <c r="AP53" s="190"/>
      <c r="AQ53" s="824"/>
      <c r="AR53" s="824"/>
      <c r="AS53" s="824"/>
      <c r="AT53" s="824"/>
      <c r="AU53" s="765"/>
      <c r="AV53" s="765"/>
      <c r="AW53" s="765"/>
      <c r="AX53" s="765"/>
      <c r="AY53" s="765"/>
    </row>
    <row r="54" ht="15.75" customHeight="1">
      <c r="A54" s="1173"/>
      <c r="B54" s="1216">
        <v>23.0</v>
      </c>
      <c r="C54" s="334"/>
      <c r="D54" s="1217" t="s">
        <v>230</v>
      </c>
      <c r="E54" s="443">
        <v>2.0</v>
      </c>
      <c r="F54" s="1199"/>
      <c r="G54" s="1200"/>
      <c r="H54" s="1200"/>
      <c r="I54" s="1200"/>
      <c r="J54" s="1200"/>
      <c r="K54" s="1200"/>
      <c r="L54" s="1200"/>
      <c r="M54" s="1177">
        <v>2.0</v>
      </c>
      <c r="N54" s="1207"/>
      <c r="O54" s="1207"/>
      <c r="P54" s="1207"/>
      <c r="Q54" s="1207"/>
      <c r="R54" s="1208"/>
      <c r="S54" s="1250"/>
      <c r="T54" s="1207"/>
      <c r="U54" s="1274"/>
      <c r="V54" s="1275"/>
      <c r="W54" s="1275"/>
      <c r="X54" s="1230"/>
      <c r="Y54" s="1207"/>
      <c r="Z54" s="1207"/>
      <c r="AA54" s="1207"/>
      <c r="AB54" s="1207"/>
      <c r="AC54" s="1208"/>
      <c r="AD54" s="1208"/>
      <c r="AE54" s="1208"/>
      <c r="AF54" s="1276"/>
      <c r="AG54" s="1208"/>
      <c r="AH54" s="1208"/>
      <c r="AI54" s="1208"/>
      <c r="AJ54" s="1207"/>
      <c r="AK54" s="1207"/>
      <c r="AL54" s="1207"/>
      <c r="AM54" s="1207"/>
      <c r="AN54" s="1208"/>
      <c r="AO54" s="368"/>
      <c r="AP54" s="190"/>
      <c r="AQ54" s="824"/>
      <c r="AR54" s="824"/>
      <c r="AS54" s="824"/>
      <c r="AT54" s="824"/>
      <c r="AU54" s="887"/>
      <c r="AV54" s="887"/>
      <c r="AW54" s="887"/>
      <c r="AX54" s="887"/>
      <c r="AY54" s="887"/>
    </row>
    <row r="55" ht="15.75" customHeight="1">
      <c r="A55" s="1173"/>
      <c r="B55" s="1216">
        <v>24.0</v>
      </c>
      <c r="C55" s="334"/>
      <c r="D55" s="1217" t="s">
        <v>278</v>
      </c>
      <c r="E55" s="443">
        <v>3.0</v>
      </c>
      <c r="F55" s="1199"/>
      <c r="G55" s="1200"/>
      <c r="H55" s="1200"/>
      <c r="I55" s="1200"/>
      <c r="J55" s="1200"/>
      <c r="K55" s="1200"/>
      <c r="L55" s="1200"/>
      <c r="M55" s="1177">
        <v>2.0</v>
      </c>
      <c r="N55" s="1207"/>
      <c r="O55" s="1207"/>
      <c r="P55" s="1207"/>
      <c r="Q55" s="1207"/>
      <c r="R55" s="1208"/>
      <c r="S55" s="1250"/>
      <c r="T55" s="1207"/>
      <c r="U55" s="1274"/>
      <c r="V55" s="1272"/>
      <c r="W55" s="1275"/>
      <c r="X55" s="1230"/>
      <c r="Y55" s="1207"/>
      <c r="Z55" s="1207"/>
      <c r="AA55" s="1207"/>
      <c r="AB55" s="1207"/>
      <c r="AC55" s="1208"/>
      <c r="AD55" s="1208"/>
      <c r="AE55" s="1208"/>
      <c r="AF55" s="1208"/>
      <c r="AG55" s="1208"/>
      <c r="AH55" s="1208"/>
      <c r="AI55" s="1208"/>
      <c r="AJ55" s="1207"/>
      <c r="AK55" s="1178"/>
      <c r="AL55" s="1207"/>
      <c r="AM55" s="1207"/>
      <c r="AN55" s="1208"/>
      <c r="AO55" s="368"/>
      <c r="AP55" s="190"/>
      <c r="AQ55" s="824"/>
      <c r="AR55" s="824"/>
      <c r="AS55" s="824"/>
      <c r="AT55" s="824"/>
      <c r="AU55" s="887"/>
      <c r="AV55" s="887"/>
      <c r="AW55" s="887"/>
      <c r="AX55" s="887"/>
      <c r="AY55" s="887"/>
    </row>
    <row r="56" ht="15.75" customHeight="1">
      <c r="A56" s="1173"/>
      <c r="B56" s="1277">
        <v>25.0</v>
      </c>
      <c r="C56" s="334"/>
      <c r="D56" s="182" t="s">
        <v>576</v>
      </c>
      <c r="E56" s="443">
        <v>2.0</v>
      </c>
      <c r="F56" s="1199"/>
      <c r="G56" s="1200"/>
      <c r="H56" s="1200"/>
      <c r="I56" s="1200"/>
      <c r="J56" s="1200"/>
      <c r="K56" s="1200"/>
      <c r="L56" s="1200"/>
      <c r="M56" s="1177">
        <v>2.0</v>
      </c>
      <c r="N56" s="1207"/>
      <c r="O56" s="1207"/>
      <c r="P56" s="1207"/>
      <c r="Q56" s="1207"/>
      <c r="R56" s="1208"/>
      <c r="S56" s="1250"/>
      <c r="T56" s="1207"/>
      <c r="U56" s="1274"/>
      <c r="V56" s="1207"/>
      <c r="W56" s="1207"/>
      <c r="X56" s="1230"/>
      <c r="Y56" s="1207"/>
      <c r="Z56" s="1207"/>
      <c r="AA56" s="1207"/>
      <c r="AB56" s="1207"/>
      <c r="AC56" s="1207"/>
      <c r="AD56" s="1207"/>
      <c r="AE56" s="1207"/>
      <c r="AF56" s="1207"/>
      <c r="AG56" s="1208"/>
      <c r="AH56" s="1208"/>
      <c r="AI56" s="1208"/>
      <c r="AJ56" s="1207"/>
      <c r="AK56" s="1207"/>
      <c r="AL56" s="1207"/>
      <c r="AM56" s="1207"/>
      <c r="AN56" s="1208"/>
      <c r="AO56" s="368"/>
      <c r="AP56" s="190"/>
      <c r="AQ56" s="824"/>
      <c r="AR56" s="824"/>
      <c r="AS56" s="824"/>
      <c r="AT56" s="824"/>
      <c r="AU56" s="887"/>
      <c r="AV56" s="887"/>
      <c r="AW56" s="887"/>
      <c r="AX56" s="887"/>
      <c r="AY56" s="887"/>
    </row>
    <row r="57" ht="15.75" customHeight="1">
      <c r="A57" s="1173"/>
      <c r="B57" s="1277">
        <v>26.0</v>
      </c>
      <c r="C57" s="334"/>
      <c r="D57" s="182" t="s">
        <v>583</v>
      </c>
      <c r="E57" s="443">
        <v>2.0</v>
      </c>
      <c r="F57" s="1199"/>
      <c r="G57" s="1200"/>
      <c r="H57" s="1200"/>
      <c r="I57" s="1200"/>
      <c r="J57" s="1200"/>
      <c r="K57" s="1200"/>
      <c r="L57" s="1200"/>
      <c r="M57" s="1177">
        <v>2.0</v>
      </c>
      <c r="N57" s="1207"/>
      <c r="O57" s="1207"/>
      <c r="P57" s="1207"/>
      <c r="Q57" s="1207"/>
      <c r="R57" s="1208"/>
      <c r="S57" s="1213"/>
      <c r="T57" s="1207"/>
      <c r="U57" s="1274"/>
      <c r="V57" s="1275"/>
      <c r="W57" s="1275"/>
      <c r="X57" s="1278"/>
      <c r="Y57" s="1207"/>
      <c r="Z57" s="1207"/>
      <c r="AA57" s="1207"/>
      <c r="AB57" s="1207"/>
      <c r="AC57" s="1208"/>
      <c r="AD57" s="1208"/>
      <c r="AE57" s="1208"/>
      <c r="AF57" s="1208"/>
      <c r="AG57" s="1208"/>
      <c r="AH57" s="1208"/>
      <c r="AI57" s="1279"/>
      <c r="AJ57" s="1207"/>
      <c r="AK57" s="1207"/>
      <c r="AL57" s="1207"/>
      <c r="AM57" s="1207"/>
      <c r="AN57" s="1208"/>
      <c r="AO57" s="368"/>
      <c r="AP57" s="190"/>
      <c r="AQ57" s="824"/>
      <c r="AR57" s="824"/>
      <c r="AS57" s="1152"/>
      <c r="AT57" s="824"/>
      <c r="AU57" s="887"/>
      <c r="AV57" s="887"/>
      <c r="AW57" s="887"/>
      <c r="AX57" s="887"/>
      <c r="AY57" s="887"/>
    </row>
    <row r="58" ht="15.75" customHeight="1">
      <c r="A58" s="1280"/>
      <c r="B58" s="1277">
        <v>27.0</v>
      </c>
      <c r="C58" s="334"/>
      <c r="D58" s="182" t="s">
        <v>584</v>
      </c>
      <c r="E58" s="443">
        <v>1.0</v>
      </c>
      <c r="F58" s="1199"/>
      <c r="G58" s="1200"/>
      <c r="H58" s="1200"/>
      <c r="I58" s="1200"/>
      <c r="J58" s="1200"/>
      <c r="K58" s="1200"/>
      <c r="L58" s="1200"/>
      <c r="M58" s="1177">
        <v>2.0</v>
      </c>
      <c r="N58" s="1207"/>
      <c r="O58" s="1207"/>
      <c r="P58" s="1207"/>
      <c r="Q58" s="1207"/>
      <c r="R58" s="1208"/>
      <c r="S58" s="1213"/>
      <c r="T58" s="1042" t="s">
        <v>424</v>
      </c>
      <c r="U58" s="1274"/>
      <c r="V58" s="1275"/>
      <c r="W58" s="1275"/>
      <c r="X58" s="1275"/>
      <c r="Y58" s="1207"/>
      <c r="Z58" s="1207"/>
      <c r="AA58" s="1207"/>
      <c r="AB58" s="1207"/>
      <c r="AC58" s="1208"/>
      <c r="AD58" s="1208"/>
      <c r="AE58" s="1208"/>
      <c r="AF58" s="1208"/>
      <c r="AG58" s="1208"/>
      <c r="AH58" s="1208"/>
      <c r="AI58" s="1208"/>
      <c r="AJ58" s="1207"/>
      <c r="AK58" s="1207"/>
      <c r="AL58" s="1207"/>
      <c r="AM58" s="1207"/>
      <c r="AN58" s="1208"/>
      <c r="AO58" s="368"/>
      <c r="AP58" s="190"/>
      <c r="AQ58" s="824"/>
      <c r="AR58" s="824"/>
      <c r="AS58" s="824"/>
      <c r="AT58" s="824"/>
      <c r="AU58" s="1281"/>
      <c r="AV58" s="1281"/>
      <c r="AW58" s="1281"/>
      <c r="AX58" s="1281"/>
      <c r="AY58" s="1281"/>
    </row>
    <row r="59" ht="15.75" customHeight="1">
      <c r="A59" s="69"/>
      <c r="B59" s="1277">
        <v>28.0</v>
      </c>
      <c r="C59" s="334"/>
      <c r="D59" s="471"/>
      <c r="E59" s="443"/>
      <c r="F59" s="1072"/>
      <c r="G59" s="1087"/>
      <c r="H59" s="1087"/>
      <c r="I59" s="1087"/>
      <c r="J59" s="1087"/>
      <c r="K59" s="1087"/>
      <c r="L59" s="1087"/>
      <c r="M59" s="1282"/>
      <c r="N59" s="1207"/>
      <c r="O59" s="1207"/>
      <c r="P59" s="1207"/>
      <c r="Q59" s="1207"/>
      <c r="R59" s="1208"/>
      <c r="S59" s="1283"/>
      <c r="T59" s="1284"/>
      <c r="U59" s="1235"/>
      <c r="V59" s="1272" t="s">
        <v>424</v>
      </c>
      <c r="W59" s="1285"/>
      <c r="X59" s="1275"/>
      <c r="Y59" s="1207"/>
      <c r="Z59" s="1207"/>
      <c r="AA59" s="1207"/>
      <c r="AB59" s="1207"/>
      <c r="AC59" s="1208"/>
      <c r="AD59" s="1208"/>
      <c r="AE59" s="1208"/>
      <c r="AF59" s="1208"/>
      <c r="AG59" s="1208"/>
      <c r="AH59" s="1208"/>
      <c r="AI59" s="1208"/>
      <c r="AJ59" s="1207"/>
      <c r="AK59" s="1207"/>
      <c r="AL59" s="1207"/>
      <c r="AM59" s="1207"/>
      <c r="AN59" s="1208"/>
      <c r="AO59" s="368"/>
      <c r="AP59" s="190"/>
      <c r="AQ59" s="824"/>
      <c r="AR59" s="824"/>
      <c r="AS59" s="824"/>
      <c r="AT59" s="1281"/>
      <c r="AU59" s="1281"/>
      <c r="AV59" s="1281"/>
      <c r="AW59" s="1281"/>
      <c r="AX59" s="1281"/>
      <c r="AY59" s="1281"/>
    </row>
    <row r="60" ht="15.75" customHeight="1">
      <c r="A60" s="69"/>
      <c r="B60" s="1277"/>
      <c r="C60" s="334"/>
      <c r="D60" s="471"/>
      <c r="E60" s="443"/>
      <c r="F60" s="1199"/>
      <c r="G60" s="1200"/>
      <c r="H60" s="1200"/>
      <c r="I60" s="1200"/>
      <c r="J60" s="1200"/>
      <c r="K60" s="1200"/>
      <c r="L60" s="1200"/>
      <c r="M60" s="1282"/>
      <c r="N60" s="1207"/>
      <c r="O60" s="1207"/>
      <c r="P60" s="1207"/>
      <c r="Q60" s="1207"/>
      <c r="R60" s="1208"/>
      <c r="S60" s="1286"/>
      <c r="T60" s="1287"/>
      <c r="U60" s="1274"/>
      <c r="V60" s="1272" t="s">
        <v>424</v>
      </c>
      <c r="W60" s="1275"/>
      <c r="X60" s="1275"/>
      <c r="Y60" s="1207"/>
      <c r="Z60" s="1207"/>
      <c r="AA60" s="1207"/>
      <c r="AB60" s="1207"/>
      <c r="AC60" s="1208"/>
      <c r="AD60" s="1208"/>
      <c r="AE60" s="1208"/>
      <c r="AF60" s="1208"/>
      <c r="AG60" s="1208"/>
      <c r="AH60" s="1208"/>
      <c r="AI60" s="1276"/>
      <c r="AJ60" s="1207"/>
      <c r="AK60" s="1207"/>
      <c r="AL60" s="1207"/>
      <c r="AM60" s="1207"/>
      <c r="AN60" s="1208"/>
      <c r="AO60" s="368"/>
      <c r="AP60" s="190"/>
      <c r="AQ60" s="824"/>
      <c r="AR60" s="824"/>
      <c r="AS60" s="824"/>
      <c r="AT60" s="1281"/>
      <c r="AU60" s="1281"/>
      <c r="AV60" s="1281"/>
      <c r="AW60" s="1281"/>
      <c r="AX60" s="1281"/>
      <c r="AY60" s="1281"/>
    </row>
    <row r="61" ht="15.75" customHeight="1">
      <c r="A61" s="1"/>
      <c r="B61" s="184"/>
      <c r="C61" s="334"/>
      <c r="D61" s="130"/>
      <c r="E61" s="1288"/>
      <c r="F61" s="1199"/>
      <c r="G61" s="1200"/>
      <c r="H61" s="1200"/>
      <c r="I61" s="1200"/>
      <c r="J61" s="1200"/>
      <c r="K61" s="1200"/>
      <c r="L61" s="1200"/>
      <c r="M61" s="1282"/>
      <c r="N61" s="1207"/>
      <c r="O61" s="1207"/>
      <c r="P61" s="1207"/>
      <c r="Q61" s="1207"/>
      <c r="R61" s="1208"/>
      <c r="S61" s="1286"/>
      <c r="T61" s="1284"/>
      <c r="U61" s="1274"/>
      <c r="V61" s="1275"/>
      <c r="W61" s="1275"/>
      <c r="X61" s="1275"/>
      <c r="Y61" s="1207"/>
      <c r="Z61" s="1207"/>
      <c r="AA61" s="1207"/>
      <c r="AB61" s="1207"/>
      <c r="AC61" s="1208"/>
      <c r="AD61" s="1208"/>
      <c r="AE61" s="1208"/>
      <c r="AF61" s="824"/>
      <c r="AG61" s="1208"/>
      <c r="AH61" s="1208"/>
      <c r="AI61" s="1208"/>
      <c r="AJ61" s="1207"/>
      <c r="AK61" s="1207"/>
      <c r="AL61" s="1207"/>
      <c r="AM61" s="1207"/>
      <c r="AN61" s="1208"/>
      <c r="AO61" s="368"/>
      <c r="AP61" s="190"/>
      <c r="AQ61" s="824"/>
      <c r="AR61" s="824"/>
      <c r="AS61" s="824"/>
      <c r="AT61" s="1281"/>
      <c r="AU61" s="1281"/>
      <c r="AV61" s="1281"/>
      <c r="AW61" s="1281"/>
      <c r="AX61" s="1281"/>
      <c r="AY61" s="1281"/>
    </row>
    <row r="62" ht="15.75" customHeight="1">
      <c r="A62" s="1"/>
      <c r="B62" s="184"/>
      <c r="C62" s="334"/>
      <c r="D62" s="1089"/>
      <c r="E62" s="1288"/>
      <c r="F62" s="1199"/>
      <c r="G62" s="1200"/>
      <c r="H62" s="1200"/>
      <c r="I62" s="1200"/>
      <c r="J62" s="1200"/>
      <c r="K62" s="1200"/>
      <c r="L62" s="1200"/>
      <c r="M62" s="1282"/>
      <c r="N62" s="1207"/>
      <c r="O62" s="1207"/>
      <c r="P62" s="1207"/>
      <c r="Q62" s="1207"/>
      <c r="R62" s="1208"/>
      <c r="S62" s="1250"/>
      <c r="T62" s="1207"/>
      <c r="U62" s="1274"/>
      <c r="V62" s="1275"/>
      <c r="W62" s="1275"/>
      <c r="X62" s="1289"/>
      <c r="Y62" s="1207"/>
      <c r="Z62" s="1207"/>
      <c r="AA62" s="1207"/>
      <c r="AB62" s="1207"/>
      <c r="AC62" s="1208"/>
      <c r="AD62" s="1208"/>
      <c r="AE62" s="1208"/>
      <c r="AF62" s="1208"/>
      <c r="AG62" s="1208"/>
      <c r="AH62" s="1208"/>
      <c r="AI62" s="1208"/>
      <c r="AJ62" s="1207"/>
      <c r="AK62" s="1207"/>
      <c r="AL62" s="1207"/>
      <c r="AM62" s="1207"/>
      <c r="AN62" s="1208"/>
      <c r="AO62" s="368"/>
      <c r="AP62" s="190"/>
      <c r="AQ62" s="824"/>
      <c r="AR62" s="824"/>
      <c r="AS62" s="824"/>
      <c r="AT62" s="1281"/>
      <c r="AU62" s="1281"/>
      <c r="AV62" s="1281"/>
      <c r="AW62" s="1281"/>
      <c r="AX62" s="1281"/>
      <c r="AY62" s="1281"/>
    </row>
    <row r="63" ht="15.75" customHeight="1">
      <c r="A63" s="1"/>
      <c r="B63" s="184"/>
      <c r="C63" s="334"/>
      <c r="D63" s="1089"/>
      <c r="E63" s="1288"/>
      <c r="F63" s="1199"/>
      <c r="G63" s="1200"/>
      <c r="H63" s="1200"/>
      <c r="I63" s="1200"/>
      <c r="J63" s="1200"/>
      <c r="K63" s="1200"/>
      <c r="L63" s="1200"/>
      <c r="M63" s="1282"/>
      <c r="N63" s="1207"/>
      <c r="O63" s="1207"/>
      <c r="P63" s="1207"/>
      <c r="Q63" s="1207"/>
      <c r="R63" s="1208"/>
      <c r="S63" s="1250"/>
      <c r="T63" s="1207"/>
      <c r="U63" s="1274"/>
      <c r="V63" s="1275"/>
      <c r="W63" s="1275"/>
      <c r="X63" s="1272"/>
      <c r="Y63" s="1207"/>
      <c r="Z63" s="1207"/>
      <c r="AA63" s="1207"/>
      <c r="AB63" s="1207"/>
      <c r="AC63" s="1208"/>
      <c r="AD63" s="1208"/>
      <c r="AE63" s="1208"/>
      <c r="AF63" s="1208"/>
      <c r="AG63" s="1208"/>
      <c r="AH63" s="1042"/>
      <c r="AI63" s="1208"/>
      <c r="AJ63" s="1207"/>
      <c r="AK63" s="1207"/>
      <c r="AL63" s="1207"/>
      <c r="AM63" s="1207"/>
      <c r="AN63" s="1208"/>
      <c r="AO63" s="368"/>
      <c r="AP63" s="190"/>
      <c r="AQ63" s="824"/>
      <c r="AR63" s="824"/>
      <c r="AS63" s="824"/>
      <c r="AT63" s="1281"/>
      <c r="AU63" s="1281"/>
      <c r="AV63" s="1281"/>
      <c r="AW63" s="1281"/>
      <c r="AX63" s="1281"/>
      <c r="AY63" s="1281"/>
    </row>
    <row r="64" ht="15.75" customHeight="1">
      <c r="A64" s="1"/>
      <c r="B64" s="184"/>
      <c r="C64" s="334"/>
      <c r="D64" s="1290"/>
      <c r="E64" s="1288"/>
      <c r="F64" s="1199"/>
      <c r="G64" s="1200"/>
      <c r="H64" s="1200"/>
      <c r="I64" s="1200"/>
      <c r="J64" s="1200"/>
      <c r="K64" s="1200"/>
      <c r="L64" s="1200"/>
      <c r="M64" s="1282"/>
      <c r="N64" s="1207"/>
      <c r="O64" s="1207"/>
      <c r="P64" s="1207"/>
      <c r="Q64" s="1207"/>
      <c r="R64" s="1208"/>
      <c r="S64" s="1250"/>
      <c r="T64" s="1207"/>
      <c r="U64" s="1274"/>
      <c r="V64" s="1275"/>
      <c r="W64" s="1275"/>
      <c r="X64" s="1272"/>
      <c r="Y64" s="1207"/>
      <c r="Z64" s="1207"/>
      <c r="AA64" s="1207"/>
      <c r="AB64" s="1207"/>
      <c r="AC64" s="1208"/>
      <c r="AD64" s="1208"/>
      <c r="AE64" s="1208"/>
      <c r="AF64" s="1208"/>
      <c r="AG64" s="1208"/>
      <c r="AH64" s="1042"/>
      <c r="AI64" s="1208"/>
      <c r="AJ64" s="1207"/>
      <c r="AK64" s="1207"/>
      <c r="AL64" s="1207"/>
      <c r="AM64" s="1207"/>
      <c r="AN64" s="1208"/>
      <c r="AO64" s="368"/>
      <c r="AP64" s="190"/>
      <c r="AQ64" s="824"/>
      <c r="AR64" s="824"/>
      <c r="AS64" s="824"/>
      <c r="AT64" s="1281"/>
      <c r="AU64" s="1281"/>
      <c r="AV64" s="1281"/>
      <c r="AW64" s="1281"/>
      <c r="AX64" s="1281"/>
      <c r="AY64" s="1281"/>
    </row>
    <row r="65" ht="15.75" customHeight="1">
      <c r="A65" s="1"/>
      <c r="B65" s="184"/>
      <c r="C65" s="334"/>
      <c r="D65" s="1291"/>
      <c r="E65" s="1288"/>
      <c r="F65" s="1199"/>
      <c r="G65" s="1200"/>
      <c r="H65" s="1200"/>
      <c r="I65" s="1200"/>
      <c r="J65" s="1200"/>
      <c r="K65" s="1200"/>
      <c r="L65" s="1200"/>
      <c r="M65" s="1282"/>
      <c r="N65" s="1207"/>
      <c r="O65" s="1207"/>
      <c r="P65" s="1207"/>
      <c r="Q65" s="1207"/>
      <c r="R65" s="1208"/>
      <c r="S65" s="1250"/>
      <c r="T65" s="1207"/>
      <c r="U65" s="1235"/>
      <c r="V65" s="1275"/>
      <c r="W65" s="1275"/>
      <c r="X65" s="1272"/>
      <c r="Y65" s="1207"/>
      <c r="Z65" s="1207"/>
      <c r="AA65" s="1207"/>
      <c r="AB65" s="1207"/>
      <c r="AC65" s="1208"/>
      <c r="AD65" s="1208"/>
      <c r="AE65" s="1208"/>
      <c r="AF65" s="1208"/>
      <c r="AG65" s="1208"/>
      <c r="AH65" s="1042"/>
      <c r="AI65" s="1208"/>
      <c r="AJ65" s="1207"/>
      <c r="AK65" s="1207"/>
      <c r="AL65" s="1207"/>
      <c r="AM65" s="1207"/>
      <c r="AN65" s="1208"/>
      <c r="AO65" s="368"/>
      <c r="AP65" s="190"/>
      <c r="AQ65" s="824"/>
      <c r="AR65" s="824"/>
      <c r="AS65" s="824"/>
      <c r="AT65" s="1281"/>
      <c r="AU65" s="1281"/>
      <c r="AV65" s="1281"/>
      <c r="AW65" s="1281"/>
      <c r="AX65" s="1281"/>
      <c r="AY65" s="1281"/>
    </row>
    <row r="66" ht="15.75" customHeight="1">
      <c r="A66" s="486"/>
      <c r="B66" s="1292" t="s">
        <v>397</v>
      </c>
      <c r="C66" s="379"/>
      <c r="D66" s="1293"/>
      <c r="E66" s="1294">
        <f>SUM(E32:E65)</f>
        <v>58</v>
      </c>
      <c r="F66" s="1295"/>
      <c r="G66" s="1295"/>
      <c r="H66" s="1295"/>
      <c r="I66" s="1295"/>
      <c r="J66" s="1295"/>
      <c r="K66" s="1295"/>
      <c r="L66" s="1295"/>
      <c r="M66" s="1296"/>
      <c r="N66" s="873"/>
      <c r="O66" s="873"/>
      <c r="P66" s="873"/>
      <c r="Q66" s="873"/>
      <c r="R66" s="873"/>
      <c r="S66" s="1297"/>
      <c r="T66" s="873"/>
      <c r="U66" s="1298"/>
      <c r="V66" s="874"/>
      <c r="W66" s="874"/>
      <c r="X66" s="1299"/>
      <c r="Y66" s="874"/>
      <c r="Z66" s="874"/>
      <c r="AA66" s="874"/>
      <c r="AB66" s="874"/>
      <c r="AC66" s="874"/>
      <c r="AD66" s="874"/>
      <c r="AE66" s="874"/>
      <c r="AF66" s="1300"/>
      <c r="AG66" s="874"/>
      <c r="AH66" s="874"/>
      <c r="AI66" s="874"/>
      <c r="AJ66" s="874"/>
      <c r="AK66" s="874"/>
      <c r="AL66" s="874"/>
      <c r="AM66" s="874"/>
      <c r="AN66" s="874"/>
      <c r="AO66" s="490"/>
      <c r="AP66" s="490"/>
      <c r="AQ66" s="490"/>
      <c r="AR66" s="490"/>
      <c r="AS66" s="490"/>
      <c r="AT66" s="490"/>
      <c r="AU66" s="490"/>
      <c r="AV66" s="490"/>
      <c r="AW66" s="490"/>
      <c r="AX66" s="490"/>
      <c r="AY66" s="318"/>
    </row>
    <row r="67" ht="15.75" customHeight="1">
      <c r="A67" s="1245"/>
      <c r="B67" s="1301"/>
      <c r="C67" s="1301"/>
      <c r="D67" s="1302"/>
      <c r="E67" s="1303"/>
      <c r="F67" s="1304"/>
      <c r="G67" s="1304"/>
      <c r="H67" s="1304"/>
      <c r="I67" s="1304"/>
      <c r="J67" s="1304"/>
      <c r="K67" s="1304"/>
      <c r="L67" s="1304"/>
      <c r="M67" s="822"/>
      <c r="N67" s="1305"/>
      <c r="O67" s="1305"/>
      <c r="P67" s="1305"/>
      <c r="Q67" s="1305"/>
      <c r="R67" s="1305"/>
      <c r="S67" s="1306"/>
      <c r="T67" s="1305"/>
      <c r="U67" s="1307"/>
      <c r="V67" s="1304"/>
      <c r="W67" s="1304"/>
      <c r="X67" s="1308"/>
      <c r="Y67" s="1304"/>
      <c r="Z67" s="1304"/>
      <c r="AA67" s="1304"/>
      <c r="AB67" s="1304"/>
      <c r="AC67" s="1304"/>
      <c r="AD67" s="1304"/>
      <c r="AE67" s="1304"/>
      <c r="AF67" s="1309"/>
      <c r="AG67" s="1304"/>
      <c r="AH67" s="1304"/>
      <c r="AI67" s="1304"/>
      <c r="AJ67" s="1304"/>
      <c r="AK67" s="1304"/>
      <c r="AL67" s="1304"/>
      <c r="AM67" s="1304"/>
      <c r="AN67" s="1304"/>
      <c r="AO67" s="318"/>
      <c r="AP67" s="318"/>
      <c r="AQ67" s="318"/>
      <c r="AR67" s="318"/>
      <c r="AS67" s="318"/>
      <c r="AT67" s="318"/>
      <c r="AU67" s="318"/>
      <c r="AV67" s="318"/>
      <c r="AW67" s="318"/>
      <c r="AX67" s="318"/>
      <c r="AY67" s="318"/>
    </row>
    <row r="68" ht="15.75" customHeight="1">
      <c r="A68" s="1245"/>
      <c r="B68" s="1301"/>
      <c r="C68" s="1301"/>
      <c r="D68" s="1302"/>
      <c r="E68" s="1303"/>
      <c r="F68" s="1304"/>
      <c r="G68" s="1304"/>
      <c r="H68" s="1304"/>
      <c r="I68" s="1304"/>
      <c r="J68" s="1304"/>
      <c r="K68" s="1304"/>
      <c r="L68" s="1304"/>
      <c r="M68" s="822"/>
      <c r="N68" s="1305"/>
      <c r="O68" s="1305"/>
      <c r="P68" s="1305"/>
      <c r="Q68" s="1305"/>
      <c r="R68" s="1305"/>
      <c r="S68" s="1306"/>
      <c r="T68" s="1305"/>
      <c r="U68" s="1307"/>
      <c r="V68" s="1304"/>
      <c r="W68" s="1304"/>
      <c r="X68" s="1308"/>
      <c r="Y68" s="1304"/>
      <c r="Z68" s="1304"/>
      <c r="AA68" s="1304"/>
      <c r="AB68" s="1304"/>
      <c r="AC68" s="1304"/>
      <c r="AD68" s="1304"/>
      <c r="AE68" s="1304"/>
      <c r="AF68" s="1309"/>
      <c r="AG68" s="1304"/>
      <c r="AH68" s="1304"/>
      <c r="AI68" s="1304"/>
      <c r="AJ68" s="1304"/>
      <c r="AK68" s="1304"/>
      <c r="AL68" s="1304"/>
      <c r="AM68" s="1304"/>
      <c r="AN68" s="1304"/>
      <c r="AO68" s="318"/>
      <c r="AP68" s="318"/>
      <c r="AQ68" s="318"/>
      <c r="AR68" s="318"/>
      <c r="AS68" s="318"/>
      <c r="AT68" s="318"/>
      <c r="AU68" s="318"/>
      <c r="AV68" s="318"/>
      <c r="AW68" s="318"/>
      <c r="AX68" s="318"/>
      <c r="AY68" s="318"/>
    </row>
    <row r="69" ht="15.75" customHeight="1">
      <c r="A69" s="1245"/>
      <c r="B69" s="1301"/>
      <c r="C69" s="1301"/>
      <c r="D69" s="1302"/>
      <c r="E69" s="1303"/>
      <c r="F69" s="1304"/>
      <c r="G69" s="1304"/>
      <c r="H69" s="1304"/>
      <c r="I69" s="1304"/>
      <c r="J69" s="1304"/>
      <c r="K69" s="1304"/>
      <c r="L69" s="1304"/>
      <c r="M69" s="822"/>
      <c r="N69" s="1305"/>
      <c r="O69" s="1305"/>
      <c r="P69" s="1305"/>
      <c r="Q69" s="1305"/>
      <c r="R69" s="1305"/>
      <c r="S69" s="1306"/>
      <c r="T69" s="1305"/>
      <c r="U69" s="1307"/>
      <c r="V69" s="1304"/>
      <c r="W69" s="1304"/>
      <c r="X69" s="1308"/>
      <c r="Y69" s="1304"/>
      <c r="Z69" s="1304"/>
      <c r="AA69" s="1304"/>
      <c r="AB69" s="1304"/>
      <c r="AC69" s="1304"/>
      <c r="AD69" s="1304"/>
      <c r="AE69" s="1304"/>
      <c r="AF69" s="1309"/>
      <c r="AG69" s="1304"/>
      <c r="AH69" s="1304"/>
      <c r="AI69" s="1304"/>
      <c r="AJ69" s="1304"/>
      <c r="AK69" s="1304"/>
      <c r="AL69" s="1304"/>
      <c r="AM69" s="1304"/>
      <c r="AN69" s="1304"/>
      <c r="AO69" s="318"/>
      <c r="AP69" s="318"/>
      <c r="AQ69" s="318"/>
      <c r="AR69" s="318"/>
      <c r="AS69" s="318"/>
      <c r="AT69" s="318"/>
      <c r="AU69" s="318"/>
      <c r="AV69" s="318"/>
      <c r="AW69" s="318"/>
      <c r="AX69" s="318"/>
      <c r="AY69" s="318"/>
    </row>
    <row r="70" ht="15.75" customHeight="1">
      <c r="A70" s="1245"/>
      <c r="B70" s="1301"/>
      <c r="C70" s="1301"/>
      <c r="D70" s="1302"/>
      <c r="E70" s="1303"/>
      <c r="F70" s="1304"/>
      <c r="G70" s="1304"/>
      <c r="H70" s="1304"/>
      <c r="I70" s="1304"/>
      <c r="J70" s="1304"/>
      <c r="K70" s="1304"/>
      <c r="L70" s="1304"/>
      <c r="M70" s="822"/>
      <c r="N70" s="1305"/>
      <c r="O70" s="1305"/>
      <c r="P70" s="1305"/>
      <c r="Q70" s="1305"/>
      <c r="R70" s="1305"/>
      <c r="S70" s="1306"/>
      <c r="T70" s="1305"/>
      <c r="U70" s="1307"/>
      <c r="V70" s="1304"/>
      <c r="W70" s="1304"/>
      <c r="X70" s="1308"/>
      <c r="Y70" s="1304"/>
      <c r="Z70" s="1304"/>
      <c r="AA70" s="1304"/>
      <c r="AB70" s="1304"/>
      <c r="AC70" s="1304"/>
      <c r="AD70" s="1304"/>
      <c r="AE70" s="1304"/>
      <c r="AF70" s="1309"/>
      <c r="AG70" s="1304"/>
      <c r="AH70" s="1304"/>
      <c r="AI70" s="1304"/>
      <c r="AJ70" s="1304"/>
      <c r="AK70" s="1304"/>
      <c r="AL70" s="1304"/>
      <c r="AM70" s="1304"/>
      <c r="AN70" s="1304"/>
      <c r="AO70" s="318"/>
      <c r="AP70" s="318"/>
      <c r="AQ70" s="318"/>
      <c r="AR70" s="318"/>
      <c r="AS70" s="318"/>
      <c r="AT70" s="318"/>
      <c r="AU70" s="318"/>
      <c r="AV70" s="318"/>
      <c r="AW70" s="318"/>
      <c r="AX70" s="318"/>
      <c r="AY70" s="318"/>
    </row>
    <row r="71" ht="15.75" customHeight="1">
      <c r="A71" s="1245"/>
      <c r="B71" s="1301"/>
      <c r="C71" s="1301"/>
      <c r="D71" s="1302"/>
      <c r="E71" s="1303"/>
      <c r="F71" s="1304"/>
      <c r="G71" s="1304"/>
      <c r="H71" s="1304"/>
      <c r="I71" s="1304"/>
      <c r="J71" s="1304"/>
      <c r="K71" s="1304"/>
      <c r="L71" s="1304"/>
      <c r="M71" s="822"/>
      <c r="N71" s="1305"/>
      <c r="O71" s="1305"/>
      <c r="P71" s="1305"/>
      <c r="Q71" s="1305"/>
      <c r="R71" s="1305"/>
      <c r="S71" s="1306"/>
      <c r="T71" s="1305"/>
      <c r="U71" s="1307"/>
      <c r="V71" s="1304"/>
      <c r="W71" s="1304"/>
      <c r="X71" s="1308"/>
      <c r="Y71" s="1304"/>
      <c r="Z71" s="1304"/>
      <c r="AA71" s="1304"/>
      <c r="AB71" s="1304"/>
      <c r="AC71" s="1304"/>
      <c r="AD71" s="1304"/>
      <c r="AE71" s="1304"/>
      <c r="AF71" s="1309"/>
      <c r="AG71" s="1304"/>
      <c r="AH71" s="1304"/>
      <c r="AI71" s="1304"/>
      <c r="AJ71" s="1304"/>
      <c r="AK71" s="1304"/>
      <c r="AL71" s="1304"/>
      <c r="AM71" s="1304"/>
      <c r="AN71" s="1304"/>
      <c r="AO71" s="318"/>
      <c r="AP71" s="318"/>
      <c r="AQ71" s="318"/>
      <c r="AR71" s="318"/>
      <c r="AS71" s="318"/>
      <c r="AT71" s="318"/>
      <c r="AU71" s="318"/>
      <c r="AV71" s="318"/>
      <c r="AW71" s="318"/>
      <c r="AX71" s="318"/>
      <c r="AY71" s="318"/>
    </row>
    <row r="72" ht="15.75" customHeight="1">
      <c r="A72" s="1245"/>
      <c r="B72" s="1301"/>
      <c r="C72" s="1301"/>
      <c r="D72" s="1302"/>
      <c r="E72" s="1303"/>
      <c r="F72" s="1304"/>
      <c r="G72" s="1304"/>
      <c r="H72" s="1304"/>
      <c r="I72" s="1304"/>
      <c r="J72" s="1304"/>
      <c r="K72" s="1304"/>
      <c r="L72" s="1304"/>
      <c r="M72" s="822"/>
      <c r="N72" s="1305"/>
      <c r="O72" s="1305"/>
      <c r="P72" s="1305"/>
      <c r="Q72" s="1305"/>
      <c r="R72" s="1305"/>
      <c r="S72" s="1306"/>
      <c r="T72" s="1305"/>
      <c r="U72" s="1307"/>
      <c r="V72" s="1304"/>
      <c r="W72" s="1304"/>
      <c r="X72" s="1308"/>
      <c r="Y72" s="1304"/>
      <c r="Z72" s="1304"/>
      <c r="AA72" s="1304"/>
      <c r="AB72" s="1304"/>
      <c r="AC72" s="1304"/>
      <c r="AD72" s="1304"/>
      <c r="AE72" s="1304"/>
      <c r="AF72" s="1309"/>
      <c r="AG72" s="1304"/>
      <c r="AH72" s="1304"/>
      <c r="AI72" s="1304"/>
      <c r="AJ72" s="1304"/>
      <c r="AK72" s="1304"/>
      <c r="AL72" s="1304"/>
      <c r="AM72" s="1304"/>
      <c r="AN72" s="1304"/>
      <c r="AO72" s="318"/>
      <c r="AP72" s="318"/>
      <c r="AQ72" s="318"/>
      <c r="AR72" s="318"/>
      <c r="AS72" s="318"/>
      <c r="AT72" s="318"/>
      <c r="AU72" s="318"/>
      <c r="AV72" s="318"/>
      <c r="AW72" s="318"/>
      <c r="AX72" s="318"/>
      <c r="AY72" s="318"/>
    </row>
  </sheetData>
  <mergeCells count="80"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3:C53"/>
    <mergeCell ref="B54:C54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61:C61"/>
    <mergeCell ref="AD51:AE51"/>
    <mergeCell ref="AD52:AE52"/>
    <mergeCell ref="AD42:AG44"/>
    <mergeCell ref="AD45:AE45"/>
    <mergeCell ref="AD46:AE46"/>
    <mergeCell ref="AD47:AE47"/>
    <mergeCell ref="AD48:AE48"/>
    <mergeCell ref="AD49:AE49"/>
    <mergeCell ref="AD50:AE50"/>
    <mergeCell ref="B1:AC1"/>
    <mergeCell ref="B2:Q2"/>
    <mergeCell ref="S2:AB2"/>
    <mergeCell ref="AD2:AM2"/>
    <mergeCell ref="AO2:AX2"/>
    <mergeCell ref="F29:AH29"/>
    <mergeCell ref="AO30:AX31"/>
    <mergeCell ref="F30:AH30"/>
    <mergeCell ref="B31:E31"/>
    <mergeCell ref="S31:T31"/>
    <mergeCell ref="AD31:AE31"/>
    <mergeCell ref="B32:C32"/>
    <mergeCell ref="AD32:AE32"/>
    <mergeCell ref="AD33:AE33"/>
    <mergeCell ref="S32:T32"/>
    <mergeCell ref="S33:T33"/>
    <mergeCell ref="S34:T34"/>
    <mergeCell ref="S35:T35"/>
    <mergeCell ref="S36:T36"/>
    <mergeCell ref="S37:T37"/>
    <mergeCell ref="S38:T38"/>
    <mergeCell ref="B33:C33"/>
    <mergeCell ref="B34:C34"/>
    <mergeCell ref="B35:C35"/>
    <mergeCell ref="B36:C36"/>
    <mergeCell ref="B37:C37"/>
    <mergeCell ref="B38:C38"/>
    <mergeCell ref="B39:C39"/>
    <mergeCell ref="B52:C52"/>
    <mergeCell ref="AD34:AE34"/>
    <mergeCell ref="AD35:AE35"/>
    <mergeCell ref="AD36:AE36"/>
    <mergeCell ref="AD37:AE37"/>
    <mergeCell ref="AD38:AE38"/>
    <mergeCell ref="AH42:AH43"/>
    <mergeCell ref="AI42:AI43"/>
    <mergeCell ref="S51:U52"/>
    <mergeCell ref="V51:V52"/>
    <mergeCell ref="S39:T39"/>
    <mergeCell ref="S40:T40"/>
    <mergeCell ref="S41:T41"/>
    <mergeCell ref="S42:T42"/>
    <mergeCell ref="S43:T43"/>
    <mergeCell ref="S44:T44"/>
    <mergeCell ref="S45:T45"/>
  </mergeCells>
  <conditionalFormatting sqref="N32 O32:O34 P32:R32 Y32:AC32 N34 P34:R34 T46:T50 T53">
    <cfRule type="notContainsBlanks" dxfId="0" priority="1">
      <formula>LEN(TRIM(N32))&gt;0</formula>
    </cfRule>
  </conditionalFormatting>
  <hyperlinks>
    <hyperlink r:id="rId1" location="gid=0" ref="F30"/>
  </hyperlinks>
  <printOptions gridLines="1" verticalCentered="1"/>
  <pageMargins bottom="0.75" footer="0.0" header="0.0" left="0.7" right="0.7" top="0.75"/>
  <pageSetup paperSize="9" cellComments="atEnd" orientation="landscape" pageOrder="overThenDown"/>
  <drawing r:id="rId2"/>
</worksheet>
</file>